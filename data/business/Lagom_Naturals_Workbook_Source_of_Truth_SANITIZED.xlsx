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f972eda4441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nitization Audit" sheetId="1" r:id="R60f7e34ce673437e"/>
    <x:sheet xmlns:r="http://schemas.openxmlformats.org/officeDocument/2006/relationships" name="Lookup" sheetId="2" r:id="Re93daa1ed90740d5"/>
    <x:sheet xmlns:r="http://schemas.openxmlformats.org/officeDocument/2006/relationships" name="Depletion Log" sheetId="3" r:id="Red6b7579c4b04838"/>
    <x:sheet xmlns:r="http://schemas.openxmlformats.org/officeDocument/2006/relationships" name="Invoice Summary - AR Ledger" sheetId="4" r:id="R0b7fea0e78f947ef"/>
    <x:sheet xmlns:r="http://schemas.openxmlformats.org/officeDocument/2006/relationships" name="Analytics Helper" sheetId="5" r:id="R0c2abc04db6a4f74"/>
    <x:sheet xmlns:r="http://schemas.openxmlformats.org/officeDocument/2006/relationships" name="Executive Dashboard" sheetId="6" r:id="Rffbf2771213344b6"/>
    <x:sheet xmlns:r="http://schemas.openxmlformats.org/officeDocument/2006/relationships" name="Invoice Generator" sheetId="7" r:id="R4c1dee2640354523"/>
    <x:sheet xmlns:r="http://schemas.openxmlformats.org/officeDocument/2006/relationships" name="Product Summary" sheetId="8" r:id="R13606ed6f73440c2"/>
    <x:sheet xmlns:r="http://schemas.openxmlformats.org/officeDocument/2006/relationships" name="QA Audit" sheetId="9" r:id="R3d5f5f29c6a74072"/>
    <x:sheet xmlns:r="http://schemas.openxmlformats.org/officeDocument/2006/relationships" name="System Health" sheetId="10" r:id="R08cc8b9e6a4943a3"/>
    <x:sheet xmlns:r="http://schemas.openxmlformats.org/officeDocument/2006/relationships" name="Sales Rep 01 - Sales" sheetId="11" r:id="R24cde9c7c467405f"/>
    <x:sheet xmlns:r="http://schemas.openxmlformats.org/officeDocument/2006/relationships" name="Sales Rep 02 - Sales" sheetId="12" r:id="Rc41f22633e6d4e7b"/>
    <x:sheet xmlns:r="http://schemas.openxmlformats.org/officeDocument/2006/relationships" name="Sales Rep 03 - Sales" sheetId="13" r:id="Rd839f03fea0942d5"/>
    <x:sheet xmlns:r="http://schemas.openxmlformats.org/officeDocument/2006/relationships" name="Sales Rep 04 - Sales" sheetId="14" r:id="R891dab770aa84e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0.00"/>
    <x:numFmt numFmtId="201" formatCode="mm/dd/yyyy"/>
    <x:numFmt numFmtId="202" formatCode="0"/>
    <x:numFmt numFmtId="203" formatCode="0.0%"/>
  </x:numFmts>
  <x:fonts count="7">
    <x:font>
      <x:sz val="11"/>
      <x:name val="Carlito"/>
    </x:font>
    <x:font>
      <x:b/>
      <x:sz val="17"/>
      <x:color rgb="FFFFFFFF"/>
      <x:name val="Carlito"/>
    </x:font>
    <x:font>
      <x:i/>
      <x:sz val="11"/>
      <x:color rgb="FF65716A"/>
      <x:name val="Carlito"/>
    </x:font>
    <x:font>
      <x:b/>
      <x:sz val="11"/>
      <x:color rgb="FF1F2A24"/>
      <x:name val="Carlito"/>
    </x:font>
    <x:font>
      <x:b/>
      <x:sz val="11"/>
      <x:color rgb="FF2F5D50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2A24"/>
      </x:patternFill>
    </x:fill>
    <x:fill>
      <x:patternFill patternType="solid">
        <x:fgColor rgb="FFF7F5EF"/>
      </x:patternFill>
    </x:fill>
    <x:fill>
      <x:patternFill patternType="solid">
        <x:fgColor rgb="FFDDE8E2"/>
      </x:patternFill>
    </x:fill>
    <x:fill>
      <x:patternFill patternType="solid">
        <x:fgColor rgb="FFE9F3ED"/>
      </x:patternFill>
    </x:fill>
    <x:fill>
      <x:patternFill patternType="solid">
        <x:fgColor rgb="FF2F5D50"/>
      </x:patternFill>
    </x:fill>
    <x:fill>
      <x:patternFill patternType="solid">
        <x:fgColor rgb="FFFAF2DE"/>
      </x:patternFill>
    </x:fill>
    <x:fill>
      <x:patternFill patternType="solid">
        <x:fgColor rgb="FFEAF3FA"/>
      </x:patternFill>
    </x:fill>
    <x:fill>
      <x:patternFill patternType="solid">
        <x:fgColor rgb="FFF0F2F1"/>
      </x:patternFill>
    </x:fill>
  </x:fills>
  <x:borders count="6">
    <x:border/>
    <x:border/>
    <x:border>
      <x:bottom style="thin">
        <x:color rgb="FF2F5D50"/>
      </x:bottom>
    </x:border>
    <x:border>
      <x:bottom style="thin">
        <x:color rgb="FF2F5D50"/>
      </x:bottom>
    </x:border>
    <x:border>
      <x:bottom style="thin">
        <x:color rgb="FFD4D9D6"/>
      </x:bottom>
    </x:border>
    <x:border>
      <x:bottom style="thin">
        <x:color rgb="FFD4D9D6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3" fillId="4" borderId="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7" borderId="0" xfId="0" applyNumberFormat="1" applyFont="1" applyFill="1" applyBorder="1"/>
    <x:xf numFmtId="200" fontId="0" fillId="7" borderId="1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201" fontId="0" fillId="8" borderId="0" xfId="0" applyNumberFormat="1" applyFont="1" applyFill="1" applyBorder="1"/>
    <x:xf numFmtId="201" fontId="0" fillId="8" borderId="1" xfId="0" applyNumberFormat="1" applyFont="1" applyFill="1" applyBorder="1"/>
    <x:xf numFmtId="201" fontId="0" fillId="9" borderId="0" xfId="0" applyNumberFormat="1" applyFont="1" applyFill="1" applyBorder="1"/>
    <x:xf numFmtId="201" fontId="0" fillId="9" borderId="1" xfId="0" applyNumberFormat="1" applyFont="1" applyFill="1" applyBorder="1"/>
    <x:xf numFmtId="200" fontId="0" fillId="8" borderId="0" xfId="0" applyNumberFormat="1" applyFont="1" applyFill="1" applyBorder="1"/>
    <x:xf numFmtId="200" fontId="0" fillId="8" borderId="1" xfId="0" applyNumberFormat="1" applyFont="1" applyFill="1" applyBorder="1"/>
    <x:xf numFmtId="200" fontId="0" fillId="9" borderId="0" xfId="0" applyNumberFormat="1" applyFont="1" applyFill="1" applyBorder="1"/>
    <x:xf numFmtId="200" fontId="0" fillId="9" borderId="1" xfId="0" applyNumberFormat="1" applyFont="1" applyFill="1" applyBorder="1"/>
    <x:xf numFmtId="202" fontId="0" fillId="8" borderId="0" xfId="0" applyNumberFormat="1" applyFont="1" applyFill="1" applyBorder="1"/>
    <x:xf numFmtId="202" fontId="0" fillId="8" borderId="1" xfId="0" applyNumberFormat="1" applyFont="1" applyFill="1" applyBorder="1"/>
    <x:xf numFmtId="202" fontId="0" fillId="9" borderId="0" xfId="0" applyNumberFormat="1" applyFont="1" applyFill="1" applyBorder="1"/>
    <x:xf numFmtId="202" fontId="0" fillId="9" borderId="1" xfId="0" applyNumberFormat="1" applyFont="1" applyFill="1" applyBorder="1"/>
    <x:xf numFmtId="201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202" fontId="0" fillId="8" borderId="0" xfId="0" applyNumberFormat="1" applyFont="1" applyFill="1" applyBorder="1" applyAlignment="1">
      <x:alignment wrapText="1"/>
    </x:xf>
    <x:xf numFmtId="200" fontId="0" fillId="8" borderId="0" xfId="0" applyNumberFormat="1" applyFont="1" applyFill="1" applyBorder="1" applyAlignment="1">
      <x:alignment wrapText="1"/>
    </x:xf>
    <x:xf numFmtId="200" fontId="0" fillId="9" borderId="0" xfId="0" applyNumberFormat="1" applyFont="1" applyFill="1" applyBorder="1" applyAlignment="1">
      <x:alignment wrapText="1"/>
    </x:xf>
    <x:xf numFmtId="202" fontId="0" fillId="9" borderId="0" xfId="0" applyNumberFormat="1" applyFont="1" applyFill="1" applyBorder="1" applyAlignment="1">
      <x:alignment wrapText="1"/>
    </x:xf>
    <x:xf numFmtId="201" fontId="0" fillId="9" borderId="0" xfId="0" applyNumberFormat="1" applyFont="1" applyFill="1" applyBorder="1" applyAlignment="1">
      <x:alignment wrapText="1"/>
    </x:xf>
    <x:xf numFmtId="201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202" fontId="0" fillId="8" borderId="1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  <x:xf numFmtId="200" fontId="0" fillId="9" borderId="1" xfId="0" applyNumberFormat="1" applyFont="1" applyFill="1" applyBorder="1" applyAlignment="1">
      <x:alignment wrapText="1"/>
    </x:xf>
    <x:xf numFmtId="202" fontId="0" fillId="9" borderId="1" xfId="0" applyNumberFormat="1" applyFont="1" applyFill="1" applyBorder="1" applyAlignment="1">
      <x:alignment wrapText="1"/>
    </x:xf>
    <x:xf numFmtId="201" fontId="0" fillId="9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5" fillId="6" borderId="0" xfId="0" applyNumberFormat="1" applyFont="1" applyFill="1" applyBorder="1" applyAlignment="1">
      <x:alignment vertical="center" wrapText="1"/>
    </x:xf>
    <x:xf numFmtId="200" fontId="5" fillId="6" borderId="1" xfId="0" applyNumberFormat="1" applyFont="1" applyFill="1" applyBorder="1" applyAlignment="1">
      <x:alignment vertical="center" wrapText="1"/>
    </x:xf>
    <x:xf numFmtId="203" fontId="5" fillId="6" borderId="0" xfId="0" applyNumberFormat="1" applyFont="1" applyFill="1" applyBorder="1" applyAlignment="1">
      <x:alignment vertical="center" wrapText="1"/>
    </x:xf>
    <x:xf numFmtId="203" fontId="5" fillId="6" borderId="1" xfId="0" applyNumberFormat="1" applyFont="1" applyFill="1" applyBorder="1" applyAlignment="1">
      <x:alignment vertical="center" wrapText="1"/>
    </x:xf>
    <x:xf numFmtId="203" fontId="0" fillId="7" borderId="0" xfId="0" applyNumberFormat="1" applyFont="1" applyFill="1" applyBorder="1"/>
    <x:xf numFmtId="203" fontId="0" fillId="7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7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7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8B1E1E"/>
      </x:font>
      <x:fill>
        <x:patternFill patternType="solid">
          <x:bgColor rgb="FFF8E8E8"/>
        </x:patternFill>
      </x:fill>
    </x:dxf>
    <x:dxf>
      <x:fill>
        <x:patternFill patternType="solid">
          <x:bgColor rgb="FFF8E8E8"/>
        </x:patternFill>
      </x:fill>
    </x:dxf>
    <x:dxf>
      <x:fill>
        <x:patternFill patternType="solid">
          <x:bgColor rgb="FFFAF2DE"/>
        </x:patternFill>
      </x:fill>
    </x:dxf>
    <x:dxf>
      <x:font>
        <x:b/>
        <x:color rgb="FF2F5D50"/>
      </x:font>
      <x:fill>
        <x:patternFill patternType="solid">
          <x:bgColor rgb="FFE9F3ED"/>
        </x:patternFill>
      </x:fill>
    </x:dxf>
    <x:dxf>
      <x:font>
        <x:b/>
        <x:color rgb="FF8B1E1E"/>
      </x:font>
      <x:fill>
        <x:patternFill patternType="solid">
          <x:bgColor rgb="FFF8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50a800fee74fe6" /><Relationship Type="http://schemas.openxmlformats.org/officeDocument/2006/relationships/theme" Target="/xl/theme/theme1.xml" Id="Rcf30f57875b44b4d" /><Relationship Type="http://schemas.openxmlformats.org/officeDocument/2006/relationships/sharedStrings" Target="/xl/sharedStrings.xml" Id="Ra10380d20eab4ed4" /><Relationship Type="http://schemas.openxmlformats.org/officeDocument/2006/relationships/worksheet" Target="/xl/worksheets/sheet1.xml" Id="R60f7e34ce673437e" /><Relationship Type="http://schemas.openxmlformats.org/officeDocument/2006/relationships/worksheet" Target="/xl/worksheets/sheet2.xml" Id="Re93daa1ed90740d5" /><Relationship Type="http://schemas.openxmlformats.org/officeDocument/2006/relationships/worksheet" Target="/xl/worksheets/sheet3.xml" Id="Red6b7579c4b04838" /><Relationship Type="http://schemas.openxmlformats.org/officeDocument/2006/relationships/worksheet" Target="/xl/worksheets/sheet4.xml" Id="R0b7fea0e78f947ef" /><Relationship Type="http://schemas.openxmlformats.org/officeDocument/2006/relationships/worksheet" Target="/xl/worksheets/sheet5.xml" Id="R0c2abc04db6a4f74" /><Relationship Type="http://schemas.openxmlformats.org/officeDocument/2006/relationships/worksheet" Target="/xl/worksheets/sheet6.xml" Id="Rffbf2771213344b6" /><Relationship Type="http://schemas.openxmlformats.org/officeDocument/2006/relationships/worksheet" Target="/xl/worksheets/sheet7.xml" Id="R4c1dee2640354523" /><Relationship Type="http://schemas.openxmlformats.org/officeDocument/2006/relationships/worksheet" Target="/xl/worksheets/sheet8.xml" Id="R13606ed6f73440c2" /><Relationship Type="http://schemas.openxmlformats.org/officeDocument/2006/relationships/worksheet" Target="/xl/worksheets/sheet9.xml" Id="R3d5f5f29c6a74072" /><Relationship Type="http://schemas.openxmlformats.org/officeDocument/2006/relationships/worksheet" Target="/xl/worksheets/sheet10.xml" Id="R08cc8b9e6a4943a3" /><Relationship Type="http://schemas.openxmlformats.org/officeDocument/2006/relationships/worksheet" Target="/xl/worksheets/sheet11.xml" Id="R24cde9c7c467405f" /><Relationship Type="http://schemas.openxmlformats.org/officeDocument/2006/relationships/worksheet" Target="/xl/worksheets/sheet12.xml" Id="Rc41f22633e6d4e7b" /><Relationship Type="http://schemas.openxmlformats.org/officeDocument/2006/relationships/worksheet" Target="/xl/worksheets/sheet13.xml" Id="Rd839f03fea0942d5" /><Relationship Type="http://schemas.openxmlformats.org/officeDocument/2006/relationships/worksheet" Target="/xl/worksheets/sheet14.xml" Id="R891dab770aa84e51" /></Relationships>
</file>

<file path=xl/tables/table1.xml><?xml version="1.0" encoding="utf-8"?>
<x:table xmlns:x="http://schemas.openxmlformats.org/spreadsheetml/2006/main" id="1" name="DepletionTable" displayName="DepletionTable" ref="A6:AJ56" headerRowCount="1" totalsRowCount="0" totalsRowShown="0">
  <x:tableColumns count="36">
    <x:tableColumn id="1" name="Invoice Date"/>
    <x:tableColumn id="2" name="Type"/>
    <x:tableColumn id="3" name="Invoice #"/>
    <x:tableColumn id="4" name="Acct #"/>
    <x:tableColumn id="5" name="Account Name"/>
    <x:tableColumn id="6" name="City"/>
    <x:tableColumn id="7" name="Channel"/>
    <x:tableColumn id="8" name="Sales Rep"/>
    <x:tableColumn id="9" name="Product"/>
    <x:tableColumn id="10" name="SKU"/>
    <x:tableColumn id="11" name="Description"/>
    <x:tableColumn id="12" name="Category"/>
    <x:tableColumn id="13" name="Cases Sold"/>
    <x:tableColumn id="14" name="Sale Price"/>
    <x:tableColumn id="15" name="Revenue"/>
    <x:tableColumn id="16" name="Payment Status"/>
    <x:tableColumn id="17" name="Notes"/>
    <x:tableColumn id="18" name="Account Type"/>
    <x:tableColumn id="19" name="COGS/Case"/>
    <x:tableColumn id="20" name="Total COGS"/>
    <x:tableColumn id="21" name="Gross Profit"/>
    <x:tableColumn id="22" name="Dup Check"/>
    <x:tableColumn id="23" name="Inv Line#"/>
    <x:tableColumn id="24" name="Lookup Key"/>
    <x:tableColumn id="25" name="Adjustment Type"/>
    <x:tableColumn id="26" name="Cost/Bag Reference"/>
    <x:tableColumn id="27" name="Invoice Total"/>
    <x:tableColumn id="28" name="Amount Paid"/>
    <x:tableColumn id="29" name="Balance Due"/>
    <x:tableColumn id="30" name="Due Date"/>
    <x:tableColumn id="31" name="Days Past Due"/>
    <x:tableColumn id="32" name="Collection Status"/>
    <x:tableColumn id="33" name="Last Follow-Up Date"/>
    <x:tableColumn id="34" name="Next Follow-Up Date"/>
    <x:tableColumn id="35" name="Payment Date"/>
    <x:tableColumn id="36" name="Commission Eligible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LedgerTable" displayName="ARLedgerTable" ref="A1:P5" headerRowCount="1" totalsRowCount="0" totalsRowShown="0">
  <x:tableColumns count="16">
    <x:tableColumn id="1" name="Invoice #"/>
    <x:tableColumn id="2" name="Invoice Date"/>
    <x:tableColumn id="3" name="Due Date"/>
    <x:tableColumn id="4" name="Account"/>
    <x:tableColumn id="5" name="Channel"/>
    <x:tableColumn id="6" name="Sales Rep"/>
    <x:tableColumn id="7" name="Payment Status"/>
    <x:tableColumn id="8" name="Invoice Total"/>
    <x:tableColumn id="9" name="Amount Paid"/>
    <x:tableColumn id="10" name="Balance Due"/>
    <x:tableColumn id="11" name="Days Past Due"/>
    <x:tableColumn id="12" name="Collection Status"/>
    <x:tableColumn id="13" name="Last Follow-Up Date"/>
    <x:tableColumn id="14" name="Next Follow-Up Date"/>
    <x:tableColumn id="15" name="Payment Date"/>
    <x:tableColumn id="16" name="Commission Eligible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d243cd4017f47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a1bae0e80c6467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46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0" t="str">
        <x:v>LAGOM NATURALS — SANITIZED WORKBOOK SOURCE OF TRUTH</x:v>
      </x:c>
      <x:c r="B1" s="40"/>
      <x:c r="C1" s="40"/>
      <x:c r="D1" s="40"/>
      <x:c r="E1" s="40"/>
      <x:c r="F1" s="40"/>
    </x:row>
    <x:row r="2">
      <x:c r="A2" s="41" t="str">
        <x:v>Safe working copy reconstructed from CSV worksheet exports. Real customer/personnel/banking/compensation/live financial data has been removed or replaced with synthetic mock data.</x:v>
      </x:c>
      <x:c r="B2" s="41"/>
      <x:c r="C2" s="41"/>
      <x:c r="D2" s="41"/>
      <x:c r="E2" s="41"/>
      <x:c r="F2" s="41"/>
    </x:row>
    <x:row r="3">
      <x:c r="A3" s="42"/>
      <x:c r="B3" s="42"/>
      <x:c r="C3" s="42"/>
      <x:c r="D3" s="42"/>
      <x:c r="E3" s="42"/>
      <x:c r="F3" s="42"/>
    </x:row>
    <x:row r="4">
      <x:c r="A4" s="43" t="str">
        <x:v>Worksheet</x:v>
      </x:c>
      <x:c r="B4" s="43" t="str">
        <x:v>Primary risk found</x:v>
      </x:c>
      <x:c r="C4" s="43" t="str">
        <x:v>Sanitization action</x:v>
      </x:c>
      <x:c r="D4" s="43" t="str">
        <x:v>Official structure retained</x:v>
      </x:c>
      <x:c r="E4" s="43" t="str">
        <x:v>Mock data retained</x:v>
      </x:c>
      <x:c r="F4" s="43" t="str">
        <x:v>Status</x:v>
      </x:c>
    </x:row>
    <x:row r="5">
      <x:c r="A5" s="44" t="str">
        <x:v>Analytics Helper</x:v>
      </x:c>
      <x:c r="B5" s="44" t="str">
        <x:v>Real customer/account performance</x:v>
      </x:c>
      <x:c r="C5" s="44" t="str">
        <x:v>Replaced account identities and live metrics with synthetic accounts</x:v>
      </x:c>
      <x:c r="D5" s="44" t="str">
        <x:v>Yes</x:v>
      </x:c>
      <x:c r="E5" s="44" t="str">
        <x:v>Yes</x:v>
      </x:c>
      <x:c r="F5" s="45" t="str">
        <x:v>SANITIZED</x:v>
      </x:c>
    </x:row>
    <x:row r="6">
      <x:c r="A6" s="44" t="str">
        <x:v>Depletion Log</x:v>
      </x:c>
      <x:c r="B6" s="44" t="str">
        <x:v>Customer identities, rep identities, invoice/payment history, live commercial figures, operational notes</x:v>
      </x:c>
      <x:c r="C6" s="44" t="str">
        <x:v>Replaced with synthetic records; preserved 36-column contract; reduced noisy prefilled rows</x:v>
      </x:c>
      <x:c r="D6" s="44" t="str">
        <x:v>Yes</x:v>
      </x:c>
      <x:c r="E6" s="44" t="str">
        <x:v>Yes</x:v>
      </x:c>
      <x:c r="F6" s="45" t="str">
        <x:v>SANITIZED</x:v>
      </x:c>
    </x:row>
    <x:row r="7">
      <x:c r="A7" s="44" t="str">
        <x:v>Executive Dashboard</x:v>
      </x:c>
      <x:c r="B7" s="44" t="str">
        <x:v>Live revenue/profit/AR totals</x:v>
      </x:c>
      <x:c r="C7" s="44" t="str">
        <x:v>Rebuilt as formula-driven summary over sanitized records</x:v>
      </x:c>
      <x:c r="D7" s="44" t="str">
        <x:v>Yes</x:v>
      </x:c>
      <x:c r="E7" s="44" t="str">
        <x:v>Yes</x:v>
      </x:c>
      <x:c r="F7" s="45" t="str">
        <x:v>SANITIZED</x:v>
      </x:c>
    </x:row>
    <x:row r="8">
      <x:c r="A8" s="44" t="str">
        <x:v>Invoice Generator</x:v>
      </x:c>
      <x:c r="B8" s="44" t="str">
        <x:v>Bank routing/account details, direct contact/address information</x:v>
      </x:c>
      <x:c r="C8" s="44" t="str">
        <x:v>Removed banking credentials entirely; generalized payment/contact text</x:v>
      </x:c>
      <x:c r="D8" s="44" t="str">
        <x:v>Yes</x:v>
      </x:c>
      <x:c r="E8" s="44" t="str">
        <x:v>Yes</x:v>
      </x:c>
      <x:c r="F8" s="45" t="str">
        <x:v>SANITIZED</x:v>
      </x:c>
    </x:row>
    <x:row r="9">
      <x:c r="A9" s="44" t="str">
        <x:v>Invoice Summary - AR Ledger</x:v>
      </x:c>
      <x:c r="B9" s="44" t="str">
        <x:v>Real account/invoice/AR data; header/value drift</x:v>
      </x:c>
      <x:c r="C9" s="44" t="str">
        <x:v>Replaced live records and repaired semantic column alignment</x:v>
      </x:c>
      <x:c r="D9" s="44" t="str">
        <x:v>Yes</x:v>
      </x:c>
      <x:c r="E9" s="44" t="str">
        <x:v>Yes</x:v>
      </x:c>
      <x:c r="F9" s="45" t="str">
        <x:v>SANITIZED</x:v>
      </x:c>
    </x:row>
    <x:row r="10">
      <x:c r="A10" s="44" t="str">
        <x:v>Sales Rep 01 - Sales</x:v>
      </x:c>
      <x:c r="B10" s="44" t="str">
        <x:v>Personal name, individualized commission/mileage/tax estimate inputs</x:v>
      </x:c>
      <x:c r="C10" s="44" t="str">
        <x:v>Aliased personnel and replaced compensation inputs with explicit mock rates</x:v>
      </x:c>
      <x:c r="D10" s="44" t="str">
        <x:v>Yes</x:v>
      </x:c>
      <x:c r="E10" s="44" t="str">
        <x:v>Yes</x:v>
      </x:c>
      <x:c r="F10" s="45" t="str">
        <x:v>SANITIZED</x:v>
      </x:c>
    </x:row>
    <x:row r="11">
      <x:c r="A11" s="44" t="str">
        <x:v>Lookup</x:v>
      </x:c>
      <x:c r="B11" s="44" t="str">
        <x:v>Actual COGS / cost references</x:v>
      </x:c>
      <x:c r="C11" s="44" t="str">
        <x:v>Retained product catalog/SKUs; replaced cost fields with synthetic mock costs</x:v>
      </x:c>
      <x:c r="D11" s="44" t="str">
        <x:v>Yes</x:v>
      </x:c>
      <x:c r="E11" s="44" t="str">
        <x:v>Yes</x:v>
      </x:c>
      <x:c r="F11" s="45" t="str">
        <x:v>SANITIZED</x:v>
      </x:c>
    </x:row>
    <x:row r="12">
      <x:c r="A12" s="44" t="str">
        <x:v>Product Summary</x:v>
      </x:c>
      <x:c r="B12" s="44" t="str">
        <x:v>Real account rankings and live profit metrics</x:v>
      </x:c>
      <x:c r="C12" s="44" t="str">
        <x:v>Rebuilt from sanitized depletion data</x:v>
      </x:c>
      <x:c r="D12" s="44" t="str">
        <x:v>Yes</x:v>
      </x:c>
      <x:c r="E12" s="44" t="str">
        <x:v>Yes</x:v>
      </x:c>
      <x:c r="F12" s="45" t="str">
        <x:v>SANITIZED</x:v>
      </x:c>
    </x:row>
    <x:row r="13">
      <x:c r="A13" s="44" t="str">
        <x:v>QA Audit</x:v>
      </x:c>
      <x:c r="B13" s="44" t="str">
        <x:v>No direct secret; source QA structure</x:v>
      </x:c>
      <x:c r="C13" s="44" t="str">
        <x:v>Retained and expanded validation coverage</x:v>
      </x:c>
      <x:c r="D13" s="44" t="str">
        <x:v>Yes</x:v>
      </x:c>
      <x:c r="E13" s="44" t="str">
        <x:v>Yes</x:v>
      </x:c>
      <x:c r="F13" s="45" t="str">
        <x:v>SANITIZED</x:v>
      </x:c>
    </x:row>
    <x:row r="14">
      <x:c r="A14" s="44" t="str">
        <x:v>Sales Rep 02 - Sales</x:v>
      </x:c>
      <x:c r="B14" s="44" t="str">
        <x:v>Personal name / compensation settings</x:v>
      </x:c>
      <x:c r="C14" s="44" t="str">
        <x:v>Aliased personnel; synthetic rates</x:v>
      </x:c>
      <x:c r="D14" s="44" t="str">
        <x:v>Yes</x:v>
      </x:c>
      <x:c r="E14" s="44" t="str">
        <x:v>Yes</x:v>
      </x:c>
      <x:c r="F14" s="45" t="str">
        <x:v>SANITIZED</x:v>
      </x:c>
    </x:row>
    <x:row r="15">
      <x:c r="A15" s="44" t="str">
        <x:v>System Health</x:v>
      </x:c>
      <x:c r="B15" s="44" t="str">
        <x:v>Misleading blank-template counts</x:v>
      </x:c>
      <x:c r="C15" s="44" t="str">
        <x:v>Rebuilt against meaningful populated rows only</x:v>
      </x:c>
      <x:c r="D15" s="44" t="str">
        <x:v>Yes</x:v>
      </x:c>
      <x:c r="E15" s="44" t="str">
        <x:v>Yes</x:v>
      </x:c>
      <x:c r="F15" s="45" t="str">
        <x:v>SANITIZED</x:v>
      </x:c>
    </x:row>
    <x:row r="16">
      <x:c r="A16" s="44" t="str">
        <x:v>Sales Rep 03 - Sales</x:v>
      </x:c>
      <x:c r="B16" s="44" t="str">
        <x:v>Personal name / compensation settings</x:v>
      </x:c>
      <x:c r="C16" s="44" t="str">
        <x:v>Aliased personnel; synthetic rates</x:v>
      </x:c>
      <x:c r="D16" s="44" t="str">
        <x:v>Yes</x:v>
      </x:c>
      <x:c r="E16" s="44" t="str">
        <x:v>Yes</x:v>
      </x:c>
      <x:c r="F16" s="45" t="str">
        <x:v>SANITIZED</x:v>
      </x:c>
    </x:row>
    <x:row r="17">
      <x:c r="A17" s="44" t="str">
        <x:v>Sales Rep 04 - Sales</x:v>
      </x:c>
      <x:c r="B17" s="44" t="str">
        <x:v>Personal name / compensation settings</x:v>
      </x:c>
      <x:c r="C17" s="44" t="str">
        <x:v>Aliased personnel; synthetic rates</x:v>
      </x:c>
      <x:c r="D17" s="44" t="str">
        <x:v>Yes</x:v>
      </x:c>
      <x:c r="E17" s="44" t="str">
        <x:v>Yes</x:v>
      </x:c>
      <x:c r="F17" s="45" t="str">
        <x:v>SANITIZED</x:v>
      </x:c>
    </x:row>
    <x:row r="18">
      <x:c r="A18" s="42"/>
      <x:c r="B18" s="42"/>
      <x:c r="C18" s="42"/>
      <x:c r="D18" s="42"/>
      <x:c r="E18" s="42"/>
      <x:c r="F18" s="42"/>
    </x:row>
    <x:row r="19">
      <x:c r="A19" s="46" t="str">
        <x:v>Classification</x:v>
      </x:c>
      <x:c r="B19" s="46" t="str">
        <x:v>Retained / removed</x:v>
      </x:c>
      <x:c r="C19" s="46" t="str">
        <x:v>Reason</x:v>
      </x:c>
      <x:c r="D19" s="46" t="str"/>
      <x:c r="E19" s="46" t="str"/>
      <x:c r="F19" s="46" t="str"/>
    </x:row>
    <x:row r="20">
      <x:c r="A20" s="44" t="str">
        <x:v>RETAINED</x:v>
      </x:c>
      <x:c r="B20" s="44" t="str">
        <x:v>Lagom product names, SKUs, descriptions, categories/lines, workflow fields, dashboard concepts</x:v>
      </x:c>
      <x:c r="C20" s="44" t="str">
        <x:v>Core product/workbook architecture</x:v>
      </x:c>
      <x:c r="D20" s="44" t="str"/>
      <x:c r="E20" s="44" t="str"/>
      <x:c r="F20" s="44" t="str"/>
    </x:row>
    <x:row r="21">
      <x:c r="A21" s="44" t="str">
        <x:v>SYNTHETIC</x:v>
      </x:c>
      <x:c r="B21" s="44" t="str">
        <x:v>Customers, cities, invoices, dates, sales reps, revenue, AR, COGS, commission settings</x:v>
      </x:c>
      <x:c r="C21" s="44" t="str">
        <x:v>Preserves realistic test behavior without exposing operational/private data</x:v>
      </x:c>
      <x:c r="D21" s="44" t="str"/>
      <x:c r="E21" s="44" t="str"/>
      <x:c r="F21" s="44" t="str"/>
    </x:row>
    <x:row r="22">
      <x:c r="A22" s="44" t="str">
        <x:v>REMOVED</x:v>
      </x:c>
      <x:c r="B22" s="44" t="str">
        <x:v>Bank routing/account numbers and direct payment credentials</x:v>
      </x:c>
      <x:c r="C22" s="44" t="str">
        <x:v>Financial credentials should not live in a broadly shared operational workbook</x:v>
      </x:c>
      <x:c r="D22" s="44" t="str"/>
      <x:c r="E22" s="44" t="str"/>
      <x:c r="F22" s="44" t="str"/>
    </x:row>
    <x:row r="23">
      <x:c r="A23" s="44" t="str">
        <x:v>REMOVED</x:v>
      </x:c>
      <x:c r="B23" s="44" t="str">
        <x:v>Real customer names, personal rep names, direct business contact/address details</x:v>
      </x:c>
      <x:c r="C23" s="44" t="str">
        <x:v>Minimizes unnecessary PII/business exposure</x:v>
      </x:c>
      <x:c r="D23" s="44" t="str"/>
      <x:c r="E23" s="44" t="str"/>
      <x:c r="F23" s="44" t="str"/>
    </x:row>
    <x:row r="24">
      <x:c r="A24" s="42"/>
      <x:c r="B24" s="42"/>
      <x:c r="C24" s="42"/>
      <x:c r="D24" s="42"/>
      <x:c r="E24" s="42"/>
      <x:c r="F24" s="42"/>
    </x:row>
    <x:row r="25">
      <x:c r="A25" s="41" t="str">
        <x:v>Reconstruction note</x:v>
      </x:c>
      <x:c r="B25" s="41" t="str">
        <x:v>CSV exports do not contain the original workbook formulas/styles. Formula logic below was reconstructed only where the exported headers/values made the relationship unambiguous.</x:v>
      </x:c>
      <x:c r="C25" s="41" t="str"/>
      <x:c r="D25" s="41" t="str"/>
      <x:c r="E25" s="41" t="str"/>
      <x:c r="F25" s="41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26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9" max="9" width="19" hidden="0" customWidth="1"/>
    <x:col min="10" max="10" width="19" hidden="0" customWidth="1"/>
    <x:col min="11" max="11" width="19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20" t="str">
        <x:v>Product</x:v>
      </x:c>
      <x:c r="B1" s="20" t="str">
        <x:v>SKU</x:v>
      </x:c>
      <x:c r="C1" s="20" t="str">
        <x:v>Description</x:v>
      </x:c>
      <x:c r="D1" s="20" t="str">
        <x:v>Category</x:v>
      </x:c>
      <x:c r="E1" s="20" t="str">
        <x:v>Line</x:v>
      </x:c>
      <x:c r="F1" s="20" t="str">
        <x:v>COGS/Case</x:v>
      </x:c>
      <x:c r="G1" s="20" t="str">
        <x:v>Cost/Bag Reference</x:v>
      </x:c>
      <x:c r="H1" s="20" t="str"/>
      <x:c r="I1" s="20" t="str">
        <x:v>Pay Period End</x:v>
      </x:c>
      <x:c r="J1" s="20" t="str">
        <x:v>Pay Period Start</x:v>
      </x:c>
      <x:c r="K1" s="20" t="str">
        <x:v>Pay Period Label</x:v>
      </x:c>
      <x:c r="L1" s="26"/>
      <x:c r="M1" s="20" t="str">
        <x:v>Sales Reps</x:v>
      </x:c>
      <x:c r="N1" s="20" t="str">
        <x:v>Payment Status</x:v>
      </x:c>
      <x:c r="O1" s="20" t="str">
        <x:v>Account Type</x:v>
      </x:c>
      <x:c r="P1" s="20" t="str">
        <x:v>Channel</x:v>
      </x:c>
      <x:c r="Q1" s="20" t="str">
        <x:v>Collection Status</x:v>
      </x:c>
    </x:row>
    <x:row r="2">
      <x:c r="A2" s="26" t="str">
        <x:v>Lagom - 24K Lemonade</x:v>
      </x:c>
      <x:c r="B2" s="26" t="str">
        <x:v>860012530502</x:v>
      </x:c>
      <x:c r="C2" s="26" t="str">
        <x:v>24 can case - 12 oz cans</x:v>
      </x:c>
      <x:c r="D2" s="26" t="str">
        <x:v>Seltzer</x:v>
      </x:c>
      <x:c r="E2" s="26" t="str">
        <x:v>Seltzer</x:v>
      </x:c>
      <x:c r="F2" s="60" t="n">
        <x:v>48</x:v>
      </x:c>
      <x:c r="G2" s="60" t="n">
        <x:v>2</x:v>
      </x:c>
      <x:c r="H2" s="26" t="str"/>
      <x:c r="I2" s="61" t="n">
        <x:v>46278</x:v>
      </x:c>
      <x:c r="J2" s="61" t="n">
        <x:v>46265</x:v>
      </x:c>
      <x:c r="K2" s="26" t="str">
        <x:v>08/31/2026 - 09/13/2026</x:v>
      </x:c>
      <x:c r="L2" s="26"/>
      <x:c r="M2" s="26" t="str">
        <x:v>Sales Rep 01</x:v>
      </x:c>
      <x:c r="N2" s="26" t="str">
        <x:v>Paid</x:v>
      </x:c>
      <x:c r="O2" s="26" t="str">
        <x:v>New</x:v>
      </x:c>
      <x:c r="P2" s="26" t="str">
        <x:v>Liquor Store</x:v>
      </x:c>
      <x:c r="Q2" s="26" t="str">
        <x:v>Closed</x:v>
      </x:c>
    </x:row>
    <x:row r="3">
      <x:c r="A3" s="26" t="str">
        <x:v>Lagom - Strawberry Lime Fusion</x:v>
      </x:c>
      <x:c r="B3" s="26" t="str">
        <x:v>860012530540</x:v>
      </x:c>
      <x:c r="C3" s="26" t="str">
        <x:v>24 can case - 12 oz cans</x:v>
      </x:c>
      <x:c r="D3" s="26" t="str">
        <x:v>Seltzer</x:v>
      </x:c>
      <x:c r="E3" s="26" t="str">
        <x:v>Seltzer</x:v>
      </x:c>
      <x:c r="F3" s="60" t="n">
        <x:v>48</x:v>
      </x:c>
      <x:c r="G3" s="60" t="n">
        <x:v>2</x:v>
      </x:c>
      <x:c r="H3" s="26" t="str"/>
      <x:c r="I3" s="61" t="n">
        <x:v>46292</x:v>
      </x:c>
      <x:c r="J3" s="61" t="n">
        <x:v>46279</x:v>
      </x:c>
      <x:c r="K3" s="26" t="str">
        <x:v>09/14/2026 - 09/27/2026</x:v>
      </x:c>
      <x:c r="L3" s="26"/>
      <x:c r="M3" s="26" t="str">
        <x:v>Sales Rep 02</x:v>
      </x:c>
      <x:c r="N3" s="26" t="str">
        <x:v>Unpaid</x:v>
      </x:c>
      <x:c r="O3" s="26" t="str">
        <x:v>Reorder</x:v>
      </x:c>
      <x:c r="P3" s="26" t="str">
        <x:v>Specialty Retail</x:v>
      </x:c>
      <x:c r="Q3" s="26" t="str">
        <x:v>Monitor</x:v>
      </x:c>
    </x:row>
    <x:row r="4">
      <x:c r="A4" s="26" t="str">
        <x:v>Lagom - Blackberry Breeze</x:v>
      </x:c>
      <x:c r="B4" s="26" t="str">
        <x:v>860012530564</x:v>
      </x:c>
      <x:c r="C4" s="26" t="str">
        <x:v>24 can case - 12 oz cans</x:v>
      </x:c>
      <x:c r="D4" s="26" t="str">
        <x:v>Seltzer</x:v>
      </x:c>
      <x:c r="E4" s="26" t="str">
        <x:v>Seltzer</x:v>
      </x:c>
      <x:c r="F4" s="60" t="n">
        <x:v>48</x:v>
      </x:c>
      <x:c r="G4" s="60" t="n">
        <x:v>2</x:v>
      </x:c>
      <x:c r="H4" s="26" t="str"/>
      <x:c r="I4" s="61" t="str"/>
      <x:c r="J4" s="61" t="str"/>
      <x:c r="K4" s="26" t="str"/>
      <x:c r="L4" s="26"/>
      <x:c r="M4" s="26" t="str">
        <x:v>Sales Rep 03</x:v>
      </x:c>
      <x:c r="N4" s="26" t="str">
        <x:v>Pending</x:v>
      </x:c>
      <x:c r="O4" s="26" t="str"/>
      <x:c r="P4" s="26" t="str">
        <x:v>Grocery</x:v>
      </x:c>
      <x:c r="Q4" s="26" t="str">
        <x:v>Follow up</x:v>
      </x:c>
    </x:row>
    <x:row r="5">
      <x:c r="A5" s="26" t="str">
        <x:v>Lagom - Watermelon Refresher</x:v>
      </x:c>
      <x:c r="B5" s="26" t="str">
        <x:v>860012530526</x:v>
      </x:c>
      <x:c r="C5" s="26" t="str">
        <x:v>24 can case - 12 oz cans</x:v>
      </x:c>
      <x:c r="D5" s="26" t="str">
        <x:v>Seltzer</x:v>
      </x:c>
      <x:c r="E5" s="26" t="str">
        <x:v>Seltzer</x:v>
      </x:c>
      <x:c r="F5" s="60" t="n">
        <x:v>48</x:v>
      </x:c>
      <x:c r="G5" s="60" t="n">
        <x:v>2</x:v>
      </x:c>
      <x:c r="H5" s="26" t="str"/>
      <x:c r="I5" s="61" t="str"/>
      <x:c r="J5" s="61" t="str"/>
      <x:c r="K5" s="26" t="str"/>
      <x:c r="L5" s="26"/>
      <x:c r="M5" s="26" t="str">
        <x:v>Sales Rep 04</x:v>
      </x:c>
      <x:c r="N5" s="26" t="str"/>
      <x:c r="O5" s="26" t="str"/>
      <x:c r="P5" s="26" t="str">
        <x:v>On-Premise</x:v>
      </x:c>
      <x:c r="Q5" s="26" t="str">
        <x:v>Urgent collection</x:v>
      </x:c>
    </x:row>
    <x:row r="6">
      <x:c r="A6" s="26" t="str">
        <x:v>Lagom - Variety Pack</x:v>
      </x:c>
      <x:c r="B6" s="26" t="str">
        <x:v>860012530588</x:v>
      </x:c>
      <x:c r="C6" s="26" t="str">
        <x:v>24 can case - 12 oz cans</x:v>
      </x:c>
      <x:c r="D6" s="26" t="str">
        <x:v>Seltzer</x:v>
      </x:c>
      <x:c r="E6" s="26" t="str">
        <x:v>Seltzer</x:v>
      </x:c>
      <x:c r="F6" s="60" t="n">
        <x:v>48</x:v>
      </x:c>
      <x:c r="G6" s="60" t="n">
        <x:v>2</x:v>
      </x:c>
      <x:c r="H6" s="26" t="str"/>
      <x:c r="I6" s="61" t="str"/>
      <x:c r="J6" s="61" t="str"/>
      <x:c r="K6" s="26" t="str"/>
      <x:c r="L6" s="26"/>
      <x:c r="M6" s="26" t="str"/>
      <x:c r="N6" s="26" t="str"/>
      <x:c r="O6" s="26" t="str"/>
      <x:c r="P6" s="26" t="str"/>
      <x:c r="Q6" s="26" t="str">
        <x:v>Immediate action</x:v>
      </x:c>
    </x:row>
    <x:row r="7">
      <x:c r="A7" s="26" t="str">
        <x:v>Midnight Drift - Blueberry Yum Yum</x:v>
      </x:c>
      <x:c r="B7" s="26" t="str">
        <x:v>792671159896</x:v>
      </x:c>
      <x:c r="C7" s="26" t="str">
        <x:v>Case of 10</x:v>
      </x:c>
      <x:c r="D7" s="26" t="str">
        <x:v>Gummy</x:v>
      </x:c>
      <x:c r="E7" s="26" t="str">
        <x:v>Midnight Drift</x:v>
      </x:c>
      <x:c r="F7" s="60" t="n">
        <x:v>55</x:v>
      </x:c>
      <x:c r="G7" s="60" t="n">
        <x:v>5.5</x:v>
      </x:c>
      <x:c r="H7" s="26" t="str"/>
      <x:c r="I7" s="61" t="str"/>
      <x:c r="J7" s="61" t="str"/>
      <x:c r="K7" s="26" t="str"/>
      <x:c r="L7" s="26"/>
      <x:c r="M7" s="26"/>
      <x:c r="N7" s="26"/>
      <x:c r="O7" s="26"/>
      <x:c r="P7" s="26"/>
      <x:c r="Q7" s="26"/>
    </x:row>
    <x:row r="8">
      <x:c r="A8" s="26" t="str">
        <x:v>Midnight Drift - Strawberry</x:v>
      </x:c>
      <x:c r="B8" s="26" t="str">
        <x:v>792671159872</x:v>
      </x:c>
      <x:c r="C8" s="26" t="str">
        <x:v>Case of 10</x:v>
      </x:c>
      <x:c r="D8" s="26" t="str">
        <x:v>Gummy</x:v>
      </x:c>
      <x:c r="E8" s="26" t="str">
        <x:v>Midnight Drift</x:v>
      </x:c>
      <x:c r="F8" s="60" t="n">
        <x:v>55</x:v>
      </x:c>
      <x:c r="G8" s="60" t="n">
        <x:v>5.5</x:v>
      </x:c>
      <x:c r="H8" s="26" t="str"/>
      <x:c r="I8" s="61" t="str"/>
      <x:c r="J8" s="61" t="str"/>
      <x:c r="K8" s="26" t="str"/>
      <x:c r="L8" s="26"/>
      <x:c r="M8" s="26"/>
      <x:c r="N8" s="26"/>
      <x:c r="O8" s="26"/>
      <x:c r="P8" s="26"/>
      <x:c r="Q8" s="26"/>
    </x:row>
    <x:row r="9">
      <x:c r="A9" s="26" t="str">
        <x:v>Midnight Drift - Pink Lemonade</x:v>
      </x:c>
      <x:c r="B9" s="26" t="str">
        <x:v>792671159902</x:v>
      </x:c>
      <x:c r="C9" s="26" t="str">
        <x:v>Case of 10</x:v>
      </x:c>
      <x:c r="D9" s="26" t="str">
        <x:v>Gummy</x:v>
      </x:c>
      <x:c r="E9" s="26" t="str">
        <x:v>Midnight Drift</x:v>
      </x:c>
      <x:c r="F9" s="60" t="n">
        <x:v>55</x:v>
      </x:c>
      <x:c r="G9" s="60" t="n">
        <x:v>5.5</x:v>
      </x:c>
      <x:c r="H9" s="26" t="str"/>
      <x:c r="I9" s="61" t="str"/>
      <x:c r="J9" s="61" t="str"/>
      <x:c r="K9" s="26" t="str"/>
      <x:c r="L9" s="26"/>
      <x:c r="M9" s="26"/>
      <x:c r="N9" s="26"/>
      <x:c r="O9" s="26"/>
      <x:c r="P9" s="26"/>
      <x:c r="Q9" s="26"/>
    </x:row>
    <x:row r="10">
      <x:c r="A10" s="26" t="str">
        <x:v>Midnight Drift - Peach</x:v>
      </x:c>
      <x:c r="B10" s="26" t="str">
        <x:v>792671159889</x:v>
      </x:c>
      <x:c r="C10" s="26" t="str">
        <x:v>Case of 10</x:v>
      </x:c>
      <x:c r="D10" s="26" t="str">
        <x:v>Gummy</x:v>
      </x:c>
      <x:c r="E10" s="26" t="str">
        <x:v>Midnight Drift</x:v>
      </x:c>
      <x:c r="F10" s="60" t="n">
        <x:v>55</x:v>
      </x:c>
      <x:c r="G10" s="60" t="n">
        <x:v>5.5</x:v>
      </x:c>
      <x:c r="H10" s="26" t="str"/>
      <x:c r="I10" s="61" t="str"/>
      <x:c r="J10" s="61" t="str"/>
      <x:c r="K10" s="26" t="str"/>
      <x:c r="L10" s="26"/>
      <x:c r="M10" s="26"/>
      <x:c r="N10" s="26"/>
      <x:c r="O10" s="26"/>
      <x:c r="P10" s="26"/>
      <x:c r="Q10" s="26"/>
    </x:row>
    <x:row r="11">
      <x:c r="A11" s="26" t="str">
        <x:v>Organic Line - Blue Razz</x:v>
      </x:c>
      <x:c r="B11" s="26" t="str">
        <x:v>860012530533</x:v>
      </x:c>
      <x:c r="C11" s="26" t="str">
        <x:v>Case of 10</x:v>
      </x:c>
      <x:c r="D11" s="26" t="str">
        <x:v>Gummy</x:v>
      </x:c>
      <x:c r="E11" s="26" t="str">
        <x:v>Organic Line</x:v>
      </x:c>
      <x:c r="F11" s="60" t="n">
        <x:v>57</x:v>
      </x:c>
      <x:c r="G11" s="60" t="n">
        <x:v>5.7</x:v>
      </x:c>
      <x:c r="H11" s="26" t="str"/>
      <x:c r="I11" s="61" t="str"/>
      <x:c r="J11" s="61" t="str"/>
      <x:c r="K11" s="26" t="str"/>
      <x:c r="L11" s="26"/>
      <x:c r="M11" s="26"/>
      <x:c r="N11" s="26"/>
      <x:c r="O11" s="26"/>
      <x:c r="P11" s="26"/>
      <x:c r="Q11" s="26"/>
    </x:row>
    <x:row r="12">
      <x:c r="A12" s="26" t="str">
        <x:v>Organic Line - Berry Melon Bliss</x:v>
      </x:c>
      <x:c r="B12" s="26" t="str">
        <x:v>860012530557</x:v>
      </x:c>
      <x:c r="C12" s="26" t="str">
        <x:v>Case of 10</x:v>
      </x:c>
      <x:c r="D12" s="26" t="str">
        <x:v>Gummy</x:v>
      </x:c>
      <x:c r="E12" s="26" t="str">
        <x:v>Organic Line</x:v>
      </x:c>
      <x:c r="F12" s="60" t="n">
        <x:v>57</x:v>
      </x:c>
      <x:c r="G12" s="60" t="n">
        <x:v>5.7</x:v>
      </x:c>
      <x:c r="H12" s="26" t="str"/>
      <x:c r="I12" s="61" t="str"/>
      <x:c r="J12" s="61" t="str"/>
      <x:c r="K12" s="26" t="str"/>
      <x:c r="L12" s="26"/>
      <x:c r="M12" s="26"/>
      <x:c r="N12" s="26"/>
      <x:c r="O12" s="26"/>
      <x:c r="P12" s="26"/>
      <x:c r="Q12" s="26"/>
    </x:row>
    <x:row r="13">
      <x:c r="A13" s="26" t="str">
        <x:v>Organic Line - Cherry Bliss</x:v>
      </x:c>
      <x:c r="B13" s="26" t="str">
        <x:v>860012530571</x:v>
      </x:c>
      <x:c r="C13" s="26" t="str">
        <x:v>Case of 10</x:v>
      </x:c>
      <x:c r="D13" s="26" t="str">
        <x:v>Gummy</x:v>
      </x:c>
      <x:c r="E13" s="26" t="str">
        <x:v>Organic Line</x:v>
      </x:c>
      <x:c r="F13" s="60" t="n">
        <x:v>57</x:v>
      </x:c>
      <x:c r="G13" s="60" t="n">
        <x:v>5.7</x:v>
      </x:c>
      <x:c r="H13" s="26" t="str"/>
      <x:c r="I13" s="61" t="str"/>
      <x:c r="J13" s="61" t="str"/>
      <x:c r="K13" s="26" t="str"/>
      <x:c r="L13" s="26"/>
      <x:c r="M13" s="26"/>
      <x:c r="N13" s="26"/>
      <x:c r="O13" s="26"/>
      <x:c r="P13" s="26"/>
      <x:c r="Q13" s="26"/>
    </x:row>
    <x:row r="14">
      <x:c r="A14" s="26" t="str">
        <x:v>Organic Line - Push Pop</x:v>
      </x:c>
      <x:c r="B14" s="26" t="str">
        <x:v>860012530595</x:v>
      </x:c>
      <x:c r="C14" s="26" t="str">
        <x:v>Case of 10</x:v>
      </x:c>
      <x:c r="D14" s="26" t="str">
        <x:v>Gummy</x:v>
      </x:c>
      <x:c r="E14" s="26" t="str">
        <x:v>Organic Line</x:v>
      </x:c>
      <x:c r="F14" s="60" t="n">
        <x:v>57</x:v>
      </x:c>
      <x:c r="G14" s="60" t="n">
        <x:v>5.7</x:v>
      </x:c>
      <x:c r="H14" s="26" t="str"/>
      <x:c r="I14" s="61" t="str"/>
      <x:c r="J14" s="61" t="str"/>
      <x:c r="K14" s="26" t="str"/>
      <x:c r="L14" s="26"/>
      <x:c r="M14" s="26"/>
      <x:c r="N14" s="26"/>
      <x:c r="O14" s="26"/>
      <x:c r="P14" s="26"/>
      <x:c r="Q14" s="26"/>
    </x:row>
    <x:row r="15">
      <x:c r="A15" s="26" t="str">
        <x:v>The Drip - Blueberry Yum Yum</x:v>
      </x:c>
      <x:c r="B15" s="26" t="str">
        <x:v>792671159919</x:v>
      </x:c>
      <x:c r="C15" s="26" t="str">
        <x:v>Case of 10</x:v>
      </x:c>
      <x:c r="D15" s="26" t="str">
        <x:v>Gummy</x:v>
      </x:c>
      <x:c r="E15" s="26" t="str">
        <x:v>The Drip</x:v>
      </x:c>
      <x:c r="F15" s="60" t="n">
        <x:v>50</x:v>
      </x:c>
      <x:c r="G15" s="60" t="n">
        <x:v>5</x:v>
      </x:c>
      <x:c r="H15" s="26" t="str"/>
      <x:c r="I15" s="61" t="str"/>
      <x:c r="J15" s="61" t="str"/>
      <x:c r="K15" s="26" t="str"/>
      <x:c r="L15" s="26"/>
      <x:c r="M15" s="26"/>
      <x:c r="N15" s="26"/>
      <x:c r="O15" s="26"/>
      <x:c r="P15" s="26"/>
      <x:c r="Q15" s="26"/>
    </x:row>
    <x:row r="16">
      <x:c r="A16" s="26" t="str">
        <x:v>The Drip - Push Pop</x:v>
      </x:c>
      <x:c r="B16" s="26" t="str">
        <x:v>792671159926</x:v>
      </x:c>
      <x:c r="C16" s="26" t="str">
        <x:v>Case of 10</x:v>
      </x:c>
      <x:c r="D16" s="26" t="str">
        <x:v>Gummy</x:v>
      </x:c>
      <x:c r="E16" s="26" t="str">
        <x:v>The Drip</x:v>
      </x:c>
      <x:c r="F16" s="60" t="n">
        <x:v>50</x:v>
      </x:c>
      <x:c r="G16" s="60" t="n">
        <x:v>5</x:v>
      </x:c>
      <x:c r="H16" s="26" t="str"/>
      <x:c r="I16" s="61" t="str"/>
      <x:c r="J16" s="61" t="str"/>
      <x:c r="K16" s="26" t="str"/>
      <x:c r="L16" s="26"/>
      <x:c r="M16" s="26"/>
      <x:c r="N16" s="26"/>
      <x:c r="O16" s="26"/>
      <x:c r="P16" s="26"/>
      <x:c r="Q16" s="26"/>
    </x:row>
    <x:row r="17">
      <x:c r="A17" s="26" t="str">
        <x:v>The Drip - Green Apple</x:v>
      </x:c>
      <x:c r="B17" s="26" t="str">
        <x:v>792671159933</x:v>
      </x:c>
      <x:c r="C17" s="26" t="str">
        <x:v>Case of 10</x:v>
      </x:c>
      <x:c r="D17" s="26" t="str">
        <x:v>Gummy</x:v>
      </x:c>
      <x:c r="E17" s="26" t="str">
        <x:v>The Drip</x:v>
      </x:c>
      <x:c r="F17" s="60" t="n">
        <x:v>50</x:v>
      </x:c>
      <x:c r="G17" s="60" t="n">
        <x:v>5</x:v>
      </x:c>
      <x:c r="H17" s="26" t="str"/>
      <x:c r="I17" s="61" t="str"/>
      <x:c r="J17" s="61" t="str"/>
      <x:c r="K17" s="26" t="str"/>
      <x:c r="L17" s="26"/>
      <x:c r="M17" s="26"/>
      <x:c r="N17" s="26"/>
      <x:c r="O17" s="26"/>
      <x:c r="P17" s="26"/>
      <x:c r="Q17" s="26"/>
    </x:row>
    <x:row r="18">
      <x:c r="A18" s="26" t="str">
        <x:v>The Drip - Strawberry Banana</x:v>
      </x:c>
      <x:c r="B18" s="26" t="str">
        <x:v>792671159940</x:v>
      </x:c>
      <x:c r="C18" s="26" t="str">
        <x:v>Case of 10</x:v>
      </x:c>
      <x:c r="D18" s="26" t="str">
        <x:v>Gummy</x:v>
      </x:c>
      <x:c r="E18" s="26" t="str">
        <x:v>The Drip</x:v>
      </x:c>
      <x:c r="F18" s="60" t="n">
        <x:v>50</x:v>
      </x:c>
      <x:c r="G18" s="60" t="n">
        <x:v>5</x:v>
      </x:c>
      <x:c r="H18" s="26" t="str"/>
      <x:c r="I18" s="61" t="str"/>
      <x:c r="J18" s="61" t="str"/>
      <x:c r="K18" s="26" t="str"/>
      <x:c r="L18" s="26"/>
      <x:c r="M18" s="26"/>
      <x:c r="N18" s="26"/>
      <x:c r="O18" s="26"/>
      <x:c r="P18" s="26"/>
      <x:c r="Q18" s="2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4" hidden="0" customWidth="1"/>
    <x:col min="5" max="5" width="22" hidden="0" customWidth="1"/>
    <x:col min="6" max="6" width="14" hidden="0" customWidth="1"/>
    <x:col min="7" max="7" width="14" hidden="0" customWidth="1"/>
    <x:col min="8" max="8" width="16" hidden="0" customWidth="1"/>
    <x:col min="9" max="9" width="30" hidden="0" customWidth="1"/>
    <x:col min="10" max="10" width="16" hidden="0" customWidth="1"/>
    <x:col min="11" max="11" width="2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8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8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</x:cols>
  <x:sheetData>
    <x:row r="1" ht="28" customHeight="1">
      <x:c r="A1" s="66" t="str">
        <x:v>Lagom Naturals - Depletion Report — SANITIZED SOURCE OF TRUTH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66"/>
      <x:c r="W1" s="66"/>
      <x:c r="X1" s="66"/>
      <x:c r="Y1" s="66"/>
      <x:c r="Z1" s="66"/>
      <x:c r="AA1" s="66"/>
      <x:c r="AB1" s="66"/>
      <x:c r="AC1" s="66"/>
      <x:c r="AD1" s="66"/>
      <x:c r="AE1" s="66"/>
      <x:c r="AF1" s="66"/>
      <x:c r="AG1" s="66"/>
      <x:c r="AH1" s="66"/>
      <x:c r="AI1" s="66"/>
      <x:c r="AJ1" s="66"/>
    </x:row>
    <x:row r="3">
      <x:c r="A3" s="12" t="str">
        <x:v>Manual-input cells are light blue. Formula/lookup cells are gray. Customer, personnel and financial values are synthetic; product catalog data is retained.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  <x:c r="AE3" s="12"/>
      <x:c r="AF3" s="12"/>
      <x:c r="AG3" s="12"/>
      <x:c r="AH3" s="12"/>
      <x:c r="AI3" s="12"/>
      <x:c r="AJ3" s="12"/>
    </x:row>
    <x:row r="6">
      <x:c r="A6" s="20" t="str">
        <x:v>Invoice Date</x:v>
      </x:c>
      <x:c r="B6" s="20" t="str">
        <x:v>Type</x:v>
      </x:c>
      <x:c r="C6" s="20" t="str">
        <x:v>Invoice #</x:v>
      </x:c>
      <x:c r="D6" s="20" t="str">
        <x:v>Acct #</x:v>
      </x:c>
      <x:c r="E6" s="20" t="str">
        <x:v>Account Name</x:v>
      </x:c>
      <x:c r="F6" s="20" t="str">
        <x:v>City</x:v>
      </x:c>
      <x:c r="G6" s="20" t="str">
        <x:v>Channel</x:v>
      </x:c>
      <x:c r="H6" s="20" t="str">
        <x:v>Sales Rep</x:v>
      </x:c>
      <x:c r="I6" s="20" t="str">
        <x:v>Product</x:v>
      </x:c>
      <x:c r="J6" s="20" t="str">
        <x:v>SKU</x:v>
      </x:c>
      <x:c r="K6" s="20" t="str">
        <x:v>Description</x:v>
      </x:c>
      <x:c r="L6" s="20" t="str">
        <x:v>Category</x:v>
      </x:c>
      <x:c r="M6" s="20" t="str">
        <x:v>Cases Sold</x:v>
      </x:c>
      <x:c r="N6" s="20" t="str">
        <x:v>Sale Price</x:v>
      </x:c>
      <x:c r="O6" s="20" t="str">
        <x:v>Revenue</x:v>
      </x:c>
      <x:c r="P6" s="20" t="str">
        <x:v>Payment Status</x:v>
      </x:c>
      <x:c r="Q6" s="20" t="str">
        <x:v>Notes</x:v>
      </x:c>
      <x:c r="R6" s="20" t="str">
        <x:v>Account Type</x:v>
      </x:c>
      <x:c r="S6" s="20" t="str">
        <x:v>COGS/Case</x:v>
      </x:c>
      <x:c r="T6" s="20" t="str">
        <x:v>Total COGS</x:v>
      </x:c>
      <x:c r="U6" s="20" t="str">
        <x:v>Gross Profit</x:v>
      </x:c>
      <x:c r="V6" s="20" t="str">
        <x:v>Dup Check</x:v>
      </x:c>
      <x:c r="W6" s="20" t="str">
        <x:v>Inv Line#</x:v>
      </x:c>
      <x:c r="X6" s="20" t="str">
        <x:v>Lookup Key</x:v>
      </x:c>
      <x:c r="Y6" s="20" t="str">
        <x:v>Adjustment Type</x:v>
      </x:c>
      <x:c r="Z6" s="20" t="str">
        <x:v>Cost/Bag Reference</x:v>
      </x:c>
      <x:c r="AA6" s="20" t="str">
        <x:v>Invoice Total</x:v>
      </x:c>
      <x:c r="AB6" s="20" t="str">
        <x:v>Amount Paid</x:v>
      </x:c>
      <x:c r="AC6" s="20" t="str">
        <x:v>Balance Due</x:v>
      </x:c>
      <x:c r="AD6" s="20" t="str">
        <x:v>Due Date</x:v>
      </x:c>
      <x:c r="AE6" s="20" t="str">
        <x:v>Days Past Due</x:v>
      </x:c>
      <x:c r="AF6" s="20" t="str">
        <x:v>Collection Status</x:v>
      </x:c>
      <x:c r="AG6" s="20" t="str">
        <x:v>Last Follow-Up Date</x:v>
      </x:c>
      <x:c r="AH6" s="20" t="str">
        <x:v>Next Follow-Up Date</x:v>
      </x:c>
      <x:c r="AI6" s="20" t="str">
        <x:v>Payment Date</x:v>
      </x:c>
      <x:c r="AJ6" s="20" t="str">
        <x:v>Commission Eligible Date</x:v>
      </x:c>
    </x:row>
    <x:row r="7">
      <x:c r="A7" s="86" t="n">
        <x:v>46218</x:v>
      </x:c>
      <x:c r="B7" s="87" t="str">
        <x:v>Invoice</x:v>
      </x:c>
      <x:c r="C7" s="87" t="str">
        <x:v>9001</x:v>
      </x:c>
      <x:c r="D7" s="87" t="str">
        <x:v>ACCT-001</x:v>
      </x:c>
      <x:c r="E7" s="87" t="str">
        <x:v>Retail Account 001</x:v>
      </x:c>
      <x:c r="F7" s="87" t="str">
        <x:v>Sample City A</x:v>
      </x:c>
      <x:c r="G7" s="87" t="str">
        <x:v>Liquor Store</x:v>
      </x:c>
      <x:c r="H7" s="87" t="str">
        <x:v>Sales Rep 01</x:v>
      </x:c>
      <x:c r="I7" s="87" t="str">
        <x:v>Lagom - 24K Lemonade</x:v>
      </x:c>
      <x:c r="J7" s="88" t="n">
        <x:f>IF($I7="","",VLOOKUP($I7,Lookup!$A$2:$G$18,2,FALSE))</x:f>
        <x:v>860012530502</x:v>
      </x:c>
      <x:c r="K7" s="88" t="str">
        <x:f>IF($I7="","",VLOOKUP($I7,Lookup!$A$2:$G$18,3,FALSE))</x:f>
        <x:v>24 can case - 12 oz cans</x:v>
      </x:c>
      <x:c r="L7" s="88" t="str">
        <x:f>IF($I7="","",VLOOKUP($I7,Lookup!$A$2:$G$18,4,FALSE))</x:f>
        <x:v>Seltzer</x:v>
      </x:c>
      <x:c r="M7" s="89" t="n">
        <x:v>1</x:v>
      </x:c>
      <x:c r="N7" s="90" t="n">
        <x:v>80</x:v>
      </x:c>
      <x:c r="O7" s="91" t="n">
        <x:f>IF($C7="","",$M7*$N7)</x:f>
        <x:v>80</x:v>
      </x:c>
      <x:c r="P7" s="87" t="str">
        <x:v>Paid</x:v>
      </x:c>
      <x:c r="Q7" s="87" t="str">
        <x:v>Sample payment confirmed.</x:v>
      </x:c>
      <x:c r="R7" s="87" t="str">
        <x:v>New</x:v>
      </x:c>
      <x:c r="S7" s="91" t="n">
        <x:f>IF($I7="","",VLOOKUP($I7,Lookup!$A$2:$G$18,6,FALSE))</x:f>
        <x:v>48</x:v>
      </x:c>
      <x:c r="T7" s="91" t="n">
        <x:f>IF($C7="","",$M7*$S7)</x:f>
        <x:v>48</x:v>
      </x:c>
      <x:c r="U7" s="91" t="n">
        <x:f>IF($C7="","",$O7-$T7)</x:f>
        <x:v>32</x:v>
      </x:c>
      <x:c r="V7" s="88" t="str">
        <x:f>IF($C7="","",IF(COUNTIFS($B$7:$B$56,$B7,$C$7:$C$56,$C7,$E$7:$E$56,$E7,$I$7:$I$56,$I7,$N$7:$N$56,$N7,$M$7:$M$56,$M7)&gt;1,"CHECK","OK"))</x:f>
        <x:v>OK</x:v>
      </x:c>
      <x:c r="W7" s="88" t="n">
        <x:f>IF($C7="","",COUNTIF($C$7:$C7,$C7))</x:f>
        <x:v>1</x:v>
      </x:c>
      <x:c r="X7" s="88" t="str">
        <x:f>IF($C7="","",$C7&amp;"-"&amp;$W7)</x:f>
        <x:v>9001-1</x:v>
      </x:c>
      <x:c r="Y7" s="87" t="str"/>
      <x:c r="Z7" s="91" t="n">
        <x:f>IF($I7="","",VLOOKUP($I7,Lookup!$A$2:$G$18,7,FALSE))</x:f>
        <x:v>2</x:v>
      </x:c>
      <x:c r="AA7" s="91" t="n">
        <x:f>IF($C7="","",SUMIF($C$7:$C$56,$C7,$O$7:$O$56))</x:f>
        <x:v>160</x:v>
      </x:c>
      <x:c r="AB7" s="90" t="n">
        <x:v>160</x:v>
      </x:c>
      <x:c r="AC7" s="91" t="n">
        <x:f>IF($C7="","",MAX(0,$AA7-$AB7))</x:f>
        <x:v>0</x:v>
      </x:c>
      <x:c r="AD7" s="86" t="n">
        <x:v>46218</x:v>
      </x:c>
      <x:c r="AE7" s="92" t="str">
        <x:f>IF(OR($C7="",$AC7&lt;=0,$AD7=""),"",MAX(0,TODAY()-$AD7))</x:f>
      </x:c>
      <x:c r="AF7" s="88" t="str">
        <x:f>IF($C7="","",IF($AC7&lt;=0,"Closed",IF($AD7="","Open",IF($AE7&gt;90,"Immediate action",IF($AE7&gt;60,"Urgent collection",IF($AE7&gt;30,"Follow up","Monitor"))))))</x:f>
        <x:v>Closed</x:v>
      </x:c>
      <x:c r="AG7" s="86" t="str"/>
      <x:c r="AH7" s="86" t="str"/>
      <x:c r="AI7" s="86" t="n">
        <x:v>46219</x:v>
      </x:c>
      <x:c r="AJ7" s="93" t="n">
        <x:f>IF(AND($P7="Paid",$AI7&lt;&gt;""),$AI7,"")</x:f>
        <x:v>46219</x:v>
      </x:c>
    </x:row>
    <x:row r="8">
      <x:c r="A8" s="86" t="n">
        <x:v>46218</x:v>
      </x:c>
      <x:c r="B8" s="87" t="str">
        <x:v>Invoice</x:v>
      </x:c>
      <x:c r="C8" s="87" t="str">
        <x:v>9001</x:v>
      </x:c>
      <x:c r="D8" s="87" t="str">
        <x:v>ACCT-001</x:v>
      </x:c>
      <x:c r="E8" s="87" t="str">
        <x:v>Retail Account 001</x:v>
      </x:c>
      <x:c r="F8" s="87" t="str">
        <x:v>Sample City A</x:v>
      </x:c>
      <x:c r="G8" s="87" t="str">
        <x:v>Liquor Store</x:v>
      </x:c>
      <x:c r="H8" s="87" t="str">
        <x:v>Sales Rep 01</x:v>
      </x:c>
      <x:c r="I8" s="87" t="str">
        <x:v>Lagom - Strawberry Lime Fusion</x:v>
      </x:c>
      <x:c r="J8" s="88" t="n">
        <x:f>IF($I8="","",VLOOKUP($I8,Lookup!$A$2:$G$18,2,FALSE))</x:f>
        <x:v>860012530540</x:v>
      </x:c>
      <x:c r="K8" s="88" t="str">
        <x:f>IF($I8="","",VLOOKUP($I8,Lookup!$A$2:$G$18,3,FALSE))</x:f>
        <x:v>24 can case - 12 oz cans</x:v>
      </x:c>
      <x:c r="L8" s="88" t="str">
        <x:f>IF($I8="","",VLOOKUP($I8,Lookup!$A$2:$G$18,4,FALSE))</x:f>
        <x:v>Seltzer</x:v>
      </x:c>
      <x:c r="M8" s="89" t="n">
        <x:v>1</x:v>
      </x:c>
      <x:c r="N8" s="90" t="n">
        <x:v>80</x:v>
      </x:c>
      <x:c r="O8" s="91" t="n">
        <x:f>IF($C8="","",$M8*$N8)</x:f>
        <x:v>80</x:v>
      </x:c>
      <x:c r="P8" s="87" t="str">
        <x:v>Paid</x:v>
      </x:c>
      <x:c r="Q8" s="87" t="str"/>
      <x:c r="R8" s="87" t="str">
        <x:v>New</x:v>
      </x:c>
      <x:c r="S8" s="91" t="n">
        <x:f>IF($I8="","",VLOOKUP($I8,Lookup!$A$2:$G$18,6,FALSE))</x:f>
        <x:v>48</x:v>
      </x:c>
      <x:c r="T8" s="91" t="n">
        <x:f>IF($C8="","",$M8*$S8)</x:f>
        <x:v>48</x:v>
      </x:c>
      <x:c r="U8" s="91" t="n">
        <x:f>IF($C8="","",$O8-$T8)</x:f>
        <x:v>32</x:v>
      </x:c>
      <x:c r="V8" s="88" t="str">
        <x:f>IF($C8="","",IF(COUNTIFS($B$7:$B$56,$B8,$C$7:$C$56,$C8,$E$7:$E$56,$E8,$I$7:$I$56,$I8,$N$7:$N$56,$N8,$M$7:$M$56,$M8)&gt;1,"CHECK","OK"))</x:f>
        <x:v>OK</x:v>
      </x:c>
      <x:c r="W8" s="88" t="n">
        <x:f>IF($C8="","",COUNTIF($C$7:$C8,$C8))</x:f>
        <x:v>2</x:v>
      </x:c>
      <x:c r="X8" s="88" t="str">
        <x:f>IF($C8="","",$C8&amp;"-"&amp;$W8)</x:f>
        <x:v>9001-2</x:v>
      </x:c>
      <x:c r="Y8" s="87" t="str"/>
      <x:c r="Z8" s="91" t="n">
        <x:f>IF($I8="","",VLOOKUP($I8,Lookup!$A$2:$G$18,7,FALSE))</x:f>
        <x:v>2</x:v>
      </x:c>
      <x:c r="AA8" s="91" t="n">
        <x:f>IF($C8="","",SUMIF($C$7:$C$56,$C8,$O$7:$O$56))</x:f>
        <x:v>160</x:v>
      </x:c>
      <x:c r="AB8" s="90" t="n">
        <x:v>160</x:v>
      </x:c>
      <x:c r="AC8" s="91" t="n">
        <x:f>IF($C8="","",MAX(0,$AA8-$AB8))</x:f>
        <x:v>0</x:v>
      </x:c>
      <x:c r="AD8" s="86" t="n">
        <x:v>46218</x:v>
      </x:c>
      <x:c r="AE8" s="92" t="str">
        <x:f>IF(OR($C8="",$AC8&lt;=0,$AD8=""),"",MAX(0,TODAY()-$AD8))</x:f>
      </x:c>
      <x:c r="AF8" s="88" t="str">
        <x:f>IF($C8="","",IF($AC8&lt;=0,"Closed",IF($AD8="","Open",IF($AE8&gt;90,"Immediate action",IF($AE8&gt;60,"Urgent collection",IF($AE8&gt;30,"Follow up","Monitor"))))))</x:f>
        <x:v>Closed</x:v>
      </x:c>
      <x:c r="AG8" s="86" t="str"/>
      <x:c r="AH8" s="86" t="str"/>
      <x:c r="AI8" s="86" t="n">
        <x:v>46219</x:v>
      </x:c>
      <x:c r="AJ8" s="93" t="n">
        <x:f>IF(AND($P8="Paid",$AI8&lt;&gt;""),$AI8,"")</x:f>
        <x:v>46219</x:v>
      </x:c>
    </x:row>
    <x:row r="9">
      <x:c r="A9" s="86" t="n">
        <x:v>46239</x:v>
      </x:c>
      <x:c r="B9" s="87" t="str">
        <x:v>Invoice</x:v>
      </x:c>
      <x:c r="C9" s="87" t="str">
        <x:v>9002</x:v>
      </x:c>
      <x:c r="D9" s="87" t="str">
        <x:v>ACCT-002</x:v>
      </x:c>
      <x:c r="E9" s="87" t="str">
        <x:v>Retail Account 002</x:v>
      </x:c>
      <x:c r="F9" s="87" t="str">
        <x:v>Sample City B</x:v>
      </x:c>
      <x:c r="G9" s="87" t="str">
        <x:v>Specialty Retail</x:v>
      </x:c>
      <x:c r="H9" s="87" t="str">
        <x:v>Sales Rep 02</x:v>
      </x:c>
      <x:c r="I9" s="87" t="str">
        <x:v>Lagom - Blackberry Breeze</x:v>
      </x:c>
      <x:c r="J9" s="88" t="n">
        <x:f>IF($I9="","",VLOOKUP($I9,Lookup!$A$2:$G$18,2,FALSE))</x:f>
        <x:v>860012530564</x:v>
      </x:c>
      <x:c r="K9" s="88" t="str">
        <x:f>IF($I9="","",VLOOKUP($I9,Lookup!$A$2:$G$18,3,FALSE))</x:f>
        <x:v>24 can case - 12 oz cans</x:v>
      </x:c>
      <x:c r="L9" s="88" t="str">
        <x:f>IF($I9="","",VLOOKUP($I9,Lookup!$A$2:$G$18,4,FALSE))</x:f>
        <x:v>Seltzer</x:v>
      </x:c>
      <x:c r="M9" s="89" t="n">
        <x:v>1</x:v>
      </x:c>
      <x:c r="N9" s="90" t="n">
        <x:v>82</x:v>
      </x:c>
      <x:c r="O9" s="91" t="n">
        <x:f>IF($C9="","",$M9*$N9)</x:f>
        <x:v>82</x:v>
      </x:c>
      <x:c r="P9" s="87" t="str">
        <x:v>Paid</x:v>
      </x:c>
      <x:c r="Q9" s="87" t="str">
        <x:v>Sample payment confirmed.</x:v>
      </x:c>
      <x:c r="R9" s="87" t="str">
        <x:v>Reorder</x:v>
      </x:c>
      <x:c r="S9" s="91" t="n">
        <x:f>IF($I9="","",VLOOKUP($I9,Lookup!$A$2:$G$18,6,FALSE))</x:f>
        <x:v>48</x:v>
      </x:c>
      <x:c r="T9" s="91" t="n">
        <x:f>IF($C9="","",$M9*$S9)</x:f>
        <x:v>48</x:v>
      </x:c>
      <x:c r="U9" s="91" t="n">
        <x:f>IF($C9="","",$O9-$T9)</x:f>
        <x:v>34</x:v>
      </x:c>
      <x:c r="V9" s="88" t="str">
        <x:f>IF($C9="","",IF(COUNTIFS($B$7:$B$56,$B9,$C$7:$C$56,$C9,$E$7:$E$56,$E9,$I$7:$I$56,$I9,$N$7:$N$56,$N9,$M$7:$M$56,$M9)&gt;1,"CHECK","OK"))</x:f>
        <x:v>OK</x:v>
      </x:c>
      <x:c r="W9" s="88" t="n">
        <x:f>IF($C9="","",COUNTIF($C$7:$C9,$C9))</x:f>
        <x:v>1</x:v>
      </x:c>
      <x:c r="X9" s="88" t="str">
        <x:f>IF($C9="","",$C9&amp;"-"&amp;$W9)</x:f>
        <x:v>9002-1</x:v>
      </x:c>
      <x:c r="Y9" s="87" t="str"/>
      <x:c r="Z9" s="91" t="n">
        <x:f>IF($I9="","",VLOOKUP($I9,Lookup!$A$2:$G$18,7,FALSE))</x:f>
        <x:v>2</x:v>
      </x:c>
      <x:c r="AA9" s="91" t="n">
        <x:f>IF($C9="","",SUMIF($C$7:$C$56,$C9,$O$7:$O$56))</x:f>
        <x:v>164</x:v>
      </x:c>
      <x:c r="AB9" s="90" t="n">
        <x:v>164</x:v>
      </x:c>
      <x:c r="AC9" s="91" t="n">
        <x:f>IF($C9="","",MAX(0,$AA9-$AB9))</x:f>
        <x:v>0</x:v>
      </x:c>
      <x:c r="AD9" s="86" t="n">
        <x:v>46239</x:v>
      </x:c>
      <x:c r="AE9" s="92" t="str">
        <x:f>IF(OR($C9="",$AC9&lt;=0,$AD9=""),"",MAX(0,TODAY()-$AD9))</x:f>
      </x:c>
      <x:c r="AF9" s="88" t="str">
        <x:f>IF($C9="","",IF($AC9&lt;=0,"Closed",IF($AD9="","Open",IF($AE9&gt;90,"Immediate action",IF($AE9&gt;60,"Urgent collection",IF($AE9&gt;30,"Follow up","Monitor"))))))</x:f>
        <x:v>Closed</x:v>
      </x:c>
      <x:c r="AG9" s="86" t="str"/>
      <x:c r="AH9" s="86" t="str"/>
      <x:c r="AI9" s="86" t="n">
        <x:v>46240</x:v>
      </x:c>
      <x:c r="AJ9" s="93" t="n">
        <x:f>IF(AND($P9="Paid",$AI9&lt;&gt;""),$AI9,"")</x:f>
        <x:v>46240</x:v>
      </x:c>
    </x:row>
    <x:row r="10">
      <x:c r="A10" s="86" t="n">
        <x:v>46239</x:v>
      </x:c>
      <x:c r="B10" s="87" t="str">
        <x:v>Invoice</x:v>
      </x:c>
      <x:c r="C10" s="87" t="str">
        <x:v>9002</x:v>
      </x:c>
      <x:c r="D10" s="87" t="str">
        <x:v>ACCT-002</x:v>
      </x:c>
      <x:c r="E10" s="87" t="str">
        <x:v>Retail Account 002</x:v>
      </x:c>
      <x:c r="F10" s="87" t="str">
        <x:v>Sample City B</x:v>
      </x:c>
      <x:c r="G10" s="87" t="str">
        <x:v>Specialty Retail</x:v>
      </x:c>
      <x:c r="H10" s="87" t="str">
        <x:v>Sales Rep 02</x:v>
      </x:c>
      <x:c r="I10" s="87" t="str">
        <x:v>Lagom - Watermelon Refresher</x:v>
      </x:c>
      <x:c r="J10" s="88" t="n">
        <x:f>IF($I10="","",VLOOKUP($I10,Lookup!$A$2:$G$18,2,FALSE))</x:f>
        <x:v>860012530526</x:v>
      </x:c>
      <x:c r="K10" s="88" t="str">
        <x:f>IF($I10="","",VLOOKUP($I10,Lookup!$A$2:$G$18,3,FALSE))</x:f>
        <x:v>24 can case - 12 oz cans</x:v>
      </x:c>
      <x:c r="L10" s="88" t="str">
        <x:f>IF($I10="","",VLOOKUP($I10,Lookup!$A$2:$G$18,4,FALSE))</x:f>
        <x:v>Seltzer</x:v>
      </x:c>
      <x:c r="M10" s="89" t="n">
        <x:v>1</x:v>
      </x:c>
      <x:c r="N10" s="90" t="n">
        <x:v>82</x:v>
      </x:c>
      <x:c r="O10" s="91" t="n">
        <x:f>IF($C10="","",$M10*$N10)</x:f>
        <x:v>82</x:v>
      </x:c>
      <x:c r="P10" s="87" t="str">
        <x:v>Paid</x:v>
      </x:c>
      <x:c r="Q10" s="87" t="str"/>
      <x:c r="R10" s="87" t="str">
        <x:v>Reorder</x:v>
      </x:c>
      <x:c r="S10" s="91" t="n">
        <x:f>IF($I10="","",VLOOKUP($I10,Lookup!$A$2:$G$18,6,FALSE))</x:f>
        <x:v>48</x:v>
      </x:c>
      <x:c r="T10" s="91" t="n">
        <x:f>IF($C10="","",$M10*$S10)</x:f>
        <x:v>48</x:v>
      </x:c>
      <x:c r="U10" s="91" t="n">
        <x:f>IF($C10="","",$O10-$T10)</x:f>
        <x:v>34</x:v>
      </x:c>
      <x:c r="V10" s="88" t="str">
        <x:f>IF($C10="","",IF(COUNTIFS($B$7:$B$56,$B10,$C$7:$C$56,$C10,$E$7:$E$56,$E10,$I$7:$I$56,$I10,$N$7:$N$56,$N10,$M$7:$M$56,$M10)&gt;1,"CHECK","OK"))</x:f>
        <x:v>OK</x:v>
      </x:c>
      <x:c r="W10" s="88" t="n">
        <x:f>IF($C10="","",COUNTIF($C$7:$C10,$C10))</x:f>
        <x:v>2</x:v>
      </x:c>
      <x:c r="X10" s="88" t="str">
        <x:f>IF($C10="","",$C10&amp;"-"&amp;$W10)</x:f>
        <x:v>9002-2</x:v>
      </x:c>
      <x:c r="Y10" s="87" t="str"/>
      <x:c r="Z10" s="91" t="n">
        <x:f>IF($I10="","",VLOOKUP($I10,Lookup!$A$2:$G$18,7,FALSE))</x:f>
        <x:v>2</x:v>
      </x:c>
      <x:c r="AA10" s="91" t="n">
        <x:f>IF($C10="","",SUMIF($C$7:$C$56,$C10,$O$7:$O$56))</x:f>
        <x:v>164</x:v>
      </x:c>
      <x:c r="AB10" s="90" t="n">
        <x:v>164</x:v>
      </x:c>
      <x:c r="AC10" s="91" t="n">
        <x:f>IF($C10="","",MAX(0,$AA10-$AB10))</x:f>
        <x:v>0</x:v>
      </x:c>
      <x:c r="AD10" s="86" t="n">
        <x:v>46239</x:v>
      </x:c>
      <x:c r="AE10" s="92" t="str">
        <x:f>IF(OR($C10="",$AC10&lt;=0,$AD10=""),"",MAX(0,TODAY()-$AD10))</x:f>
      </x:c>
      <x:c r="AF10" s="88" t="str">
        <x:f>IF($C10="","",IF($AC10&lt;=0,"Closed",IF($AD10="","Open",IF($AE10&gt;90,"Immediate action",IF($AE10&gt;60,"Urgent collection",IF($AE10&gt;30,"Follow up","Monitor"))))))</x:f>
        <x:v>Closed</x:v>
      </x:c>
      <x:c r="AG10" s="86" t="str"/>
      <x:c r="AH10" s="86" t="str"/>
      <x:c r="AI10" s="86" t="n">
        <x:v>46240</x:v>
      </x:c>
      <x:c r="AJ10" s="93" t="n">
        <x:f>IF(AND($P10="Paid",$AI10&lt;&gt;""),$AI10,"")</x:f>
        <x:v>46240</x:v>
      </x:c>
    </x:row>
    <x:row r="11">
      <x:c r="A11" s="86" t="n">
        <x:v>46275</x:v>
      </x:c>
      <x:c r="B11" s="87" t="str">
        <x:v>Invoice</x:v>
      </x:c>
      <x:c r="C11" s="87" t="str">
        <x:v>9003</x:v>
      </x:c>
      <x:c r="D11" s="87" t="str">
        <x:v>ACCT-003</x:v>
      </x:c>
      <x:c r="E11" s="87" t="str">
        <x:v>Retail Account 003</x:v>
      </x:c>
      <x:c r="F11" s="87" t="str">
        <x:v>Sample City C</x:v>
      </x:c>
      <x:c r="G11" s="87" t="str">
        <x:v>Grocery</x:v>
      </x:c>
      <x:c r="H11" s="87" t="str">
        <x:v>Sales Rep 03</x:v>
      </x:c>
      <x:c r="I11" s="87" t="str">
        <x:v>Lagom - Variety Pack</x:v>
      </x:c>
      <x:c r="J11" s="88" t="n">
        <x:f>IF($I11="","",VLOOKUP($I11,Lookup!$A$2:$G$18,2,FALSE))</x:f>
        <x:v>860012530588</x:v>
      </x:c>
      <x:c r="K11" s="88" t="str">
        <x:f>IF($I11="","",VLOOKUP($I11,Lookup!$A$2:$G$18,3,FALSE))</x:f>
        <x:v>24 can case - 12 oz cans</x:v>
      </x:c>
      <x:c r="L11" s="88" t="str">
        <x:f>IF($I11="","",VLOOKUP($I11,Lookup!$A$2:$G$18,4,FALSE))</x:f>
        <x:v>Seltzer</x:v>
      </x:c>
      <x:c r="M11" s="89" t="n">
        <x:v>1</x:v>
      </x:c>
      <x:c r="N11" s="90" t="n">
        <x:v>84</x:v>
      </x:c>
      <x:c r="O11" s="91" t="n">
        <x:f>IF($C11="","",$M11*$N11)</x:f>
        <x:v>84</x:v>
      </x:c>
      <x:c r="P11" s="87" t="str">
        <x:v>Unpaid</x:v>
      </x:c>
      <x:c r="Q11" s="87" t="str">
        <x:v>Sample follow-up required.</x:v>
      </x:c>
      <x:c r="R11" s="87" t="str">
        <x:v>New</x:v>
      </x:c>
      <x:c r="S11" s="91" t="n">
        <x:f>IF($I11="","",VLOOKUP($I11,Lookup!$A$2:$G$18,6,FALSE))</x:f>
        <x:v>48</x:v>
      </x:c>
      <x:c r="T11" s="91" t="n">
        <x:f>IF($C11="","",$M11*$S11)</x:f>
        <x:v>48</x:v>
      </x:c>
      <x:c r="U11" s="91" t="n">
        <x:f>IF($C11="","",$O11-$T11)</x:f>
        <x:v>36</x:v>
      </x:c>
      <x:c r="V11" s="88" t="str">
        <x:f>IF($C11="","",IF(COUNTIFS($B$7:$B$56,$B11,$C$7:$C$56,$C11,$E$7:$E$56,$E11,$I$7:$I$56,$I11,$N$7:$N$56,$N11,$M$7:$M$56,$M11)&gt;1,"CHECK","OK"))</x:f>
        <x:v>OK</x:v>
      </x:c>
      <x:c r="W11" s="88" t="n">
        <x:f>IF($C11="","",COUNTIF($C$7:$C11,$C11))</x:f>
        <x:v>1</x:v>
      </x:c>
      <x:c r="X11" s="88" t="str">
        <x:f>IF($C11="","",$C11&amp;"-"&amp;$W11)</x:f>
        <x:v>9003-1</x:v>
      </x:c>
      <x:c r="Y11" s="87" t="str"/>
      <x:c r="Z11" s="91" t="n">
        <x:f>IF($I11="","",VLOOKUP($I11,Lookup!$A$2:$G$18,7,FALSE))</x:f>
        <x:v>2</x:v>
      </x:c>
      <x:c r="AA11" s="91" t="n">
        <x:f>IF($C11="","",SUMIF($C$7:$C$56,$C11,$O$7:$O$56))</x:f>
        <x:v>180</x:v>
      </x:c>
      <x:c r="AB11" s="90" t="n">
        <x:v>0</x:v>
      </x:c>
      <x:c r="AC11" s="91" t="n">
        <x:f>IF($C11="","",MAX(0,$AA11-$AB11))</x:f>
        <x:v>180</x:v>
      </x:c>
      <x:c r="AD11" s="86" t="n">
        <x:v>46275</x:v>
      </x:c>
      <x:c r="AE11" s="92" t="n">
        <x:f>IF(OR($C11="",$AC11&lt;=0,$AD11=""),"",MAX(0,TODAY()-$AD11))</x:f>
        <x:v>19</x:v>
      </x:c>
      <x:c r="AF11" s="88" t="str">
        <x:f>IF($C11="","",IF($AC11&lt;=0,"Closed",IF($AD11="","Open",IF($AE11&gt;90,"Immediate action",IF($AE11&gt;60,"Urgent collection",IF($AE11&gt;30,"Follow up","Monitor"))))))</x:f>
        <x:v>Monitor</x:v>
      </x:c>
      <x:c r="AG11" s="86" t="str"/>
      <x:c r="AH11" s="86" t="str"/>
      <x:c r="AI11" s="86"/>
      <x:c r="AJ11" s="93" t="str">
        <x:f>IF(AND($P11="Paid",$AI11&lt;&gt;""),$AI11,"")</x:f>
      </x:c>
    </x:row>
    <x:row r="12">
      <x:c r="A12" s="86" t="n">
        <x:v>46275</x:v>
      </x:c>
      <x:c r="B12" s="87" t="str">
        <x:v>Invoice</x:v>
      </x:c>
      <x:c r="C12" s="87" t="str">
        <x:v>9003</x:v>
      </x:c>
      <x:c r="D12" s="87" t="str">
        <x:v>ACCT-003</x:v>
      </x:c>
      <x:c r="E12" s="87" t="str">
        <x:v>Retail Account 003</x:v>
      </x:c>
      <x:c r="F12" s="87" t="str">
        <x:v>Sample City C</x:v>
      </x:c>
      <x:c r="G12" s="87" t="str">
        <x:v>Grocery</x:v>
      </x:c>
      <x:c r="H12" s="87" t="str">
        <x:v>Sales Rep 03</x:v>
      </x:c>
      <x:c r="I12" s="87" t="str">
        <x:v>Midnight Drift - Blueberry Yum Yum</x:v>
      </x:c>
      <x:c r="J12" s="88" t="n">
        <x:f>IF($I12="","",VLOOKUP($I12,Lookup!$A$2:$G$18,2,FALSE))</x:f>
        <x:v>792671159896</x:v>
      </x:c>
      <x:c r="K12" s="88" t="str">
        <x:f>IF($I12="","",VLOOKUP($I12,Lookup!$A$2:$G$18,3,FALSE))</x:f>
        <x:v>Case of 10</x:v>
      </x:c>
      <x:c r="L12" s="88" t="str">
        <x:f>IF($I12="","",VLOOKUP($I12,Lookup!$A$2:$G$18,4,FALSE))</x:f>
        <x:v>Gummy</x:v>
      </x:c>
      <x:c r="M12" s="89" t="n">
        <x:v>1</x:v>
      </x:c>
      <x:c r="N12" s="90" t="n">
        <x:v>96</x:v>
      </x:c>
      <x:c r="O12" s="91" t="n">
        <x:f>IF($C12="","",$M12*$N12)</x:f>
        <x:v>96</x:v>
      </x:c>
      <x:c r="P12" s="87" t="str">
        <x:v>Unpaid</x:v>
      </x:c>
      <x:c r="Q12" s="87" t="str"/>
      <x:c r="R12" s="87" t="str">
        <x:v>New</x:v>
      </x:c>
      <x:c r="S12" s="91" t="n">
        <x:f>IF($I12="","",VLOOKUP($I12,Lookup!$A$2:$G$18,6,FALSE))</x:f>
        <x:v>55</x:v>
      </x:c>
      <x:c r="T12" s="91" t="n">
        <x:f>IF($C12="","",$M12*$S12)</x:f>
        <x:v>55</x:v>
      </x:c>
      <x:c r="U12" s="91" t="n">
        <x:f>IF($C12="","",$O12-$T12)</x:f>
        <x:v>41</x:v>
      </x:c>
      <x:c r="V12" s="88" t="str">
        <x:f>IF($C12="","",IF(COUNTIFS($B$7:$B$56,$B12,$C$7:$C$56,$C12,$E$7:$E$56,$E12,$I$7:$I$56,$I12,$N$7:$N$56,$N12,$M$7:$M$56,$M12)&gt;1,"CHECK","OK"))</x:f>
        <x:v>OK</x:v>
      </x:c>
      <x:c r="W12" s="88" t="n">
        <x:f>IF($C12="","",COUNTIF($C$7:$C12,$C12))</x:f>
        <x:v>2</x:v>
      </x:c>
      <x:c r="X12" s="88" t="str">
        <x:f>IF($C12="","",$C12&amp;"-"&amp;$W12)</x:f>
        <x:v>9003-2</x:v>
      </x:c>
      <x:c r="Y12" s="87" t="str"/>
      <x:c r="Z12" s="91" t="n">
        <x:f>IF($I12="","",VLOOKUP($I12,Lookup!$A$2:$G$18,7,FALSE))</x:f>
        <x:v>5.5</x:v>
      </x:c>
      <x:c r="AA12" s="91" t="n">
        <x:f>IF($C12="","",SUMIF($C$7:$C$56,$C12,$O$7:$O$56))</x:f>
        <x:v>180</x:v>
      </x:c>
      <x:c r="AB12" s="90" t="n">
        <x:v>0</x:v>
      </x:c>
      <x:c r="AC12" s="91" t="n">
        <x:f>IF($C12="","",MAX(0,$AA12-$AB12))</x:f>
        <x:v>180</x:v>
      </x:c>
      <x:c r="AD12" s="86" t="n">
        <x:v>46275</x:v>
      </x:c>
      <x:c r="AE12" s="92" t="n">
        <x:f>IF(OR($C12="",$AC12&lt;=0,$AD12=""),"",MAX(0,TODAY()-$AD12))</x:f>
        <x:v>19</x:v>
      </x:c>
      <x:c r="AF12" s="88" t="str">
        <x:f>IF($C12="","",IF($AC12&lt;=0,"Closed",IF($AD12="","Open",IF($AE12&gt;90,"Immediate action",IF($AE12&gt;60,"Urgent collection",IF($AE12&gt;30,"Follow up","Monitor"))))))</x:f>
        <x:v>Monitor</x:v>
      </x:c>
      <x:c r="AG12" s="86" t="str"/>
      <x:c r="AH12" s="86" t="str"/>
      <x:c r="AI12" s="86"/>
      <x:c r="AJ12" s="93" t="str">
        <x:f>IF(AND($P12="Paid",$AI12&lt;&gt;""),$AI12,"")</x:f>
      </x:c>
    </x:row>
    <x:row r="13">
      <x:c r="A13" s="86" t="n">
        <x:v>46280</x:v>
      </x:c>
      <x:c r="B13" s="87" t="str">
        <x:v>Invoice</x:v>
      </x:c>
      <x:c r="C13" s="87" t="str">
        <x:v>9004</x:v>
      </x:c>
      <x:c r="D13" s="87" t="str">
        <x:v>ACCT-004</x:v>
      </x:c>
      <x:c r="E13" s="87" t="str">
        <x:v>Retail Account 004</x:v>
      </x:c>
      <x:c r="F13" s="87" t="str">
        <x:v>Sample City D</x:v>
      </x:c>
      <x:c r="G13" s="87" t="str">
        <x:v>On-Premise</x:v>
      </x:c>
      <x:c r="H13" s="87" t="str">
        <x:v>Sales Rep 04</x:v>
      </x:c>
      <x:c r="I13" s="87" t="str">
        <x:v>Midnight Drift - Strawberry</x:v>
      </x:c>
      <x:c r="J13" s="88" t="n">
        <x:f>IF($I13="","",VLOOKUP($I13,Lookup!$A$2:$G$18,2,FALSE))</x:f>
        <x:v>792671159872</x:v>
      </x:c>
      <x:c r="K13" s="88" t="str">
        <x:f>IF($I13="","",VLOOKUP($I13,Lookup!$A$2:$G$18,3,FALSE))</x:f>
        <x:v>Case of 10</x:v>
      </x:c>
      <x:c r="L13" s="88" t="str">
        <x:f>IF($I13="","",VLOOKUP($I13,Lookup!$A$2:$G$18,4,FALSE))</x:f>
        <x:v>Gummy</x:v>
      </x:c>
      <x:c r="M13" s="89" t="n">
        <x:v>1</x:v>
      </x:c>
      <x:c r="N13" s="90" t="n">
        <x:v>96</x:v>
      </x:c>
      <x:c r="O13" s="91" t="n">
        <x:f>IF($C13="","",$M13*$N13)</x:f>
        <x:v>96</x:v>
      </x:c>
      <x:c r="P13" s="87" t="str">
        <x:v>Paid</x:v>
      </x:c>
      <x:c r="Q13" s="87" t="str">
        <x:v>Sample payment confirmed.</x:v>
      </x:c>
      <x:c r="R13" s="87" t="str">
        <x:v>Reorder</x:v>
      </x:c>
      <x:c r="S13" s="91" t="n">
        <x:f>IF($I13="","",VLOOKUP($I13,Lookup!$A$2:$G$18,6,FALSE))</x:f>
        <x:v>55</x:v>
      </x:c>
      <x:c r="T13" s="91" t="n">
        <x:f>IF($C13="","",$M13*$S13)</x:f>
        <x:v>55</x:v>
      </x:c>
      <x:c r="U13" s="91" t="n">
        <x:f>IF($C13="","",$O13-$T13)</x:f>
        <x:v>41</x:v>
      </x:c>
      <x:c r="V13" s="88" t="str">
        <x:f>IF($C13="","",IF(COUNTIFS($B$7:$B$56,$B13,$C$7:$C$56,$C13,$E$7:$E$56,$E13,$I$7:$I$56,$I13,$N$7:$N$56,$N13,$M$7:$M$56,$M13)&gt;1,"CHECK","OK"))</x:f>
        <x:v>OK</x:v>
      </x:c>
      <x:c r="W13" s="88" t="n">
        <x:f>IF($C13="","",COUNTIF($C$7:$C13,$C13))</x:f>
        <x:v>1</x:v>
      </x:c>
      <x:c r="X13" s="88" t="str">
        <x:f>IF($C13="","",$C13&amp;"-"&amp;$W13)</x:f>
        <x:v>9004-1</x:v>
      </x:c>
      <x:c r="Y13" s="87" t="str"/>
      <x:c r="Z13" s="91" t="n">
        <x:f>IF($I13="","",VLOOKUP($I13,Lookup!$A$2:$G$18,7,FALSE))</x:f>
        <x:v>5.5</x:v>
      </x:c>
      <x:c r="AA13" s="91" t="n">
        <x:f>IF($C13="","",SUMIF($C$7:$C$56,$C13,$O$7:$O$56))</x:f>
        <x:v>194</x:v>
      </x:c>
      <x:c r="AB13" s="90" t="n">
        <x:v>194</x:v>
      </x:c>
      <x:c r="AC13" s="91" t="n">
        <x:f>IF($C13="","",MAX(0,$AA13-$AB13))</x:f>
        <x:v>0</x:v>
      </x:c>
      <x:c r="AD13" s="86" t="n">
        <x:v>46280</x:v>
      </x:c>
      <x:c r="AE13" s="92" t="str">
        <x:f>IF(OR($C13="",$AC13&lt;=0,$AD13=""),"",MAX(0,TODAY()-$AD13))</x:f>
      </x:c>
      <x:c r="AF13" s="88" t="str">
        <x:f>IF($C13="","",IF($AC13&lt;=0,"Closed",IF($AD13="","Open",IF($AE13&gt;90,"Immediate action",IF($AE13&gt;60,"Urgent collection",IF($AE13&gt;30,"Follow up","Monitor"))))))</x:f>
        <x:v>Closed</x:v>
      </x:c>
      <x:c r="AG13" s="86" t="str"/>
      <x:c r="AH13" s="86" t="str"/>
      <x:c r="AI13" s="86" t="n">
        <x:v>46283</x:v>
      </x:c>
      <x:c r="AJ13" s="93" t="n">
        <x:f>IF(AND($P13="Paid",$AI13&lt;&gt;""),$AI13,"")</x:f>
        <x:v>46283</x:v>
      </x:c>
    </x:row>
    <x:row r="14">
      <x:c r="A14" s="86" t="n">
        <x:v>46280</x:v>
      </x:c>
      <x:c r="B14" s="87" t="str">
        <x:v>Invoice</x:v>
      </x:c>
      <x:c r="C14" s="87" t="str">
        <x:v>9004</x:v>
      </x:c>
      <x:c r="D14" s="87" t="str">
        <x:v>ACCT-004</x:v>
      </x:c>
      <x:c r="E14" s="87" t="str">
        <x:v>Retail Account 004</x:v>
      </x:c>
      <x:c r="F14" s="87" t="str">
        <x:v>Sample City D</x:v>
      </x:c>
      <x:c r="G14" s="87" t="str">
        <x:v>On-Premise</x:v>
      </x:c>
      <x:c r="H14" s="87" t="str">
        <x:v>Sales Rep 04</x:v>
      </x:c>
      <x:c r="I14" s="87" t="str">
        <x:v>Organic Line - Blue Razz</x:v>
      </x:c>
      <x:c r="J14" s="88" t="n">
        <x:f>IF($I14="","",VLOOKUP($I14,Lookup!$A$2:$G$18,2,FALSE))</x:f>
        <x:v>860012530533</x:v>
      </x:c>
      <x:c r="K14" s="88" t="str">
        <x:f>IF($I14="","",VLOOKUP($I14,Lookup!$A$2:$G$18,3,FALSE))</x:f>
        <x:v>Case of 10</x:v>
      </x:c>
      <x:c r="L14" s="88" t="str">
        <x:f>IF($I14="","",VLOOKUP($I14,Lookup!$A$2:$G$18,4,FALSE))</x:f>
        <x:v>Gummy</x:v>
      </x:c>
      <x:c r="M14" s="89" t="n">
        <x:v>1</x:v>
      </x:c>
      <x:c r="N14" s="90" t="n">
        <x:v>98</x:v>
      </x:c>
      <x:c r="O14" s="91" t="n">
        <x:f>IF($C14="","",$M14*$N14)</x:f>
        <x:v>98</x:v>
      </x:c>
      <x:c r="P14" s="87" t="str">
        <x:v>Paid</x:v>
      </x:c>
      <x:c r="Q14" s="87" t="str"/>
      <x:c r="R14" s="87" t="str">
        <x:v>Reorder</x:v>
      </x:c>
      <x:c r="S14" s="91" t="n">
        <x:f>IF($I14="","",VLOOKUP($I14,Lookup!$A$2:$G$18,6,FALSE))</x:f>
        <x:v>57</x:v>
      </x:c>
      <x:c r="T14" s="91" t="n">
        <x:f>IF($C14="","",$M14*$S14)</x:f>
        <x:v>57</x:v>
      </x:c>
      <x:c r="U14" s="91" t="n">
        <x:f>IF($C14="","",$O14-$T14)</x:f>
        <x:v>41</x:v>
      </x:c>
      <x:c r="V14" s="88" t="str">
        <x:f>IF($C14="","",IF(COUNTIFS($B$7:$B$56,$B14,$C$7:$C$56,$C14,$E$7:$E$56,$E14,$I$7:$I$56,$I14,$N$7:$N$56,$N14,$M$7:$M$56,$M14)&gt;1,"CHECK","OK"))</x:f>
        <x:v>OK</x:v>
      </x:c>
      <x:c r="W14" s="88" t="n">
        <x:f>IF($C14="","",COUNTIF($C$7:$C14,$C14))</x:f>
        <x:v>2</x:v>
      </x:c>
      <x:c r="X14" s="88" t="str">
        <x:f>IF($C14="","",$C14&amp;"-"&amp;$W14)</x:f>
        <x:v>9004-2</x:v>
      </x:c>
      <x:c r="Y14" s="87" t="str"/>
      <x:c r="Z14" s="91" t="n">
        <x:f>IF($I14="","",VLOOKUP($I14,Lookup!$A$2:$G$18,7,FALSE))</x:f>
        <x:v>5.7</x:v>
      </x:c>
      <x:c r="AA14" s="91" t="n">
        <x:f>IF($C14="","",SUMIF($C$7:$C$56,$C14,$O$7:$O$56))</x:f>
        <x:v>194</x:v>
      </x:c>
      <x:c r="AB14" s="90" t="n">
        <x:v>194</x:v>
      </x:c>
      <x:c r="AC14" s="91" t="n">
        <x:f>IF($C14="","",MAX(0,$AA14-$AB14))</x:f>
        <x:v>0</x:v>
      </x:c>
      <x:c r="AD14" s="86" t="n">
        <x:v>46280</x:v>
      </x:c>
      <x:c r="AE14" s="92" t="str">
        <x:f>IF(OR($C14="",$AC14&lt;=0,$AD14=""),"",MAX(0,TODAY()-$AD14))</x:f>
      </x:c>
      <x:c r="AF14" s="88" t="str">
        <x:f>IF($C14="","",IF($AC14&lt;=0,"Closed",IF($AD14="","Open",IF($AE14&gt;90,"Immediate action",IF($AE14&gt;60,"Urgent collection",IF($AE14&gt;30,"Follow up","Monitor"))))))</x:f>
        <x:v>Closed</x:v>
      </x:c>
      <x:c r="AG14" s="86" t="str"/>
      <x:c r="AH14" s="86" t="str"/>
      <x:c r="AI14" s="86" t="n">
        <x:v>46283</x:v>
      </x:c>
      <x:c r="AJ14" s="93" t="n">
        <x:f>IF(AND($P14="Paid",$AI14&lt;&gt;""),$AI14,"")</x:f>
        <x:v>46283</x:v>
      </x:c>
    </x:row>
    <x:row r="15">
      <x:c r="A15" s="86"/>
      <x:c r="B15" s="87"/>
      <x:c r="C15" s="87"/>
      <x:c r="D15" s="87"/>
      <x:c r="E15" s="87"/>
      <x:c r="F15" s="87"/>
      <x:c r="G15" s="87"/>
      <x:c r="H15" s="87"/>
      <x:c r="I15" s="87"/>
      <x:c r="J15" s="88" t="str">
        <x:f>IF($I15="","",VLOOKUP($I15,Lookup!$A$2:$G$18,2,FALSE))</x:f>
      </x:c>
      <x:c r="K15" s="88" t="str">
        <x:f>IF($I15="","",VLOOKUP($I15,Lookup!$A$2:$G$18,3,FALSE))</x:f>
      </x:c>
      <x:c r="L15" s="88" t="str">
        <x:f>IF($I15="","",VLOOKUP($I15,Lookup!$A$2:$G$18,4,FALSE))</x:f>
      </x:c>
      <x:c r="M15" s="89"/>
      <x:c r="N15" s="90"/>
      <x:c r="O15" s="91" t="str">
        <x:f>IF($C15="","",$M15*$N15)</x:f>
      </x:c>
      <x:c r="P15" s="87"/>
      <x:c r="Q15" s="87"/>
      <x:c r="R15" s="87"/>
      <x:c r="S15" s="91" t="str">
        <x:f>IF($I15="","",VLOOKUP($I15,Lookup!$A$2:$G$18,6,FALSE))</x:f>
      </x:c>
      <x:c r="T15" s="91" t="str">
        <x:f>IF($C15="","",$M15*$S15)</x:f>
      </x:c>
      <x:c r="U15" s="91" t="str">
        <x:f>IF($C15="","",$O15-$T15)</x:f>
      </x:c>
      <x:c r="V15" s="88" t="str">
        <x:f>IF($C15="","",IF(COUNTIFS($B$7:$B$56,$B15,$C$7:$C$56,$C15,$E$7:$E$56,$E15,$I$7:$I$56,$I15,$N$7:$N$56,$N15,$M$7:$M$56,$M15)&gt;1,"CHECK","OK"))</x:f>
      </x:c>
      <x:c r="W15" s="88" t="str">
        <x:f>IF($C15="","",COUNTIF($C$7:$C15,$C15))</x:f>
      </x:c>
      <x:c r="X15" s="88" t="str">
        <x:f>IF($C15="","",$C15&amp;"-"&amp;$W15)</x:f>
      </x:c>
      <x:c r="Y15" s="87"/>
      <x:c r="Z15" s="91" t="str">
        <x:f>IF($I15="","",VLOOKUP($I15,Lookup!$A$2:$G$18,7,FALSE))</x:f>
      </x:c>
      <x:c r="AA15" s="91" t="str">
        <x:f>IF($C15="","",SUMIF($C$7:$C$56,$C15,$O$7:$O$56))</x:f>
      </x:c>
      <x:c r="AB15" s="90"/>
      <x:c r="AC15" s="91" t="str">
        <x:f>IF($C15="","",MAX(0,$AA15-$AB15))</x:f>
      </x:c>
      <x:c r="AD15" s="86"/>
      <x:c r="AE15" s="92" t="str">
        <x:f>IF(OR($C15="",$AC15&lt;=0,$AD15=""),"",MAX(0,TODAY()-$AD15))</x:f>
      </x:c>
      <x:c r="AF15" s="88" t="str">
        <x:f>IF($C15="","",IF($AC15&lt;=0,"Closed",IF($AD15="","Open",IF($AE15&gt;90,"Immediate action",IF($AE15&gt;60,"Urgent collection",IF($AE15&gt;30,"Follow up","Monitor"))))))</x:f>
      </x:c>
      <x:c r="AG15" s="86"/>
      <x:c r="AH15" s="86"/>
      <x:c r="AI15" s="86"/>
      <x:c r="AJ15" s="93" t="str">
        <x:f>IF(AND($P15="Paid",$AI15&lt;&gt;""),$AI15,"")</x:f>
      </x:c>
    </x:row>
    <x:row r="16">
      <x:c r="A16" s="86"/>
      <x:c r="B16" s="87"/>
      <x:c r="C16" s="87"/>
      <x:c r="D16" s="87"/>
      <x:c r="E16" s="87"/>
      <x:c r="F16" s="87"/>
      <x:c r="G16" s="87"/>
      <x:c r="H16" s="87"/>
      <x:c r="I16" s="87"/>
      <x:c r="J16" s="88" t="str">
        <x:f>IF($I16="","",VLOOKUP($I16,Lookup!$A$2:$G$18,2,FALSE))</x:f>
      </x:c>
      <x:c r="K16" s="88" t="str">
        <x:f>IF($I16="","",VLOOKUP($I16,Lookup!$A$2:$G$18,3,FALSE))</x:f>
      </x:c>
      <x:c r="L16" s="88" t="str">
        <x:f>IF($I16="","",VLOOKUP($I16,Lookup!$A$2:$G$18,4,FALSE))</x:f>
      </x:c>
      <x:c r="M16" s="89"/>
      <x:c r="N16" s="90"/>
      <x:c r="O16" s="91" t="str">
        <x:f>IF($C16="","",$M16*$N16)</x:f>
      </x:c>
      <x:c r="P16" s="87"/>
      <x:c r="Q16" s="87"/>
      <x:c r="R16" s="87"/>
      <x:c r="S16" s="91" t="str">
        <x:f>IF($I16="","",VLOOKUP($I16,Lookup!$A$2:$G$18,6,FALSE))</x:f>
      </x:c>
      <x:c r="T16" s="91" t="str">
        <x:f>IF($C16="","",$M16*$S16)</x:f>
      </x:c>
      <x:c r="U16" s="91" t="str">
        <x:f>IF($C16="","",$O16-$T16)</x:f>
      </x:c>
      <x:c r="V16" s="88" t="str">
        <x:f>IF($C16="","",IF(COUNTIFS($B$7:$B$56,$B16,$C$7:$C$56,$C16,$E$7:$E$56,$E16,$I$7:$I$56,$I16,$N$7:$N$56,$N16,$M$7:$M$56,$M16)&gt;1,"CHECK","OK"))</x:f>
      </x:c>
      <x:c r="W16" s="88" t="str">
        <x:f>IF($C16="","",COUNTIF($C$7:$C16,$C16))</x:f>
      </x:c>
      <x:c r="X16" s="88" t="str">
        <x:f>IF($C16="","",$C16&amp;"-"&amp;$W16)</x:f>
      </x:c>
      <x:c r="Y16" s="87"/>
      <x:c r="Z16" s="91" t="str">
        <x:f>IF($I16="","",VLOOKUP($I16,Lookup!$A$2:$G$18,7,FALSE))</x:f>
      </x:c>
      <x:c r="AA16" s="91" t="str">
        <x:f>IF($C16="","",SUMIF($C$7:$C$56,$C16,$O$7:$O$56))</x:f>
      </x:c>
      <x:c r="AB16" s="90"/>
      <x:c r="AC16" s="91" t="str">
        <x:f>IF($C16="","",MAX(0,$AA16-$AB16))</x:f>
      </x:c>
      <x:c r="AD16" s="86"/>
      <x:c r="AE16" s="92" t="str">
        <x:f>IF(OR($C16="",$AC16&lt;=0,$AD16=""),"",MAX(0,TODAY()-$AD16))</x:f>
      </x:c>
      <x:c r="AF16" s="88" t="str">
        <x:f>IF($C16="","",IF($AC16&lt;=0,"Closed",IF($AD16="","Open",IF($AE16&gt;90,"Immediate action",IF($AE16&gt;60,"Urgent collection",IF($AE16&gt;30,"Follow up","Monitor"))))))</x:f>
      </x:c>
      <x:c r="AG16" s="86"/>
      <x:c r="AH16" s="86"/>
      <x:c r="AI16" s="86"/>
      <x:c r="AJ16" s="93" t="str">
        <x:f>IF(AND($P16="Paid",$AI16&lt;&gt;""),$AI16,"")</x:f>
      </x:c>
    </x:row>
    <x:row r="17">
      <x:c r="A17" s="86"/>
      <x:c r="B17" s="87"/>
      <x:c r="C17" s="87"/>
      <x:c r="D17" s="87"/>
      <x:c r="E17" s="87"/>
      <x:c r="F17" s="87"/>
      <x:c r="G17" s="87"/>
      <x:c r="H17" s="87"/>
      <x:c r="I17" s="87"/>
      <x:c r="J17" s="88" t="str">
        <x:f>IF($I17="","",VLOOKUP($I17,Lookup!$A$2:$G$18,2,FALSE))</x:f>
      </x:c>
      <x:c r="K17" s="88" t="str">
        <x:f>IF($I17="","",VLOOKUP($I17,Lookup!$A$2:$G$18,3,FALSE))</x:f>
      </x:c>
      <x:c r="L17" s="88" t="str">
        <x:f>IF($I17="","",VLOOKUP($I17,Lookup!$A$2:$G$18,4,FALSE))</x:f>
      </x:c>
      <x:c r="M17" s="89"/>
      <x:c r="N17" s="90"/>
      <x:c r="O17" s="91" t="str">
        <x:f>IF($C17="","",$M17*$N17)</x:f>
      </x:c>
      <x:c r="P17" s="87"/>
      <x:c r="Q17" s="87"/>
      <x:c r="R17" s="87"/>
      <x:c r="S17" s="91" t="str">
        <x:f>IF($I17="","",VLOOKUP($I17,Lookup!$A$2:$G$18,6,FALSE))</x:f>
      </x:c>
      <x:c r="T17" s="91" t="str">
        <x:f>IF($C17="","",$M17*$S17)</x:f>
      </x:c>
      <x:c r="U17" s="91" t="str">
        <x:f>IF($C17="","",$O17-$T17)</x:f>
      </x:c>
      <x:c r="V17" s="88" t="str">
        <x:f>IF($C17="","",IF(COUNTIFS($B$7:$B$56,$B17,$C$7:$C$56,$C17,$E$7:$E$56,$E17,$I$7:$I$56,$I17,$N$7:$N$56,$N17,$M$7:$M$56,$M17)&gt;1,"CHECK","OK"))</x:f>
      </x:c>
      <x:c r="W17" s="88" t="str">
        <x:f>IF($C17="","",COUNTIF($C$7:$C17,$C17))</x:f>
      </x:c>
      <x:c r="X17" s="88" t="str">
        <x:f>IF($C17="","",$C17&amp;"-"&amp;$W17)</x:f>
      </x:c>
      <x:c r="Y17" s="87"/>
      <x:c r="Z17" s="91" t="str">
        <x:f>IF($I17="","",VLOOKUP($I17,Lookup!$A$2:$G$18,7,FALSE))</x:f>
      </x:c>
      <x:c r="AA17" s="91" t="str">
        <x:f>IF($C17="","",SUMIF($C$7:$C$56,$C17,$O$7:$O$56))</x:f>
      </x:c>
      <x:c r="AB17" s="90"/>
      <x:c r="AC17" s="91" t="str">
        <x:f>IF($C17="","",MAX(0,$AA17-$AB17))</x:f>
      </x:c>
      <x:c r="AD17" s="86"/>
      <x:c r="AE17" s="92" t="str">
        <x:f>IF(OR($C17="",$AC17&lt;=0,$AD17=""),"",MAX(0,TODAY()-$AD17))</x:f>
      </x:c>
      <x:c r="AF17" s="88" t="str">
        <x:f>IF($C17="","",IF($AC17&lt;=0,"Closed",IF($AD17="","Open",IF($AE17&gt;90,"Immediate action",IF($AE17&gt;60,"Urgent collection",IF($AE17&gt;30,"Follow up","Monitor"))))))</x:f>
      </x:c>
      <x:c r="AG17" s="86"/>
      <x:c r="AH17" s="86"/>
      <x:c r="AI17" s="86"/>
      <x:c r="AJ17" s="93" t="str">
        <x:f>IF(AND($P17="Paid",$AI17&lt;&gt;""),$AI17,"")</x:f>
      </x:c>
    </x:row>
    <x:row r="18">
      <x:c r="A18" s="86"/>
      <x:c r="B18" s="87"/>
      <x:c r="C18" s="87"/>
      <x:c r="D18" s="87"/>
      <x:c r="E18" s="87"/>
      <x:c r="F18" s="87"/>
      <x:c r="G18" s="87"/>
      <x:c r="H18" s="87"/>
      <x:c r="I18" s="87"/>
      <x:c r="J18" s="88" t="str">
        <x:f>IF($I18="","",VLOOKUP($I18,Lookup!$A$2:$G$18,2,FALSE))</x:f>
      </x:c>
      <x:c r="K18" s="88" t="str">
        <x:f>IF($I18="","",VLOOKUP($I18,Lookup!$A$2:$G$18,3,FALSE))</x:f>
      </x:c>
      <x:c r="L18" s="88" t="str">
        <x:f>IF($I18="","",VLOOKUP($I18,Lookup!$A$2:$G$18,4,FALSE))</x:f>
      </x:c>
      <x:c r="M18" s="89"/>
      <x:c r="N18" s="90"/>
      <x:c r="O18" s="91" t="str">
        <x:f>IF($C18="","",$M18*$N18)</x:f>
      </x:c>
      <x:c r="P18" s="87"/>
      <x:c r="Q18" s="87"/>
      <x:c r="R18" s="87"/>
      <x:c r="S18" s="91" t="str">
        <x:f>IF($I18="","",VLOOKUP($I18,Lookup!$A$2:$G$18,6,FALSE))</x:f>
      </x:c>
      <x:c r="T18" s="91" t="str">
        <x:f>IF($C18="","",$M18*$S18)</x:f>
      </x:c>
      <x:c r="U18" s="91" t="str">
        <x:f>IF($C18="","",$O18-$T18)</x:f>
      </x:c>
      <x:c r="V18" s="88" t="str">
        <x:f>IF($C18="","",IF(COUNTIFS($B$7:$B$56,$B18,$C$7:$C$56,$C18,$E$7:$E$56,$E18,$I$7:$I$56,$I18,$N$7:$N$56,$N18,$M$7:$M$56,$M18)&gt;1,"CHECK","OK"))</x:f>
      </x:c>
      <x:c r="W18" s="88" t="str">
        <x:f>IF($C18="","",COUNTIF($C$7:$C18,$C18))</x:f>
      </x:c>
      <x:c r="X18" s="88" t="str">
        <x:f>IF($C18="","",$C18&amp;"-"&amp;$W18)</x:f>
      </x:c>
      <x:c r="Y18" s="87"/>
      <x:c r="Z18" s="91" t="str">
        <x:f>IF($I18="","",VLOOKUP($I18,Lookup!$A$2:$G$18,7,FALSE))</x:f>
      </x:c>
      <x:c r="AA18" s="91" t="str">
        <x:f>IF($C18="","",SUMIF($C$7:$C$56,$C18,$O$7:$O$56))</x:f>
      </x:c>
      <x:c r="AB18" s="90"/>
      <x:c r="AC18" s="91" t="str">
        <x:f>IF($C18="","",MAX(0,$AA18-$AB18))</x:f>
      </x:c>
      <x:c r="AD18" s="86"/>
      <x:c r="AE18" s="92" t="str">
        <x:f>IF(OR($C18="",$AC18&lt;=0,$AD18=""),"",MAX(0,TODAY()-$AD18))</x:f>
      </x:c>
      <x:c r="AF18" s="88" t="str">
        <x:f>IF($C18="","",IF($AC18&lt;=0,"Closed",IF($AD18="","Open",IF($AE18&gt;90,"Immediate action",IF($AE18&gt;60,"Urgent collection",IF($AE18&gt;30,"Follow up","Monitor"))))))</x:f>
      </x:c>
      <x:c r="AG18" s="86"/>
      <x:c r="AH18" s="86"/>
      <x:c r="AI18" s="86"/>
      <x:c r="AJ18" s="93" t="str">
        <x:f>IF(AND($P18="Paid",$AI18&lt;&gt;""),$AI18,"")</x:f>
      </x:c>
    </x:row>
    <x:row r="19">
      <x:c r="A19" s="86"/>
      <x:c r="B19" s="87"/>
      <x:c r="C19" s="87"/>
      <x:c r="D19" s="87"/>
      <x:c r="E19" s="87"/>
      <x:c r="F19" s="87"/>
      <x:c r="G19" s="87"/>
      <x:c r="H19" s="87"/>
      <x:c r="I19" s="87"/>
      <x:c r="J19" s="88" t="str">
        <x:f>IF($I19="","",VLOOKUP($I19,Lookup!$A$2:$G$18,2,FALSE))</x:f>
      </x:c>
      <x:c r="K19" s="88" t="str">
        <x:f>IF($I19="","",VLOOKUP($I19,Lookup!$A$2:$G$18,3,FALSE))</x:f>
      </x:c>
      <x:c r="L19" s="88" t="str">
        <x:f>IF($I19="","",VLOOKUP($I19,Lookup!$A$2:$G$18,4,FALSE))</x:f>
      </x:c>
      <x:c r="M19" s="89"/>
      <x:c r="N19" s="90"/>
      <x:c r="O19" s="91" t="str">
        <x:f>IF($C19="","",$M19*$N19)</x:f>
      </x:c>
      <x:c r="P19" s="87"/>
      <x:c r="Q19" s="87"/>
      <x:c r="R19" s="87"/>
      <x:c r="S19" s="91" t="str">
        <x:f>IF($I19="","",VLOOKUP($I19,Lookup!$A$2:$G$18,6,FALSE))</x:f>
      </x:c>
      <x:c r="T19" s="91" t="str">
        <x:f>IF($C19="","",$M19*$S19)</x:f>
      </x:c>
      <x:c r="U19" s="91" t="str">
        <x:f>IF($C19="","",$O19-$T19)</x:f>
      </x:c>
      <x:c r="V19" s="88" t="str">
        <x:f>IF($C19="","",IF(COUNTIFS($B$7:$B$56,$B19,$C$7:$C$56,$C19,$E$7:$E$56,$E19,$I$7:$I$56,$I19,$N$7:$N$56,$N19,$M$7:$M$56,$M19)&gt;1,"CHECK","OK"))</x:f>
      </x:c>
      <x:c r="W19" s="88" t="str">
        <x:f>IF($C19="","",COUNTIF($C$7:$C19,$C19))</x:f>
      </x:c>
      <x:c r="X19" s="88" t="str">
        <x:f>IF($C19="","",$C19&amp;"-"&amp;$W19)</x:f>
      </x:c>
      <x:c r="Y19" s="87"/>
      <x:c r="Z19" s="91" t="str">
        <x:f>IF($I19="","",VLOOKUP($I19,Lookup!$A$2:$G$18,7,FALSE))</x:f>
      </x:c>
      <x:c r="AA19" s="91" t="str">
        <x:f>IF($C19="","",SUMIF($C$7:$C$56,$C19,$O$7:$O$56))</x:f>
      </x:c>
      <x:c r="AB19" s="90"/>
      <x:c r="AC19" s="91" t="str">
        <x:f>IF($C19="","",MAX(0,$AA19-$AB19))</x:f>
      </x:c>
      <x:c r="AD19" s="86"/>
      <x:c r="AE19" s="92" t="str">
        <x:f>IF(OR($C19="",$AC19&lt;=0,$AD19=""),"",MAX(0,TODAY()-$AD19))</x:f>
      </x:c>
      <x:c r="AF19" s="88" t="str">
        <x:f>IF($C19="","",IF($AC19&lt;=0,"Closed",IF($AD19="","Open",IF($AE19&gt;90,"Immediate action",IF($AE19&gt;60,"Urgent collection",IF($AE19&gt;30,"Follow up","Monitor"))))))</x:f>
      </x:c>
      <x:c r="AG19" s="86"/>
      <x:c r="AH19" s="86"/>
      <x:c r="AI19" s="86"/>
      <x:c r="AJ19" s="93" t="str">
        <x:f>IF(AND($P19="Paid",$AI19&lt;&gt;""),$AI19,"")</x:f>
      </x:c>
    </x:row>
    <x:row r="20">
      <x:c r="A20" s="86"/>
      <x:c r="B20" s="87"/>
      <x:c r="C20" s="87"/>
      <x:c r="D20" s="87"/>
      <x:c r="E20" s="87"/>
      <x:c r="F20" s="87"/>
      <x:c r="G20" s="87"/>
      <x:c r="H20" s="87"/>
      <x:c r="I20" s="87"/>
      <x:c r="J20" s="88" t="str">
        <x:f>IF($I20="","",VLOOKUP($I20,Lookup!$A$2:$G$18,2,FALSE))</x:f>
      </x:c>
      <x:c r="K20" s="88" t="str">
        <x:f>IF($I20="","",VLOOKUP($I20,Lookup!$A$2:$G$18,3,FALSE))</x:f>
      </x:c>
      <x:c r="L20" s="88" t="str">
        <x:f>IF($I20="","",VLOOKUP($I20,Lookup!$A$2:$G$18,4,FALSE))</x:f>
      </x:c>
      <x:c r="M20" s="89"/>
      <x:c r="N20" s="90"/>
      <x:c r="O20" s="91" t="str">
        <x:f>IF($C20="","",$M20*$N20)</x:f>
      </x:c>
      <x:c r="P20" s="87"/>
      <x:c r="Q20" s="87"/>
      <x:c r="R20" s="87"/>
      <x:c r="S20" s="91" t="str">
        <x:f>IF($I20="","",VLOOKUP($I20,Lookup!$A$2:$G$18,6,FALSE))</x:f>
      </x:c>
      <x:c r="T20" s="91" t="str">
        <x:f>IF($C20="","",$M20*$S20)</x:f>
      </x:c>
      <x:c r="U20" s="91" t="str">
        <x:f>IF($C20="","",$O20-$T20)</x:f>
      </x:c>
      <x:c r="V20" s="88" t="str">
        <x:f>IF($C20="","",IF(COUNTIFS($B$7:$B$56,$B20,$C$7:$C$56,$C20,$E$7:$E$56,$E20,$I$7:$I$56,$I20,$N$7:$N$56,$N20,$M$7:$M$56,$M20)&gt;1,"CHECK","OK"))</x:f>
      </x:c>
      <x:c r="W20" s="88" t="str">
        <x:f>IF($C20="","",COUNTIF($C$7:$C20,$C20))</x:f>
      </x:c>
      <x:c r="X20" s="88" t="str">
        <x:f>IF($C20="","",$C20&amp;"-"&amp;$W20)</x:f>
      </x:c>
      <x:c r="Y20" s="87"/>
      <x:c r="Z20" s="91" t="str">
        <x:f>IF($I20="","",VLOOKUP($I20,Lookup!$A$2:$G$18,7,FALSE))</x:f>
      </x:c>
      <x:c r="AA20" s="91" t="str">
        <x:f>IF($C20="","",SUMIF($C$7:$C$56,$C20,$O$7:$O$56))</x:f>
      </x:c>
      <x:c r="AB20" s="90"/>
      <x:c r="AC20" s="91" t="str">
        <x:f>IF($C20="","",MAX(0,$AA20-$AB20))</x:f>
      </x:c>
      <x:c r="AD20" s="86"/>
      <x:c r="AE20" s="92" t="str">
        <x:f>IF(OR($C20="",$AC20&lt;=0,$AD20=""),"",MAX(0,TODAY()-$AD20))</x:f>
      </x:c>
      <x:c r="AF20" s="88" t="str">
        <x:f>IF($C20="","",IF($AC20&lt;=0,"Closed",IF($AD20="","Open",IF($AE20&gt;90,"Immediate action",IF($AE20&gt;60,"Urgent collection",IF($AE20&gt;30,"Follow up","Monitor"))))))</x:f>
      </x:c>
      <x:c r="AG20" s="86"/>
      <x:c r="AH20" s="86"/>
      <x:c r="AI20" s="86"/>
      <x:c r="AJ20" s="93" t="str">
        <x:f>IF(AND($P20="Paid",$AI20&lt;&gt;""),$AI20,"")</x:f>
      </x:c>
    </x:row>
    <x:row r="21">
      <x:c r="A21" s="86"/>
      <x:c r="B21" s="87"/>
      <x:c r="C21" s="87"/>
      <x:c r="D21" s="87"/>
      <x:c r="E21" s="87"/>
      <x:c r="F21" s="87"/>
      <x:c r="G21" s="87"/>
      <x:c r="H21" s="87"/>
      <x:c r="I21" s="87"/>
      <x:c r="J21" s="88" t="str">
        <x:f>IF($I21="","",VLOOKUP($I21,Lookup!$A$2:$G$18,2,FALSE))</x:f>
      </x:c>
      <x:c r="K21" s="88" t="str">
        <x:f>IF($I21="","",VLOOKUP($I21,Lookup!$A$2:$G$18,3,FALSE))</x:f>
      </x:c>
      <x:c r="L21" s="88" t="str">
        <x:f>IF($I21="","",VLOOKUP($I21,Lookup!$A$2:$G$18,4,FALSE))</x:f>
      </x:c>
      <x:c r="M21" s="89"/>
      <x:c r="N21" s="90"/>
      <x:c r="O21" s="91" t="str">
        <x:f>IF($C21="","",$M21*$N21)</x:f>
      </x:c>
      <x:c r="P21" s="87"/>
      <x:c r="Q21" s="87"/>
      <x:c r="R21" s="87"/>
      <x:c r="S21" s="91" t="str">
        <x:f>IF($I21="","",VLOOKUP($I21,Lookup!$A$2:$G$18,6,FALSE))</x:f>
      </x:c>
      <x:c r="T21" s="91" t="str">
        <x:f>IF($C21="","",$M21*$S21)</x:f>
      </x:c>
      <x:c r="U21" s="91" t="str">
        <x:f>IF($C21="","",$O21-$T21)</x:f>
      </x:c>
      <x:c r="V21" s="88" t="str">
        <x:f>IF($C21="","",IF(COUNTIFS($B$7:$B$56,$B21,$C$7:$C$56,$C21,$E$7:$E$56,$E21,$I$7:$I$56,$I21,$N$7:$N$56,$N21,$M$7:$M$56,$M21)&gt;1,"CHECK","OK"))</x:f>
      </x:c>
      <x:c r="W21" s="88" t="str">
        <x:f>IF($C21="","",COUNTIF($C$7:$C21,$C21))</x:f>
      </x:c>
      <x:c r="X21" s="88" t="str">
        <x:f>IF($C21="","",$C21&amp;"-"&amp;$W21)</x:f>
      </x:c>
      <x:c r="Y21" s="87"/>
      <x:c r="Z21" s="91" t="str">
        <x:f>IF($I21="","",VLOOKUP($I21,Lookup!$A$2:$G$18,7,FALSE))</x:f>
      </x:c>
      <x:c r="AA21" s="91" t="str">
        <x:f>IF($C21="","",SUMIF($C$7:$C$56,$C21,$O$7:$O$56))</x:f>
      </x:c>
      <x:c r="AB21" s="90"/>
      <x:c r="AC21" s="91" t="str">
        <x:f>IF($C21="","",MAX(0,$AA21-$AB21))</x:f>
      </x:c>
      <x:c r="AD21" s="86"/>
      <x:c r="AE21" s="92" t="str">
        <x:f>IF(OR($C21="",$AC21&lt;=0,$AD21=""),"",MAX(0,TODAY()-$AD21))</x:f>
      </x:c>
      <x:c r="AF21" s="88" t="str">
        <x:f>IF($C21="","",IF($AC21&lt;=0,"Closed",IF($AD21="","Open",IF($AE21&gt;90,"Immediate action",IF($AE21&gt;60,"Urgent collection",IF($AE21&gt;30,"Follow up","Monitor"))))))</x:f>
      </x:c>
      <x:c r="AG21" s="86"/>
      <x:c r="AH21" s="86"/>
      <x:c r="AI21" s="86"/>
      <x:c r="AJ21" s="93" t="str">
        <x:f>IF(AND($P21="Paid",$AI21&lt;&gt;""),$AI21,"")</x:f>
      </x:c>
    </x:row>
    <x:row r="22">
      <x:c r="A22" s="86"/>
      <x:c r="B22" s="87"/>
      <x:c r="C22" s="87"/>
      <x:c r="D22" s="87"/>
      <x:c r="E22" s="87"/>
      <x:c r="F22" s="87"/>
      <x:c r="G22" s="87"/>
      <x:c r="H22" s="87"/>
      <x:c r="I22" s="87"/>
      <x:c r="J22" s="88" t="str">
        <x:f>IF($I22="","",VLOOKUP($I22,Lookup!$A$2:$G$18,2,FALSE))</x:f>
      </x:c>
      <x:c r="K22" s="88" t="str">
        <x:f>IF($I22="","",VLOOKUP($I22,Lookup!$A$2:$G$18,3,FALSE))</x:f>
      </x:c>
      <x:c r="L22" s="88" t="str">
        <x:f>IF($I22="","",VLOOKUP($I22,Lookup!$A$2:$G$18,4,FALSE))</x:f>
      </x:c>
      <x:c r="M22" s="89"/>
      <x:c r="N22" s="90"/>
      <x:c r="O22" s="91" t="str">
        <x:f>IF($C22="","",$M22*$N22)</x:f>
      </x:c>
      <x:c r="P22" s="87"/>
      <x:c r="Q22" s="87"/>
      <x:c r="R22" s="87"/>
      <x:c r="S22" s="91" t="str">
        <x:f>IF($I22="","",VLOOKUP($I22,Lookup!$A$2:$G$18,6,FALSE))</x:f>
      </x:c>
      <x:c r="T22" s="91" t="str">
        <x:f>IF($C22="","",$M22*$S22)</x:f>
      </x:c>
      <x:c r="U22" s="91" t="str">
        <x:f>IF($C22="","",$O22-$T22)</x:f>
      </x:c>
      <x:c r="V22" s="88" t="str">
        <x:f>IF($C22="","",IF(COUNTIFS($B$7:$B$56,$B22,$C$7:$C$56,$C22,$E$7:$E$56,$E22,$I$7:$I$56,$I22,$N$7:$N$56,$N22,$M$7:$M$56,$M22)&gt;1,"CHECK","OK"))</x:f>
      </x:c>
      <x:c r="W22" s="88" t="str">
        <x:f>IF($C22="","",COUNTIF($C$7:$C22,$C22))</x:f>
      </x:c>
      <x:c r="X22" s="88" t="str">
        <x:f>IF($C22="","",$C22&amp;"-"&amp;$W22)</x:f>
      </x:c>
      <x:c r="Y22" s="87"/>
      <x:c r="Z22" s="91" t="str">
        <x:f>IF($I22="","",VLOOKUP($I22,Lookup!$A$2:$G$18,7,FALSE))</x:f>
      </x:c>
      <x:c r="AA22" s="91" t="str">
        <x:f>IF($C22="","",SUMIF($C$7:$C$56,$C22,$O$7:$O$56))</x:f>
      </x:c>
      <x:c r="AB22" s="90"/>
      <x:c r="AC22" s="91" t="str">
        <x:f>IF($C22="","",MAX(0,$AA22-$AB22))</x:f>
      </x:c>
      <x:c r="AD22" s="86"/>
      <x:c r="AE22" s="92" t="str">
        <x:f>IF(OR($C22="",$AC22&lt;=0,$AD22=""),"",MAX(0,TODAY()-$AD22))</x:f>
      </x:c>
      <x:c r="AF22" s="88" t="str">
        <x:f>IF($C22="","",IF($AC22&lt;=0,"Closed",IF($AD22="","Open",IF($AE22&gt;90,"Immediate action",IF($AE22&gt;60,"Urgent collection",IF($AE22&gt;30,"Follow up","Monitor"))))))</x:f>
      </x:c>
      <x:c r="AG22" s="86"/>
      <x:c r="AH22" s="86"/>
      <x:c r="AI22" s="86"/>
      <x:c r="AJ22" s="93" t="str">
        <x:f>IF(AND($P22="Paid",$AI22&lt;&gt;""),$AI22,"")</x:f>
      </x:c>
    </x:row>
    <x:row r="23">
      <x:c r="A23" s="86"/>
      <x:c r="B23" s="87"/>
      <x:c r="C23" s="87"/>
      <x:c r="D23" s="87"/>
      <x:c r="E23" s="87"/>
      <x:c r="F23" s="87"/>
      <x:c r="G23" s="87"/>
      <x:c r="H23" s="87"/>
      <x:c r="I23" s="87"/>
      <x:c r="J23" s="88" t="str">
        <x:f>IF($I23="","",VLOOKUP($I23,Lookup!$A$2:$G$18,2,FALSE))</x:f>
      </x:c>
      <x:c r="K23" s="88" t="str">
        <x:f>IF($I23="","",VLOOKUP($I23,Lookup!$A$2:$G$18,3,FALSE))</x:f>
      </x:c>
      <x:c r="L23" s="88" t="str">
        <x:f>IF($I23="","",VLOOKUP($I23,Lookup!$A$2:$G$18,4,FALSE))</x:f>
      </x:c>
      <x:c r="M23" s="89"/>
      <x:c r="N23" s="90"/>
      <x:c r="O23" s="91" t="str">
        <x:f>IF($C23="","",$M23*$N23)</x:f>
      </x:c>
      <x:c r="P23" s="87"/>
      <x:c r="Q23" s="87"/>
      <x:c r="R23" s="87"/>
      <x:c r="S23" s="91" t="str">
        <x:f>IF($I23="","",VLOOKUP($I23,Lookup!$A$2:$G$18,6,FALSE))</x:f>
      </x:c>
      <x:c r="T23" s="91" t="str">
        <x:f>IF($C23="","",$M23*$S23)</x:f>
      </x:c>
      <x:c r="U23" s="91" t="str">
        <x:f>IF($C23="","",$O23-$T23)</x:f>
      </x:c>
      <x:c r="V23" s="88" t="str">
        <x:f>IF($C23="","",IF(COUNTIFS($B$7:$B$56,$B23,$C$7:$C$56,$C23,$E$7:$E$56,$E23,$I$7:$I$56,$I23,$N$7:$N$56,$N23,$M$7:$M$56,$M23)&gt;1,"CHECK","OK"))</x:f>
      </x:c>
      <x:c r="W23" s="88" t="str">
        <x:f>IF($C23="","",COUNTIF($C$7:$C23,$C23))</x:f>
      </x:c>
      <x:c r="X23" s="88" t="str">
        <x:f>IF($C23="","",$C23&amp;"-"&amp;$W23)</x:f>
      </x:c>
      <x:c r="Y23" s="87"/>
      <x:c r="Z23" s="91" t="str">
        <x:f>IF($I23="","",VLOOKUP($I23,Lookup!$A$2:$G$18,7,FALSE))</x:f>
      </x:c>
      <x:c r="AA23" s="91" t="str">
        <x:f>IF($C23="","",SUMIF($C$7:$C$56,$C23,$O$7:$O$56))</x:f>
      </x:c>
      <x:c r="AB23" s="90"/>
      <x:c r="AC23" s="91" t="str">
        <x:f>IF($C23="","",MAX(0,$AA23-$AB23))</x:f>
      </x:c>
      <x:c r="AD23" s="86"/>
      <x:c r="AE23" s="92" t="str">
        <x:f>IF(OR($C23="",$AC23&lt;=0,$AD23=""),"",MAX(0,TODAY()-$AD23))</x:f>
      </x:c>
      <x:c r="AF23" s="88" t="str">
        <x:f>IF($C23="","",IF($AC23&lt;=0,"Closed",IF($AD23="","Open",IF($AE23&gt;90,"Immediate action",IF($AE23&gt;60,"Urgent collection",IF($AE23&gt;30,"Follow up","Monitor"))))))</x:f>
      </x:c>
      <x:c r="AG23" s="86"/>
      <x:c r="AH23" s="86"/>
      <x:c r="AI23" s="86"/>
      <x:c r="AJ23" s="93" t="str">
        <x:f>IF(AND($P23="Paid",$AI23&lt;&gt;""),$AI23,"")</x:f>
      </x:c>
    </x:row>
    <x:row r="24">
      <x:c r="A24" s="86"/>
      <x:c r="B24" s="87"/>
      <x:c r="C24" s="87"/>
      <x:c r="D24" s="87"/>
      <x:c r="E24" s="87"/>
      <x:c r="F24" s="87"/>
      <x:c r="G24" s="87"/>
      <x:c r="H24" s="87"/>
      <x:c r="I24" s="87"/>
      <x:c r="J24" s="88" t="str">
        <x:f>IF($I24="","",VLOOKUP($I24,Lookup!$A$2:$G$18,2,FALSE))</x:f>
      </x:c>
      <x:c r="K24" s="88" t="str">
        <x:f>IF($I24="","",VLOOKUP($I24,Lookup!$A$2:$G$18,3,FALSE))</x:f>
      </x:c>
      <x:c r="L24" s="88" t="str">
        <x:f>IF($I24="","",VLOOKUP($I24,Lookup!$A$2:$G$18,4,FALSE))</x:f>
      </x:c>
      <x:c r="M24" s="89"/>
      <x:c r="N24" s="90"/>
      <x:c r="O24" s="91" t="str">
        <x:f>IF($C24="","",$M24*$N24)</x:f>
      </x:c>
      <x:c r="P24" s="87"/>
      <x:c r="Q24" s="87"/>
      <x:c r="R24" s="87"/>
      <x:c r="S24" s="91" t="str">
        <x:f>IF($I24="","",VLOOKUP($I24,Lookup!$A$2:$G$18,6,FALSE))</x:f>
      </x:c>
      <x:c r="T24" s="91" t="str">
        <x:f>IF($C24="","",$M24*$S24)</x:f>
      </x:c>
      <x:c r="U24" s="91" t="str">
        <x:f>IF($C24="","",$O24-$T24)</x:f>
      </x:c>
      <x:c r="V24" s="88" t="str">
        <x:f>IF($C24="","",IF(COUNTIFS($B$7:$B$56,$B24,$C$7:$C$56,$C24,$E$7:$E$56,$E24,$I$7:$I$56,$I24,$N$7:$N$56,$N24,$M$7:$M$56,$M24)&gt;1,"CHECK","OK"))</x:f>
      </x:c>
      <x:c r="W24" s="88" t="str">
        <x:f>IF($C24="","",COUNTIF($C$7:$C24,$C24))</x:f>
      </x:c>
      <x:c r="X24" s="88" t="str">
        <x:f>IF($C24="","",$C24&amp;"-"&amp;$W24)</x:f>
      </x:c>
      <x:c r="Y24" s="87"/>
      <x:c r="Z24" s="91" t="str">
        <x:f>IF($I24="","",VLOOKUP($I24,Lookup!$A$2:$G$18,7,FALSE))</x:f>
      </x:c>
      <x:c r="AA24" s="91" t="str">
        <x:f>IF($C24="","",SUMIF($C$7:$C$56,$C24,$O$7:$O$56))</x:f>
      </x:c>
      <x:c r="AB24" s="90"/>
      <x:c r="AC24" s="91" t="str">
        <x:f>IF($C24="","",MAX(0,$AA24-$AB24))</x:f>
      </x:c>
      <x:c r="AD24" s="86"/>
      <x:c r="AE24" s="92" t="str">
        <x:f>IF(OR($C24="",$AC24&lt;=0,$AD24=""),"",MAX(0,TODAY()-$AD24))</x:f>
      </x:c>
      <x:c r="AF24" s="88" t="str">
        <x:f>IF($C24="","",IF($AC24&lt;=0,"Closed",IF($AD24="","Open",IF($AE24&gt;90,"Immediate action",IF($AE24&gt;60,"Urgent collection",IF($AE24&gt;30,"Follow up","Monitor"))))))</x:f>
      </x:c>
      <x:c r="AG24" s="86"/>
      <x:c r="AH24" s="86"/>
      <x:c r="AI24" s="86"/>
      <x:c r="AJ24" s="93" t="str">
        <x:f>IF(AND($P24="Paid",$AI24&lt;&gt;""),$AI24,"")</x:f>
      </x:c>
    </x:row>
    <x:row r="25">
      <x:c r="A25" s="86"/>
      <x:c r="B25" s="87"/>
      <x:c r="C25" s="87"/>
      <x:c r="D25" s="87"/>
      <x:c r="E25" s="87"/>
      <x:c r="F25" s="87"/>
      <x:c r="G25" s="87"/>
      <x:c r="H25" s="87"/>
      <x:c r="I25" s="87"/>
      <x:c r="J25" s="88" t="str">
        <x:f>IF($I25="","",VLOOKUP($I25,Lookup!$A$2:$G$18,2,FALSE))</x:f>
      </x:c>
      <x:c r="K25" s="88" t="str">
        <x:f>IF($I25="","",VLOOKUP($I25,Lookup!$A$2:$G$18,3,FALSE))</x:f>
      </x:c>
      <x:c r="L25" s="88" t="str">
        <x:f>IF($I25="","",VLOOKUP($I25,Lookup!$A$2:$G$18,4,FALSE))</x:f>
      </x:c>
      <x:c r="M25" s="89"/>
      <x:c r="N25" s="90"/>
      <x:c r="O25" s="91" t="str">
        <x:f>IF($C25="","",$M25*$N25)</x:f>
      </x:c>
      <x:c r="P25" s="87"/>
      <x:c r="Q25" s="87"/>
      <x:c r="R25" s="87"/>
      <x:c r="S25" s="91" t="str">
        <x:f>IF($I25="","",VLOOKUP($I25,Lookup!$A$2:$G$18,6,FALSE))</x:f>
      </x:c>
      <x:c r="T25" s="91" t="str">
        <x:f>IF($C25="","",$M25*$S25)</x:f>
      </x:c>
      <x:c r="U25" s="91" t="str">
        <x:f>IF($C25="","",$O25-$T25)</x:f>
      </x:c>
      <x:c r="V25" s="88" t="str">
        <x:f>IF($C25="","",IF(COUNTIFS($B$7:$B$56,$B25,$C$7:$C$56,$C25,$E$7:$E$56,$E25,$I$7:$I$56,$I25,$N$7:$N$56,$N25,$M$7:$M$56,$M25)&gt;1,"CHECK","OK"))</x:f>
      </x:c>
      <x:c r="W25" s="88" t="str">
        <x:f>IF($C25="","",COUNTIF($C$7:$C25,$C25))</x:f>
      </x:c>
      <x:c r="X25" s="88" t="str">
        <x:f>IF($C25="","",$C25&amp;"-"&amp;$W25)</x:f>
      </x:c>
      <x:c r="Y25" s="87"/>
      <x:c r="Z25" s="91" t="str">
        <x:f>IF($I25="","",VLOOKUP($I25,Lookup!$A$2:$G$18,7,FALSE))</x:f>
      </x:c>
      <x:c r="AA25" s="91" t="str">
        <x:f>IF($C25="","",SUMIF($C$7:$C$56,$C25,$O$7:$O$56))</x:f>
      </x:c>
      <x:c r="AB25" s="90"/>
      <x:c r="AC25" s="91" t="str">
        <x:f>IF($C25="","",MAX(0,$AA25-$AB25))</x:f>
      </x:c>
      <x:c r="AD25" s="86"/>
      <x:c r="AE25" s="92" t="str">
        <x:f>IF(OR($C25="",$AC25&lt;=0,$AD25=""),"",MAX(0,TODAY()-$AD25))</x:f>
      </x:c>
      <x:c r="AF25" s="88" t="str">
        <x:f>IF($C25="","",IF($AC25&lt;=0,"Closed",IF($AD25="","Open",IF($AE25&gt;90,"Immediate action",IF($AE25&gt;60,"Urgent collection",IF($AE25&gt;30,"Follow up","Monitor"))))))</x:f>
      </x:c>
      <x:c r="AG25" s="86"/>
      <x:c r="AH25" s="86"/>
      <x:c r="AI25" s="86"/>
      <x:c r="AJ25" s="93" t="str">
        <x:f>IF(AND($P25="Paid",$AI25&lt;&gt;""),$AI25,"")</x:f>
      </x:c>
    </x:row>
    <x:row r="26">
      <x:c r="A26" s="86"/>
      <x:c r="B26" s="87"/>
      <x:c r="C26" s="87"/>
      <x:c r="D26" s="87"/>
      <x:c r="E26" s="87"/>
      <x:c r="F26" s="87"/>
      <x:c r="G26" s="87"/>
      <x:c r="H26" s="87"/>
      <x:c r="I26" s="87"/>
      <x:c r="J26" s="88" t="str">
        <x:f>IF($I26="","",VLOOKUP($I26,Lookup!$A$2:$G$18,2,FALSE))</x:f>
      </x:c>
      <x:c r="K26" s="88" t="str">
        <x:f>IF($I26="","",VLOOKUP($I26,Lookup!$A$2:$G$18,3,FALSE))</x:f>
      </x:c>
      <x:c r="L26" s="88" t="str">
        <x:f>IF($I26="","",VLOOKUP($I26,Lookup!$A$2:$G$18,4,FALSE))</x:f>
      </x:c>
      <x:c r="M26" s="89"/>
      <x:c r="N26" s="90"/>
      <x:c r="O26" s="91" t="str">
        <x:f>IF($C26="","",$M26*$N26)</x:f>
      </x:c>
      <x:c r="P26" s="87"/>
      <x:c r="Q26" s="87"/>
      <x:c r="R26" s="87"/>
      <x:c r="S26" s="91" t="str">
        <x:f>IF($I26="","",VLOOKUP($I26,Lookup!$A$2:$G$18,6,FALSE))</x:f>
      </x:c>
      <x:c r="T26" s="91" t="str">
        <x:f>IF($C26="","",$M26*$S26)</x:f>
      </x:c>
      <x:c r="U26" s="91" t="str">
        <x:f>IF($C26="","",$O26-$T26)</x:f>
      </x:c>
      <x:c r="V26" s="88" t="str">
        <x:f>IF($C26="","",IF(COUNTIFS($B$7:$B$56,$B26,$C$7:$C$56,$C26,$E$7:$E$56,$E26,$I$7:$I$56,$I26,$N$7:$N$56,$N26,$M$7:$M$56,$M26)&gt;1,"CHECK","OK"))</x:f>
      </x:c>
      <x:c r="W26" s="88" t="str">
        <x:f>IF($C26="","",COUNTIF($C$7:$C26,$C26))</x:f>
      </x:c>
      <x:c r="X26" s="88" t="str">
        <x:f>IF($C26="","",$C26&amp;"-"&amp;$W26)</x:f>
      </x:c>
      <x:c r="Y26" s="87"/>
      <x:c r="Z26" s="91" t="str">
        <x:f>IF($I26="","",VLOOKUP($I26,Lookup!$A$2:$G$18,7,FALSE))</x:f>
      </x:c>
      <x:c r="AA26" s="91" t="str">
        <x:f>IF($C26="","",SUMIF($C$7:$C$56,$C26,$O$7:$O$56))</x:f>
      </x:c>
      <x:c r="AB26" s="90"/>
      <x:c r="AC26" s="91" t="str">
        <x:f>IF($C26="","",MAX(0,$AA26-$AB26))</x:f>
      </x:c>
      <x:c r="AD26" s="86"/>
      <x:c r="AE26" s="92" t="str">
        <x:f>IF(OR($C26="",$AC26&lt;=0,$AD26=""),"",MAX(0,TODAY()-$AD26))</x:f>
      </x:c>
      <x:c r="AF26" s="88" t="str">
        <x:f>IF($C26="","",IF($AC26&lt;=0,"Closed",IF($AD26="","Open",IF($AE26&gt;90,"Immediate action",IF($AE26&gt;60,"Urgent collection",IF($AE26&gt;30,"Follow up","Monitor"))))))</x:f>
      </x:c>
      <x:c r="AG26" s="86"/>
      <x:c r="AH26" s="86"/>
      <x:c r="AI26" s="86"/>
      <x:c r="AJ26" s="93" t="str">
        <x:f>IF(AND($P26="Paid",$AI26&lt;&gt;""),$AI26,"")</x:f>
      </x:c>
    </x:row>
    <x:row r="27">
      <x:c r="A27" s="86"/>
      <x:c r="B27" s="87"/>
      <x:c r="C27" s="87"/>
      <x:c r="D27" s="87"/>
      <x:c r="E27" s="87"/>
      <x:c r="F27" s="87"/>
      <x:c r="G27" s="87"/>
      <x:c r="H27" s="87"/>
      <x:c r="I27" s="87"/>
      <x:c r="J27" s="88" t="str">
        <x:f>IF($I27="","",VLOOKUP($I27,Lookup!$A$2:$G$18,2,FALSE))</x:f>
      </x:c>
      <x:c r="K27" s="88" t="str">
        <x:f>IF($I27="","",VLOOKUP($I27,Lookup!$A$2:$G$18,3,FALSE))</x:f>
      </x:c>
      <x:c r="L27" s="88" t="str">
        <x:f>IF($I27="","",VLOOKUP($I27,Lookup!$A$2:$G$18,4,FALSE))</x:f>
      </x:c>
      <x:c r="M27" s="89"/>
      <x:c r="N27" s="90"/>
      <x:c r="O27" s="91" t="str">
        <x:f>IF($C27="","",$M27*$N27)</x:f>
      </x:c>
      <x:c r="P27" s="87"/>
      <x:c r="Q27" s="87"/>
      <x:c r="R27" s="87"/>
      <x:c r="S27" s="91" t="str">
        <x:f>IF($I27="","",VLOOKUP($I27,Lookup!$A$2:$G$18,6,FALSE))</x:f>
      </x:c>
      <x:c r="T27" s="91" t="str">
        <x:f>IF($C27="","",$M27*$S27)</x:f>
      </x:c>
      <x:c r="U27" s="91" t="str">
        <x:f>IF($C27="","",$O27-$T27)</x:f>
      </x:c>
      <x:c r="V27" s="88" t="str">
        <x:f>IF($C27="","",IF(COUNTIFS($B$7:$B$56,$B27,$C$7:$C$56,$C27,$E$7:$E$56,$E27,$I$7:$I$56,$I27,$N$7:$N$56,$N27,$M$7:$M$56,$M27)&gt;1,"CHECK","OK"))</x:f>
      </x:c>
      <x:c r="W27" s="88" t="str">
        <x:f>IF($C27="","",COUNTIF($C$7:$C27,$C27))</x:f>
      </x:c>
      <x:c r="X27" s="88" t="str">
        <x:f>IF($C27="","",$C27&amp;"-"&amp;$W27)</x:f>
      </x:c>
      <x:c r="Y27" s="87"/>
      <x:c r="Z27" s="91" t="str">
        <x:f>IF($I27="","",VLOOKUP($I27,Lookup!$A$2:$G$18,7,FALSE))</x:f>
      </x:c>
      <x:c r="AA27" s="91" t="str">
        <x:f>IF($C27="","",SUMIF($C$7:$C$56,$C27,$O$7:$O$56))</x:f>
      </x:c>
      <x:c r="AB27" s="90"/>
      <x:c r="AC27" s="91" t="str">
        <x:f>IF($C27="","",MAX(0,$AA27-$AB27))</x:f>
      </x:c>
      <x:c r="AD27" s="86"/>
      <x:c r="AE27" s="92" t="str">
        <x:f>IF(OR($C27="",$AC27&lt;=0,$AD27=""),"",MAX(0,TODAY()-$AD27))</x:f>
      </x:c>
      <x:c r="AF27" s="88" t="str">
        <x:f>IF($C27="","",IF($AC27&lt;=0,"Closed",IF($AD27="","Open",IF($AE27&gt;90,"Immediate action",IF($AE27&gt;60,"Urgent collection",IF($AE27&gt;30,"Follow up","Monitor"))))))</x:f>
      </x:c>
      <x:c r="AG27" s="86"/>
      <x:c r="AH27" s="86"/>
      <x:c r="AI27" s="86"/>
      <x:c r="AJ27" s="93" t="str">
        <x:f>IF(AND($P27="Paid",$AI27&lt;&gt;""),$AI27,"")</x:f>
      </x:c>
    </x:row>
    <x:row r="28">
      <x:c r="A28" s="86"/>
      <x:c r="B28" s="87"/>
      <x:c r="C28" s="87"/>
      <x:c r="D28" s="87"/>
      <x:c r="E28" s="87"/>
      <x:c r="F28" s="87"/>
      <x:c r="G28" s="87"/>
      <x:c r="H28" s="87"/>
      <x:c r="I28" s="87"/>
      <x:c r="J28" s="88" t="str">
        <x:f>IF($I28="","",VLOOKUP($I28,Lookup!$A$2:$G$18,2,FALSE))</x:f>
      </x:c>
      <x:c r="K28" s="88" t="str">
        <x:f>IF($I28="","",VLOOKUP($I28,Lookup!$A$2:$G$18,3,FALSE))</x:f>
      </x:c>
      <x:c r="L28" s="88" t="str">
        <x:f>IF($I28="","",VLOOKUP($I28,Lookup!$A$2:$G$18,4,FALSE))</x:f>
      </x:c>
      <x:c r="M28" s="89"/>
      <x:c r="N28" s="90"/>
      <x:c r="O28" s="91" t="str">
        <x:f>IF($C28="","",$M28*$N28)</x:f>
      </x:c>
      <x:c r="P28" s="87"/>
      <x:c r="Q28" s="87"/>
      <x:c r="R28" s="87"/>
      <x:c r="S28" s="91" t="str">
        <x:f>IF($I28="","",VLOOKUP($I28,Lookup!$A$2:$G$18,6,FALSE))</x:f>
      </x:c>
      <x:c r="T28" s="91" t="str">
        <x:f>IF($C28="","",$M28*$S28)</x:f>
      </x:c>
      <x:c r="U28" s="91" t="str">
        <x:f>IF($C28="","",$O28-$T28)</x:f>
      </x:c>
      <x:c r="V28" s="88" t="str">
        <x:f>IF($C28="","",IF(COUNTIFS($B$7:$B$56,$B28,$C$7:$C$56,$C28,$E$7:$E$56,$E28,$I$7:$I$56,$I28,$N$7:$N$56,$N28,$M$7:$M$56,$M28)&gt;1,"CHECK","OK"))</x:f>
      </x:c>
      <x:c r="W28" s="88" t="str">
        <x:f>IF($C28="","",COUNTIF($C$7:$C28,$C28))</x:f>
      </x:c>
      <x:c r="X28" s="88" t="str">
        <x:f>IF($C28="","",$C28&amp;"-"&amp;$W28)</x:f>
      </x:c>
      <x:c r="Y28" s="87"/>
      <x:c r="Z28" s="91" t="str">
        <x:f>IF($I28="","",VLOOKUP($I28,Lookup!$A$2:$G$18,7,FALSE))</x:f>
      </x:c>
      <x:c r="AA28" s="91" t="str">
        <x:f>IF($C28="","",SUMIF($C$7:$C$56,$C28,$O$7:$O$56))</x:f>
      </x:c>
      <x:c r="AB28" s="90"/>
      <x:c r="AC28" s="91" t="str">
        <x:f>IF($C28="","",MAX(0,$AA28-$AB28))</x:f>
      </x:c>
      <x:c r="AD28" s="86"/>
      <x:c r="AE28" s="92" t="str">
        <x:f>IF(OR($C28="",$AC28&lt;=0,$AD28=""),"",MAX(0,TODAY()-$AD28))</x:f>
      </x:c>
      <x:c r="AF28" s="88" t="str">
        <x:f>IF($C28="","",IF($AC28&lt;=0,"Closed",IF($AD28="","Open",IF($AE28&gt;90,"Immediate action",IF($AE28&gt;60,"Urgent collection",IF($AE28&gt;30,"Follow up","Monitor"))))))</x:f>
      </x:c>
      <x:c r="AG28" s="86"/>
      <x:c r="AH28" s="86"/>
      <x:c r="AI28" s="86"/>
      <x:c r="AJ28" s="93" t="str">
        <x:f>IF(AND($P28="Paid",$AI28&lt;&gt;""),$AI28,"")</x:f>
      </x:c>
    </x:row>
    <x:row r="29">
      <x:c r="A29" s="86"/>
      <x:c r="B29" s="87"/>
      <x:c r="C29" s="87"/>
      <x:c r="D29" s="87"/>
      <x:c r="E29" s="87"/>
      <x:c r="F29" s="87"/>
      <x:c r="G29" s="87"/>
      <x:c r="H29" s="87"/>
      <x:c r="I29" s="87"/>
      <x:c r="J29" s="88" t="str">
        <x:f>IF($I29="","",VLOOKUP($I29,Lookup!$A$2:$G$18,2,FALSE))</x:f>
      </x:c>
      <x:c r="K29" s="88" t="str">
        <x:f>IF($I29="","",VLOOKUP($I29,Lookup!$A$2:$G$18,3,FALSE))</x:f>
      </x:c>
      <x:c r="L29" s="88" t="str">
        <x:f>IF($I29="","",VLOOKUP($I29,Lookup!$A$2:$G$18,4,FALSE))</x:f>
      </x:c>
      <x:c r="M29" s="89"/>
      <x:c r="N29" s="90"/>
      <x:c r="O29" s="91" t="str">
        <x:f>IF($C29="","",$M29*$N29)</x:f>
      </x:c>
      <x:c r="P29" s="87"/>
      <x:c r="Q29" s="87"/>
      <x:c r="R29" s="87"/>
      <x:c r="S29" s="91" t="str">
        <x:f>IF($I29="","",VLOOKUP($I29,Lookup!$A$2:$G$18,6,FALSE))</x:f>
      </x:c>
      <x:c r="T29" s="91" t="str">
        <x:f>IF($C29="","",$M29*$S29)</x:f>
      </x:c>
      <x:c r="U29" s="91" t="str">
        <x:f>IF($C29="","",$O29-$T29)</x:f>
      </x:c>
      <x:c r="V29" s="88" t="str">
        <x:f>IF($C29="","",IF(COUNTIFS($B$7:$B$56,$B29,$C$7:$C$56,$C29,$E$7:$E$56,$E29,$I$7:$I$56,$I29,$N$7:$N$56,$N29,$M$7:$M$56,$M29)&gt;1,"CHECK","OK"))</x:f>
      </x:c>
      <x:c r="W29" s="88" t="str">
        <x:f>IF($C29="","",COUNTIF($C$7:$C29,$C29))</x:f>
      </x:c>
      <x:c r="X29" s="88" t="str">
        <x:f>IF($C29="","",$C29&amp;"-"&amp;$W29)</x:f>
      </x:c>
      <x:c r="Y29" s="87"/>
      <x:c r="Z29" s="91" t="str">
        <x:f>IF($I29="","",VLOOKUP($I29,Lookup!$A$2:$G$18,7,FALSE))</x:f>
      </x:c>
      <x:c r="AA29" s="91" t="str">
        <x:f>IF($C29="","",SUMIF($C$7:$C$56,$C29,$O$7:$O$56))</x:f>
      </x:c>
      <x:c r="AB29" s="90"/>
      <x:c r="AC29" s="91" t="str">
        <x:f>IF($C29="","",MAX(0,$AA29-$AB29))</x:f>
      </x:c>
      <x:c r="AD29" s="86"/>
      <x:c r="AE29" s="92" t="str">
        <x:f>IF(OR($C29="",$AC29&lt;=0,$AD29=""),"",MAX(0,TODAY()-$AD29))</x:f>
      </x:c>
      <x:c r="AF29" s="88" t="str">
        <x:f>IF($C29="","",IF($AC29&lt;=0,"Closed",IF($AD29="","Open",IF($AE29&gt;90,"Immediate action",IF($AE29&gt;60,"Urgent collection",IF($AE29&gt;30,"Follow up","Monitor"))))))</x:f>
      </x:c>
      <x:c r="AG29" s="86"/>
      <x:c r="AH29" s="86"/>
      <x:c r="AI29" s="86"/>
      <x:c r="AJ29" s="93" t="str">
        <x:f>IF(AND($P29="Paid",$AI29&lt;&gt;""),$AI29,"")</x:f>
      </x:c>
    </x:row>
    <x:row r="30">
      <x:c r="A30" s="86"/>
      <x:c r="B30" s="87"/>
      <x:c r="C30" s="87"/>
      <x:c r="D30" s="87"/>
      <x:c r="E30" s="87"/>
      <x:c r="F30" s="87"/>
      <x:c r="G30" s="87"/>
      <x:c r="H30" s="87"/>
      <x:c r="I30" s="87"/>
      <x:c r="J30" s="88" t="str">
        <x:f>IF($I30="","",VLOOKUP($I30,Lookup!$A$2:$G$18,2,FALSE))</x:f>
      </x:c>
      <x:c r="K30" s="88" t="str">
        <x:f>IF($I30="","",VLOOKUP($I30,Lookup!$A$2:$G$18,3,FALSE))</x:f>
      </x:c>
      <x:c r="L30" s="88" t="str">
        <x:f>IF($I30="","",VLOOKUP($I30,Lookup!$A$2:$G$18,4,FALSE))</x:f>
      </x:c>
      <x:c r="M30" s="89"/>
      <x:c r="N30" s="90"/>
      <x:c r="O30" s="91" t="str">
        <x:f>IF($C30="","",$M30*$N30)</x:f>
      </x:c>
      <x:c r="P30" s="87"/>
      <x:c r="Q30" s="87"/>
      <x:c r="R30" s="87"/>
      <x:c r="S30" s="91" t="str">
        <x:f>IF($I30="","",VLOOKUP($I30,Lookup!$A$2:$G$18,6,FALSE))</x:f>
      </x:c>
      <x:c r="T30" s="91" t="str">
        <x:f>IF($C30="","",$M30*$S30)</x:f>
      </x:c>
      <x:c r="U30" s="91" t="str">
        <x:f>IF($C30="","",$O30-$T30)</x:f>
      </x:c>
      <x:c r="V30" s="88" t="str">
        <x:f>IF($C30="","",IF(COUNTIFS($B$7:$B$56,$B30,$C$7:$C$56,$C30,$E$7:$E$56,$E30,$I$7:$I$56,$I30,$N$7:$N$56,$N30,$M$7:$M$56,$M30)&gt;1,"CHECK","OK"))</x:f>
      </x:c>
      <x:c r="W30" s="88" t="str">
        <x:f>IF($C30="","",COUNTIF($C$7:$C30,$C30))</x:f>
      </x:c>
      <x:c r="X30" s="88" t="str">
        <x:f>IF($C30="","",$C30&amp;"-"&amp;$W30)</x:f>
      </x:c>
      <x:c r="Y30" s="87"/>
      <x:c r="Z30" s="91" t="str">
        <x:f>IF($I30="","",VLOOKUP($I30,Lookup!$A$2:$G$18,7,FALSE))</x:f>
      </x:c>
      <x:c r="AA30" s="91" t="str">
        <x:f>IF($C30="","",SUMIF($C$7:$C$56,$C30,$O$7:$O$56))</x:f>
      </x:c>
      <x:c r="AB30" s="90"/>
      <x:c r="AC30" s="91" t="str">
        <x:f>IF($C30="","",MAX(0,$AA30-$AB30))</x:f>
      </x:c>
      <x:c r="AD30" s="86"/>
      <x:c r="AE30" s="92" t="str">
        <x:f>IF(OR($C30="",$AC30&lt;=0,$AD30=""),"",MAX(0,TODAY()-$AD30))</x:f>
      </x:c>
      <x:c r="AF30" s="88" t="str">
        <x:f>IF($C30="","",IF($AC30&lt;=0,"Closed",IF($AD30="","Open",IF($AE30&gt;90,"Immediate action",IF($AE30&gt;60,"Urgent collection",IF($AE30&gt;30,"Follow up","Monitor"))))))</x:f>
      </x:c>
      <x:c r="AG30" s="86"/>
      <x:c r="AH30" s="86"/>
      <x:c r="AI30" s="86"/>
      <x:c r="AJ30" s="93" t="str">
        <x:f>IF(AND($P30="Paid",$AI30&lt;&gt;""),$AI30,"")</x:f>
      </x:c>
    </x:row>
    <x:row r="31">
      <x:c r="A31" s="86"/>
      <x:c r="B31" s="87"/>
      <x:c r="C31" s="87"/>
      <x:c r="D31" s="87"/>
      <x:c r="E31" s="87"/>
      <x:c r="F31" s="87"/>
      <x:c r="G31" s="87"/>
      <x:c r="H31" s="87"/>
      <x:c r="I31" s="87"/>
      <x:c r="J31" s="88" t="str">
        <x:f>IF($I31="","",VLOOKUP($I31,Lookup!$A$2:$G$18,2,FALSE))</x:f>
      </x:c>
      <x:c r="K31" s="88" t="str">
        <x:f>IF($I31="","",VLOOKUP($I31,Lookup!$A$2:$G$18,3,FALSE))</x:f>
      </x:c>
      <x:c r="L31" s="88" t="str">
        <x:f>IF($I31="","",VLOOKUP($I31,Lookup!$A$2:$G$18,4,FALSE))</x:f>
      </x:c>
      <x:c r="M31" s="89"/>
      <x:c r="N31" s="90"/>
      <x:c r="O31" s="91" t="str">
        <x:f>IF($C31="","",$M31*$N31)</x:f>
      </x:c>
      <x:c r="P31" s="87"/>
      <x:c r="Q31" s="87"/>
      <x:c r="R31" s="87"/>
      <x:c r="S31" s="91" t="str">
        <x:f>IF($I31="","",VLOOKUP($I31,Lookup!$A$2:$G$18,6,FALSE))</x:f>
      </x:c>
      <x:c r="T31" s="91" t="str">
        <x:f>IF($C31="","",$M31*$S31)</x:f>
      </x:c>
      <x:c r="U31" s="91" t="str">
        <x:f>IF($C31="","",$O31-$T31)</x:f>
      </x:c>
      <x:c r="V31" s="88" t="str">
        <x:f>IF($C31="","",IF(COUNTIFS($B$7:$B$56,$B31,$C$7:$C$56,$C31,$E$7:$E$56,$E31,$I$7:$I$56,$I31,$N$7:$N$56,$N31,$M$7:$M$56,$M31)&gt;1,"CHECK","OK"))</x:f>
      </x:c>
      <x:c r="W31" s="88" t="str">
        <x:f>IF($C31="","",COUNTIF($C$7:$C31,$C31))</x:f>
      </x:c>
      <x:c r="X31" s="88" t="str">
        <x:f>IF($C31="","",$C31&amp;"-"&amp;$W31)</x:f>
      </x:c>
      <x:c r="Y31" s="87"/>
      <x:c r="Z31" s="91" t="str">
        <x:f>IF($I31="","",VLOOKUP($I31,Lookup!$A$2:$G$18,7,FALSE))</x:f>
      </x:c>
      <x:c r="AA31" s="91" t="str">
        <x:f>IF($C31="","",SUMIF($C$7:$C$56,$C31,$O$7:$O$56))</x:f>
      </x:c>
      <x:c r="AB31" s="90"/>
      <x:c r="AC31" s="91" t="str">
        <x:f>IF($C31="","",MAX(0,$AA31-$AB31))</x:f>
      </x:c>
      <x:c r="AD31" s="86"/>
      <x:c r="AE31" s="92" t="str">
        <x:f>IF(OR($C31="",$AC31&lt;=0,$AD31=""),"",MAX(0,TODAY()-$AD31))</x:f>
      </x:c>
      <x:c r="AF31" s="88" t="str">
        <x:f>IF($C31="","",IF($AC31&lt;=0,"Closed",IF($AD31="","Open",IF($AE31&gt;90,"Immediate action",IF($AE31&gt;60,"Urgent collection",IF($AE31&gt;30,"Follow up","Monitor"))))))</x:f>
      </x:c>
      <x:c r="AG31" s="86"/>
      <x:c r="AH31" s="86"/>
      <x:c r="AI31" s="86"/>
      <x:c r="AJ31" s="93" t="str">
        <x:f>IF(AND($P31="Paid",$AI31&lt;&gt;""),$AI31,"")</x:f>
      </x:c>
    </x:row>
    <x:row r="32">
      <x:c r="A32" s="86"/>
      <x:c r="B32" s="87"/>
      <x:c r="C32" s="87"/>
      <x:c r="D32" s="87"/>
      <x:c r="E32" s="87"/>
      <x:c r="F32" s="87"/>
      <x:c r="G32" s="87"/>
      <x:c r="H32" s="87"/>
      <x:c r="I32" s="87"/>
      <x:c r="J32" s="88" t="str">
        <x:f>IF($I32="","",VLOOKUP($I32,Lookup!$A$2:$G$18,2,FALSE))</x:f>
      </x:c>
      <x:c r="K32" s="88" t="str">
        <x:f>IF($I32="","",VLOOKUP($I32,Lookup!$A$2:$G$18,3,FALSE))</x:f>
      </x:c>
      <x:c r="L32" s="88" t="str">
        <x:f>IF($I32="","",VLOOKUP($I32,Lookup!$A$2:$G$18,4,FALSE))</x:f>
      </x:c>
      <x:c r="M32" s="89"/>
      <x:c r="N32" s="90"/>
      <x:c r="O32" s="91" t="str">
        <x:f>IF($C32="","",$M32*$N32)</x:f>
      </x:c>
      <x:c r="P32" s="87"/>
      <x:c r="Q32" s="87"/>
      <x:c r="R32" s="87"/>
      <x:c r="S32" s="91" t="str">
        <x:f>IF($I32="","",VLOOKUP($I32,Lookup!$A$2:$G$18,6,FALSE))</x:f>
      </x:c>
      <x:c r="T32" s="91" t="str">
        <x:f>IF($C32="","",$M32*$S32)</x:f>
      </x:c>
      <x:c r="U32" s="91" t="str">
        <x:f>IF($C32="","",$O32-$T32)</x:f>
      </x:c>
      <x:c r="V32" s="88" t="str">
        <x:f>IF($C32="","",IF(COUNTIFS($B$7:$B$56,$B32,$C$7:$C$56,$C32,$E$7:$E$56,$E32,$I$7:$I$56,$I32,$N$7:$N$56,$N32,$M$7:$M$56,$M32)&gt;1,"CHECK","OK"))</x:f>
      </x:c>
      <x:c r="W32" s="88" t="str">
        <x:f>IF($C32="","",COUNTIF($C$7:$C32,$C32))</x:f>
      </x:c>
      <x:c r="X32" s="88" t="str">
        <x:f>IF($C32="","",$C32&amp;"-"&amp;$W32)</x:f>
      </x:c>
      <x:c r="Y32" s="87"/>
      <x:c r="Z32" s="91" t="str">
        <x:f>IF($I32="","",VLOOKUP($I32,Lookup!$A$2:$G$18,7,FALSE))</x:f>
      </x:c>
      <x:c r="AA32" s="91" t="str">
        <x:f>IF($C32="","",SUMIF($C$7:$C$56,$C32,$O$7:$O$56))</x:f>
      </x:c>
      <x:c r="AB32" s="90"/>
      <x:c r="AC32" s="91" t="str">
        <x:f>IF($C32="","",MAX(0,$AA32-$AB32))</x:f>
      </x:c>
      <x:c r="AD32" s="86"/>
      <x:c r="AE32" s="92" t="str">
        <x:f>IF(OR($C32="",$AC32&lt;=0,$AD32=""),"",MAX(0,TODAY()-$AD32))</x:f>
      </x:c>
      <x:c r="AF32" s="88" t="str">
        <x:f>IF($C32="","",IF($AC32&lt;=0,"Closed",IF($AD32="","Open",IF($AE32&gt;90,"Immediate action",IF($AE32&gt;60,"Urgent collection",IF($AE32&gt;30,"Follow up","Monitor"))))))</x:f>
      </x:c>
      <x:c r="AG32" s="86"/>
      <x:c r="AH32" s="86"/>
      <x:c r="AI32" s="86"/>
      <x:c r="AJ32" s="93" t="str">
        <x:f>IF(AND($P32="Paid",$AI32&lt;&gt;""),$AI32,"")</x:f>
      </x:c>
    </x:row>
    <x:row r="33">
      <x:c r="A33" s="86"/>
      <x:c r="B33" s="87"/>
      <x:c r="C33" s="87"/>
      <x:c r="D33" s="87"/>
      <x:c r="E33" s="87"/>
      <x:c r="F33" s="87"/>
      <x:c r="G33" s="87"/>
      <x:c r="H33" s="87"/>
      <x:c r="I33" s="87"/>
      <x:c r="J33" s="88" t="str">
        <x:f>IF($I33="","",VLOOKUP($I33,Lookup!$A$2:$G$18,2,FALSE))</x:f>
      </x:c>
      <x:c r="K33" s="88" t="str">
        <x:f>IF($I33="","",VLOOKUP($I33,Lookup!$A$2:$G$18,3,FALSE))</x:f>
      </x:c>
      <x:c r="L33" s="88" t="str">
        <x:f>IF($I33="","",VLOOKUP($I33,Lookup!$A$2:$G$18,4,FALSE))</x:f>
      </x:c>
      <x:c r="M33" s="89"/>
      <x:c r="N33" s="90"/>
      <x:c r="O33" s="91" t="str">
        <x:f>IF($C33="","",$M33*$N33)</x:f>
      </x:c>
      <x:c r="P33" s="87"/>
      <x:c r="Q33" s="87"/>
      <x:c r="R33" s="87"/>
      <x:c r="S33" s="91" t="str">
        <x:f>IF($I33="","",VLOOKUP($I33,Lookup!$A$2:$G$18,6,FALSE))</x:f>
      </x:c>
      <x:c r="T33" s="91" t="str">
        <x:f>IF($C33="","",$M33*$S33)</x:f>
      </x:c>
      <x:c r="U33" s="91" t="str">
        <x:f>IF($C33="","",$O33-$T33)</x:f>
      </x:c>
      <x:c r="V33" s="88" t="str">
        <x:f>IF($C33="","",IF(COUNTIFS($B$7:$B$56,$B33,$C$7:$C$56,$C33,$E$7:$E$56,$E33,$I$7:$I$56,$I33,$N$7:$N$56,$N33,$M$7:$M$56,$M33)&gt;1,"CHECK","OK"))</x:f>
      </x:c>
      <x:c r="W33" s="88" t="str">
        <x:f>IF($C33="","",COUNTIF($C$7:$C33,$C33))</x:f>
      </x:c>
      <x:c r="X33" s="88" t="str">
        <x:f>IF($C33="","",$C33&amp;"-"&amp;$W33)</x:f>
      </x:c>
      <x:c r="Y33" s="87"/>
      <x:c r="Z33" s="91" t="str">
        <x:f>IF($I33="","",VLOOKUP($I33,Lookup!$A$2:$G$18,7,FALSE))</x:f>
      </x:c>
      <x:c r="AA33" s="91" t="str">
        <x:f>IF($C33="","",SUMIF($C$7:$C$56,$C33,$O$7:$O$56))</x:f>
      </x:c>
      <x:c r="AB33" s="90"/>
      <x:c r="AC33" s="91" t="str">
        <x:f>IF($C33="","",MAX(0,$AA33-$AB33))</x:f>
      </x:c>
      <x:c r="AD33" s="86"/>
      <x:c r="AE33" s="92" t="str">
        <x:f>IF(OR($C33="",$AC33&lt;=0,$AD33=""),"",MAX(0,TODAY()-$AD33))</x:f>
      </x:c>
      <x:c r="AF33" s="88" t="str">
        <x:f>IF($C33="","",IF($AC33&lt;=0,"Closed",IF($AD33="","Open",IF($AE33&gt;90,"Immediate action",IF($AE33&gt;60,"Urgent collection",IF($AE33&gt;30,"Follow up","Monitor"))))))</x:f>
      </x:c>
      <x:c r="AG33" s="86"/>
      <x:c r="AH33" s="86"/>
      <x:c r="AI33" s="86"/>
      <x:c r="AJ33" s="93" t="str">
        <x:f>IF(AND($P33="Paid",$AI33&lt;&gt;""),$AI33,"")</x:f>
      </x:c>
    </x:row>
    <x:row r="34">
      <x:c r="A34" s="86"/>
      <x:c r="B34" s="87"/>
      <x:c r="C34" s="87"/>
      <x:c r="D34" s="87"/>
      <x:c r="E34" s="87"/>
      <x:c r="F34" s="87"/>
      <x:c r="G34" s="87"/>
      <x:c r="H34" s="87"/>
      <x:c r="I34" s="87"/>
      <x:c r="J34" s="88" t="str">
        <x:f>IF($I34="","",VLOOKUP($I34,Lookup!$A$2:$G$18,2,FALSE))</x:f>
      </x:c>
      <x:c r="K34" s="88" t="str">
        <x:f>IF($I34="","",VLOOKUP($I34,Lookup!$A$2:$G$18,3,FALSE))</x:f>
      </x:c>
      <x:c r="L34" s="88" t="str">
        <x:f>IF($I34="","",VLOOKUP($I34,Lookup!$A$2:$G$18,4,FALSE))</x:f>
      </x:c>
      <x:c r="M34" s="89"/>
      <x:c r="N34" s="90"/>
      <x:c r="O34" s="91" t="str">
        <x:f>IF($C34="","",$M34*$N34)</x:f>
      </x:c>
      <x:c r="P34" s="87"/>
      <x:c r="Q34" s="87"/>
      <x:c r="R34" s="87"/>
      <x:c r="S34" s="91" t="str">
        <x:f>IF($I34="","",VLOOKUP($I34,Lookup!$A$2:$G$18,6,FALSE))</x:f>
      </x:c>
      <x:c r="T34" s="91" t="str">
        <x:f>IF($C34="","",$M34*$S34)</x:f>
      </x:c>
      <x:c r="U34" s="91" t="str">
        <x:f>IF($C34="","",$O34-$T34)</x:f>
      </x:c>
      <x:c r="V34" s="88" t="str">
        <x:f>IF($C34="","",IF(COUNTIFS($B$7:$B$56,$B34,$C$7:$C$56,$C34,$E$7:$E$56,$E34,$I$7:$I$56,$I34,$N$7:$N$56,$N34,$M$7:$M$56,$M34)&gt;1,"CHECK","OK"))</x:f>
      </x:c>
      <x:c r="W34" s="88" t="str">
        <x:f>IF($C34="","",COUNTIF($C$7:$C34,$C34))</x:f>
      </x:c>
      <x:c r="X34" s="88" t="str">
        <x:f>IF($C34="","",$C34&amp;"-"&amp;$W34)</x:f>
      </x:c>
      <x:c r="Y34" s="87"/>
      <x:c r="Z34" s="91" t="str">
        <x:f>IF($I34="","",VLOOKUP($I34,Lookup!$A$2:$G$18,7,FALSE))</x:f>
      </x:c>
      <x:c r="AA34" s="91" t="str">
        <x:f>IF($C34="","",SUMIF($C$7:$C$56,$C34,$O$7:$O$56))</x:f>
      </x:c>
      <x:c r="AB34" s="90"/>
      <x:c r="AC34" s="91" t="str">
        <x:f>IF($C34="","",MAX(0,$AA34-$AB34))</x:f>
      </x:c>
      <x:c r="AD34" s="86"/>
      <x:c r="AE34" s="92" t="str">
        <x:f>IF(OR($C34="",$AC34&lt;=0,$AD34=""),"",MAX(0,TODAY()-$AD34))</x:f>
      </x:c>
      <x:c r="AF34" s="88" t="str">
        <x:f>IF($C34="","",IF($AC34&lt;=0,"Closed",IF($AD34="","Open",IF($AE34&gt;90,"Immediate action",IF($AE34&gt;60,"Urgent collection",IF($AE34&gt;30,"Follow up","Monitor"))))))</x:f>
      </x:c>
      <x:c r="AG34" s="86"/>
      <x:c r="AH34" s="86"/>
      <x:c r="AI34" s="86"/>
      <x:c r="AJ34" s="93" t="str">
        <x:f>IF(AND($P34="Paid",$AI34&lt;&gt;""),$AI34,"")</x:f>
      </x:c>
    </x:row>
    <x:row r="35">
      <x:c r="A35" s="86"/>
      <x:c r="B35" s="87"/>
      <x:c r="C35" s="87"/>
      <x:c r="D35" s="87"/>
      <x:c r="E35" s="87"/>
      <x:c r="F35" s="87"/>
      <x:c r="G35" s="87"/>
      <x:c r="H35" s="87"/>
      <x:c r="I35" s="87"/>
      <x:c r="J35" s="88" t="str">
        <x:f>IF($I35="","",VLOOKUP($I35,Lookup!$A$2:$G$18,2,FALSE))</x:f>
      </x:c>
      <x:c r="K35" s="88" t="str">
        <x:f>IF($I35="","",VLOOKUP($I35,Lookup!$A$2:$G$18,3,FALSE))</x:f>
      </x:c>
      <x:c r="L35" s="88" t="str">
        <x:f>IF($I35="","",VLOOKUP($I35,Lookup!$A$2:$G$18,4,FALSE))</x:f>
      </x:c>
      <x:c r="M35" s="89"/>
      <x:c r="N35" s="90"/>
      <x:c r="O35" s="91" t="str">
        <x:f>IF($C35="","",$M35*$N35)</x:f>
      </x:c>
      <x:c r="P35" s="87"/>
      <x:c r="Q35" s="87"/>
      <x:c r="R35" s="87"/>
      <x:c r="S35" s="91" t="str">
        <x:f>IF($I35="","",VLOOKUP($I35,Lookup!$A$2:$G$18,6,FALSE))</x:f>
      </x:c>
      <x:c r="T35" s="91" t="str">
        <x:f>IF($C35="","",$M35*$S35)</x:f>
      </x:c>
      <x:c r="U35" s="91" t="str">
        <x:f>IF($C35="","",$O35-$T35)</x:f>
      </x:c>
      <x:c r="V35" s="88" t="str">
        <x:f>IF($C35="","",IF(COUNTIFS($B$7:$B$56,$B35,$C$7:$C$56,$C35,$E$7:$E$56,$E35,$I$7:$I$56,$I35,$N$7:$N$56,$N35,$M$7:$M$56,$M35)&gt;1,"CHECK","OK"))</x:f>
      </x:c>
      <x:c r="W35" s="88" t="str">
        <x:f>IF($C35="","",COUNTIF($C$7:$C35,$C35))</x:f>
      </x:c>
      <x:c r="X35" s="88" t="str">
        <x:f>IF($C35="","",$C35&amp;"-"&amp;$W35)</x:f>
      </x:c>
      <x:c r="Y35" s="87"/>
      <x:c r="Z35" s="91" t="str">
        <x:f>IF($I35="","",VLOOKUP($I35,Lookup!$A$2:$G$18,7,FALSE))</x:f>
      </x:c>
      <x:c r="AA35" s="91" t="str">
        <x:f>IF($C35="","",SUMIF($C$7:$C$56,$C35,$O$7:$O$56))</x:f>
      </x:c>
      <x:c r="AB35" s="90"/>
      <x:c r="AC35" s="91" t="str">
        <x:f>IF($C35="","",MAX(0,$AA35-$AB35))</x:f>
      </x:c>
      <x:c r="AD35" s="86"/>
      <x:c r="AE35" s="92" t="str">
        <x:f>IF(OR($C35="",$AC35&lt;=0,$AD35=""),"",MAX(0,TODAY()-$AD35))</x:f>
      </x:c>
      <x:c r="AF35" s="88" t="str">
        <x:f>IF($C35="","",IF($AC35&lt;=0,"Closed",IF($AD35="","Open",IF($AE35&gt;90,"Immediate action",IF($AE35&gt;60,"Urgent collection",IF($AE35&gt;30,"Follow up","Monitor"))))))</x:f>
      </x:c>
      <x:c r="AG35" s="86"/>
      <x:c r="AH35" s="86"/>
      <x:c r="AI35" s="86"/>
      <x:c r="AJ35" s="93" t="str">
        <x:f>IF(AND($P35="Paid",$AI35&lt;&gt;""),$AI35,"")</x:f>
      </x:c>
    </x:row>
    <x:row r="36">
      <x:c r="A36" s="86"/>
      <x:c r="B36" s="87"/>
      <x:c r="C36" s="87"/>
      <x:c r="D36" s="87"/>
      <x:c r="E36" s="87"/>
      <x:c r="F36" s="87"/>
      <x:c r="G36" s="87"/>
      <x:c r="H36" s="87"/>
      <x:c r="I36" s="87"/>
      <x:c r="J36" s="88" t="str">
        <x:f>IF($I36="","",VLOOKUP($I36,Lookup!$A$2:$G$18,2,FALSE))</x:f>
      </x:c>
      <x:c r="K36" s="88" t="str">
        <x:f>IF($I36="","",VLOOKUP($I36,Lookup!$A$2:$G$18,3,FALSE))</x:f>
      </x:c>
      <x:c r="L36" s="88" t="str">
        <x:f>IF($I36="","",VLOOKUP($I36,Lookup!$A$2:$G$18,4,FALSE))</x:f>
      </x:c>
      <x:c r="M36" s="89"/>
      <x:c r="N36" s="90"/>
      <x:c r="O36" s="91" t="str">
        <x:f>IF($C36="","",$M36*$N36)</x:f>
      </x:c>
      <x:c r="P36" s="87"/>
      <x:c r="Q36" s="87"/>
      <x:c r="R36" s="87"/>
      <x:c r="S36" s="91" t="str">
        <x:f>IF($I36="","",VLOOKUP($I36,Lookup!$A$2:$G$18,6,FALSE))</x:f>
      </x:c>
      <x:c r="T36" s="91" t="str">
        <x:f>IF($C36="","",$M36*$S36)</x:f>
      </x:c>
      <x:c r="U36" s="91" t="str">
        <x:f>IF($C36="","",$O36-$T36)</x:f>
      </x:c>
      <x:c r="V36" s="88" t="str">
        <x:f>IF($C36="","",IF(COUNTIFS($B$7:$B$56,$B36,$C$7:$C$56,$C36,$E$7:$E$56,$E36,$I$7:$I$56,$I36,$N$7:$N$56,$N36,$M$7:$M$56,$M36)&gt;1,"CHECK","OK"))</x:f>
      </x:c>
      <x:c r="W36" s="88" t="str">
        <x:f>IF($C36="","",COUNTIF($C$7:$C36,$C36))</x:f>
      </x:c>
      <x:c r="X36" s="88" t="str">
        <x:f>IF($C36="","",$C36&amp;"-"&amp;$W36)</x:f>
      </x:c>
      <x:c r="Y36" s="87"/>
      <x:c r="Z36" s="91" t="str">
        <x:f>IF($I36="","",VLOOKUP($I36,Lookup!$A$2:$G$18,7,FALSE))</x:f>
      </x:c>
      <x:c r="AA36" s="91" t="str">
        <x:f>IF($C36="","",SUMIF($C$7:$C$56,$C36,$O$7:$O$56))</x:f>
      </x:c>
      <x:c r="AB36" s="90"/>
      <x:c r="AC36" s="91" t="str">
        <x:f>IF($C36="","",MAX(0,$AA36-$AB36))</x:f>
      </x:c>
      <x:c r="AD36" s="86"/>
      <x:c r="AE36" s="92" t="str">
        <x:f>IF(OR($C36="",$AC36&lt;=0,$AD36=""),"",MAX(0,TODAY()-$AD36))</x:f>
      </x:c>
      <x:c r="AF36" s="88" t="str">
        <x:f>IF($C36="","",IF($AC36&lt;=0,"Closed",IF($AD36="","Open",IF($AE36&gt;90,"Immediate action",IF($AE36&gt;60,"Urgent collection",IF($AE36&gt;30,"Follow up","Monitor"))))))</x:f>
      </x:c>
      <x:c r="AG36" s="86"/>
      <x:c r="AH36" s="86"/>
      <x:c r="AI36" s="86"/>
      <x:c r="AJ36" s="93" t="str">
        <x:f>IF(AND($P36="Paid",$AI36&lt;&gt;""),$AI36,"")</x:f>
      </x:c>
    </x:row>
    <x:row r="37">
      <x:c r="A37" s="86"/>
      <x:c r="B37" s="87"/>
      <x:c r="C37" s="87"/>
      <x:c r="D37" s="87"/>
      <x:c r="E37" s="87"/>
      <x:c r="F37" s="87"/>
      <x:c r="G37" s="87"/>
      <x:c r="H37" s="87"/>
      <x:c r="I37" s="87"/>
      <x:c r="J37" s="88" t="str">
        <x:f>IF($I37="","",VLOOKUP($I37,Lookup!$A$2:$G$18,2,FALSE))</x:f>
      </x:c>
      <x:c r="K37" s="88" t="str">
        <x:f>IF($I37="","",VLOOKUP($I37,Lookup!$A$2:$G$18,3,FALSE))</x:f>
      </x:c>
      <x:c r="L37" s="88" t="str">
        <x:f>IF($I37="","",VLOOKUP($I37,Lookup!$A$2:$G$18,4,FALSE))</x:f>
      </x:c>
      <x:c r="M37" s="89"/>
      <x:c r="N37" s="90"/>
      <x:c r="O37" s="91" t="str">
        <x:f>IF($C37="","",$M37*$N37)</x:f>
      </x:c>
      <x:c r="P37" s="87"/>
      <x:c r="Q37" s="87"/>
      <x:c r="R37" s="87"/>
      <x:c r="S37" s="91" t="str">
        <x:f>IF($I37="","",VLOOKUP($I37,Lookup!$A$2:$G$18,6,FALSE))</x:f>
      </x:c>
      <x:c r="T37" s="91" t="str">
        <x:f>IF($C37="","",$M37*$S37)</x:f>
      </x:c>
      <x:c r="U37" s="91" t="str">
        <x:f>IF($C37="","",$O37-$T37)</x:f>
      </x:c>
      <x:c r="V37" s="88" t="str">
        <x:f>IF($C37="","",IF(COUNTIFS($B$7:$B$56,$B37,$C$7:$C$56,$C37,$E$7:$E$56,$E37,$I$7:$I$56,$I37,$N$7:$N$56,$N37,$M$7:$M$56,$M37)&gt;1,"CHECK","OK"))</x:f>
      </x:c>
      <x:c r="W37" s="88" t="str">
        <x:f>IF($C37="","",COUNTIF($C$7:$C37,$C37))</x:f>
      </x:c>
      <x:c r="X37" s="88" t="str">
        <x:f>IF($C37="","",$C37&amp;"-"&amp;$W37)</x:f>
      </x:c>
      <x:c r="Y37" s="87"/>
      <x:c r="Z37" s="91" t="str">
        <x:f>IF($I37="","",VLOOKUP($I37,Lookup!$A$2:$G$18,7,FALSE))</x:f>
      </x:c>
      <x:c r="AA37" s="91" t="str">
        <x:f>IF($C37="","",SUMIF($C$7:$C$56,$C37,$O$7:$O$56))</x:f>
      </x:c>
      <x:c r="AB37" s="90"/>
      <x:c r="AC37" s="91" t="str">
        <x:f>IF($C37="","",MAX(0,$AA37-$AB37))</x:f>
      </x:c>
      <x:c r="AD37" s="86"/>
      <x:c r="AE37" s="92" t="str">
        <x:f>IF(OR($C37="",$AC37&lt;=0,$AD37=""),"",MAX(0,TODAY()-$AD37))</x:f>
      </x:c>
      <x:c r="AF37" s="88" t="str">
        <x:f>IF($C37="","",IF($AC37&lt;=0,"Closed",IF($AD37="","Open",IF($AE37&gt;90,"Immediate action",IF($AE37&gt;60,"Urgent collection",IF($AE37&gt;30,"Follow up","Monitor"))))))</x:f>
      </x:c>
      <x:c r="AG37" s="86"/>
      <x:c r="AH37" s="86"/>
      <x:c r="AI37" s="86"/>
      <x:c r="AJ37" s="93" t="str">
        <x:f>IF(AND($P37="Paid",$AI37&lt;&gt;""),$AI37,"")</x:f>
      </x:c>
    </x:row>
    <x:row r="38">
      <x:c r="A38" s="86"/>
      <x:c r="B38" s="87"/>
      <x:c r="C38" s="87"/>
      <x:c r="D38" s="87"/>
      <x:c r="E38" s="87"/>
      <x:c r="F38" s="87"/>
      <x:c r="G38" s="87"/>
      <x:c r="H38" s="87"/>
      <x:c r="I38" s="87"/>
      <x:c r="J38" s="88" t="str">
        <x:f>IF($I38="","",VLOOKUP($I38,Lookup!$A$2:$G$18,2,FALSE))</x:f>
      </x:c>
      <x:c r="K38" s="88" t="str">
        <x:f>IF($I38="","",VLOOKUP($I38,Lookup!$A$2:$G$18,3,FALSE))</x:f>
      </x:c>
      <x:c r="L38" s="88" t="str">
        <x:f>IF($I38="","",VLOOKUP($I38,Lookup!$A$2:$G$18,4,FALSE))</x:f>
      </x:c>
      <x:c r="M38" s="89"/>
      <x:c r="N38" s="90"/>
      <x:c r="O38" s="91" t="str">
        <x:f>IF($C38="","",$M38*$N38)</x:f>
      </x:c>
      <x:c r="P38" s="87"/>
      <x:c r="Q38" s="87"/>
      <x:c r="R38" s="87"/>
      <x:c r="S38" s="91" t="str">
        <x:f>IF($I38="","",VLOOKUP($I38,Lookup!$A$2:$G$18,6,FALSE))</x:f>
      </x:c>
      <x:c r="T38" s="91" t="str">
        <x:f>IF($C38="","",$M38*$S38)</x:f>
      </x:c>
      <x:c r="U38" s="91" t="str">
        <x:f>IF($C38="","",$O38-$T38)</x:f>
      </x:c>
      <x:c r="V38" s="88" t="str">
        <x:f>IF($C38="","",IF(COUNTIFS($B$7:$B$56,$B38,$C$7:$C$56,$C38,$E$7:$E$56,$E38,$I$7:$I$56,$I38,$N$7:$N$56,$N38,$M$7:$M$56,$M38)&gt;1,"CHECK","OK"))</x:f>
      </x:c>
      <x:c r="W38" s="88" t="str">
        <x:f>IF($C38="","",COUNTIF($C$7:$C38,$C38))</x:f>
      </x:c>
      <x:c r="X38" s="88" t="str">
        <x:f>IF($C38="","",$C38&amp;"-"&amp;$W38)</x:f>
      </x:c>
      <x:c r="Y38" s="87"/>
      <x:c r="Z38" s="91" t="str">
        <x:f>IF($I38="","",VLOOKUP($I38,Lookup!$A$2:$G$18,7,FALSE))</x:f>
      </x:c>
      <x:c r="AA38" s="91" t="str">
        <x:f>IF($C38="","",SUMIF($C$7:$C$56,$C38,$O$7:$O$56))</x:f>
      </x:c>
      <x:c r="AB38" s="90"/>
      <x:c r="AC38" s="91" t="str">
        <x:f>IF($C38="","",MAX(0,$AA38-$AB38))</x:f>
      </x:c>
      <x:c r="AD38" s="86"/>
      <x:c r="AE38" s="92" t="str">
        <x:f>IF(OR($C38="",$AC38&lt;=0,$AD38=""),"",MAX(0,TODAY()-$AD38))</x:f>
      </x:c>
      <x:c r="AF38" s="88" t="str">
        <x:f>IF($C38="","",IF($AC38&lt;=0,"Closed",IF($AD38="","Open",IF($AE38&gt;90,"Immediate action",IF($AE38&gt;60,"Urgent collection",IF($AE38&gt;30,"Follow up","Monitor"))))))</x:f>
      </x:c>
      <x:c r="AG38" s="86"/>
      <x:c r="AH38" s="86"/>
      <x:c r="AI38" s="86"/>
      <x:c r="AJ38" s="93" t="str">
        <x:f>IF(AND($P38="Paid",$AI38&lt;&gt;""),$AI38,"")</x:f>
      </x:c>
    </x:row>
    <x:row r="39">
      <x:c r="A39" s="86"/>
      <x:c r="B39" s="87"/>
      <x:c r="C39" s="87"/>
      <x:c r="D39" s="87"/>
      <x:c r="E39" s="87"/>
      <x:c r="F39" s="87"/>
      <x:c r="G39" s="87"/>
      <x:c r="H39" s="87"/>
      <x:c r="I39" s="87"/>
      <x:c r="J39" s="88" t="str">
        <x:f>IF($I39="","",VLOOKUP($I39,Lookup!$A$2:$G$18,2,FALSE))</x:f>
      </x:c>
      <x:c r="K39" s="88" t="str">
        <x:f>IF($I39="","",VLOOKUP($I39,Lookup!$A$2:$G$18,3,FALSE))</x:f>
      </x:c>
      <x:c r="L39" s="88" t="str">
        <x:f>IF($I39="","",VLOOKUP($I39,Lookup!$A$2:$G$18,4,FALSE))</x:f>
      </x:c>
      <x:c r="M39" s="89"/>
      <x:c r="N39" s="90"/>
      <x:c r="O39" s="91" t="str">
        <x:f>IF($C39="","",$M39*$N39)</x:f>
      </x:c>
      <x:c r="P39" s="87"/>
      <x:c r="Q39" s="87"/>
      <x:c r="R39" s="87"/>
      <x:c r="S39" s="91" t="str">
        <x:f>IF($I39="","",VLOOKUP($I39,Lookup!$A$2:$G$18,6,FALSE))</x:f>
      </x:c>
      <x:c r="T39" s="91" t="str">
        <x:f>IF($C39="","",$M39*$S39)</x:f>
      </x:c>
      <x:c r="U39" s="91" t="str">
        <x:f>IF($C39="","",$O39-$T39)</x:f>
      </x:c>
      <x:c r="V39" s="88" t="str">
        <x:f>IF($C39="","",IF(COUNTIFS($B$7:$B$56,$B39,$C$7:$C$56,$C39,$E$7:$E$56,$E39,$I$7:$I$56,$I39,$N$7:$N$56,$N39,$M$7:$M$56,$M39)&gt;1,"CHECK","OK"))</x:f>
      </x:c>
      <x:c r="W39" s="88" t="str">
        <x:f>IF($C39="","",COUNTIF($C$7:$C39,$C39))</x:f>
      </x:c>
      <x:c r="X39" s="88" t="str">
        <x:f>IF($C39="","",$C39&amp;"-"&amp;$W39)</x:f>
      </x:c>
      <x:c r="Y39" s="87"/>
      <x:c r="Z39" s="91" t="str">
        <x:f>IF($I39="","",VLOOKUP($I39,Lookup!$A$2:$G$18,7,FALSE))</x:f>
      </x:c>
      <x:c r="AA39" s="91" t="str">
        <x:f>IF($C39="","",SUMIF($C$7:$C$56,$C39,$O$7:$O$56))</x:f>
      </x:c>
      <x:c r="AB39" s="90"/>
      <x:c r="AC39" s="91" t="str">
        <x:f>IF($C39="","",MAX(0,$AA39-$AB39))</x:f>
      </x:c>
      <x:c r="AD39" s="86"/>
      <x:c r="AE39" s="92" t="str">
        <x:f>IF(OR($C39="",$AC39&lt;=0,$AD39=""),"",MAX(0,TODAY()-$AD39))</x:f>
      </x:c>
      <x:c r="AF39" s="88" t="str">
        <x:f>IF($C39="","",IF($AC39&lt;=0,"Closed",IF($AD39="","Open",IF($AE39&gt;90,"Immediate action",IF($AE39&gt;60,"Urgent collection",IF($AE39&gt;30,"Follow up","Monitor"))))))</x:f>
      </x:c>
      <x:c r="AG39" s="86"/>
      <x:c r="AH39" s="86"/>
      <x:c r="AI39" s="86"/>
      <x:c r="AJ39" s="93" t="str">
        <x:f>IF(AND($P39="Paid",$AI39&lt;&gt;""),$AI39,"")</x:f>
      </x:c>
    </x:row>
    <x:row r="40">
      <x:c r="A40" s="86"/>
      <x:c r="B40" s="87"/>
      <x:c r="C40" s="87"/>
      <x:c r="D40" s="87"/>
      <x:c r="E40" s="87"/>
      <x:c r="F40" s="87"/>
      <x:c r="G40" s="87"/>
      <x:c r="H40" s="87"/>
      <x:c r="I40" s="87"/>
      <x:c r="J40" s="88" t="str">
        <x:f>IF($I40="","",VLOOKUP($I40,Lookup!$A$2:$G$18,2,FALSE))</x:f>
      </x:c>
      <x:c r="K40" s="88" t="str">
        <x:f>IF($I40="","",VLOOKUP($I40,Lookup!$A$2:$G$18,3,FALSE))</x:f>
      </x:c>
      <x:c r="L40" s="88" t="str">
        <x:f>IF($I40="","",VLOOKUP($I40,Lookup!$A$2:$G$18,4,FALSE))</x:f>
      </x:c>
      <x:c r="M40" s="89"/>
      <x:c r="N40" s="90"/>
      <x:c r="O40" s="91" t="str">
        <x:f>IF($C40="","",$M40*$N40)</x:f>
      </x:c>
      <x:c r="P40" s="87"/>
      <x:c r="Q40" s="87"/>
      <x:c r="R40" s="87"/>
      <x:c r="S40" s="91" t="str">
        <x:f>IF($I40="","",VLOOKUP($I40,Lookup!$A$2:$G$18,6,FALSE))</x:f>
      </x:c>
      <x:c r="T40" s="91" t="str">
        <x:f>IF($C40="","",$M40*$S40)</x:f>
      </x:c>
      <x:c r="U40" s="91" t="str">
        <x:f>IF($C40="","",$O40-$T40)</x:f>
      </x:c>
      <x:c r="V40" s="88" t="str">
        <x:f>IF($C40="","",IF(COUNTIFS($B$7:$B$56,$B40,$C$7:$C$56,$C40,$E$7:$E$56,$E40,$I$7:$I$56,$I40,$N$7:$N$56,$N40,$M$7:$M$56,$M40)&gt;1,"CHECK","OK"))</x:f>
      </x:c>
      <x:c r="W40" s="88" t="str">
        <x:f>IF($C40="","",COUNTIF($C$7:$C40,$C40))</x:f>
      </x:c>
      <x:c r="X40" s="88" t="str">
        <x:f>IF($C40="","",$C40&amp;"-"&amp;$W40)</x:f>
      </x:c>
      <x:c r="Y40" s="87"/>
      <x:c r="Z40" s="91" t="str">
        <x:f>IF($I40="","",VLOOKUP($I40,Lookup!$A$2:$G$18,7,FALSE))</x:f>
      </x:c>
      <x:c r="AA40" s="91" t="str">
        <x:f>IF($C40="","",SUMIF($C$7:$C$56,$C40,$O$7:$O$56))</x:f>
      </x:c>
      <x:c r="AB40" s="90"/>
      <x:c r="AC40" s="91" t="str">
        <x:f>IF($C40="","",MAX(0,$AA40-$AB40))</x:f>
      </x:c>
      <x:c r="AD40" s="86"/>
      <x:c r="AE40" s="92" t="str">
        <x:f>IF(OR($C40="",$AC40&lt;=0,$AD40=""),"",MAX(0,TODAY()-$AD40))</x:f>
      </x:c>
      <x:c r="AF40" s="88" t="str">
        <x:f>IF($C40="","",IF($AC40&lt;=0,"Closed",IF($AD40="","Open",IF($AE40&gt;90,"Immediate action",IF($AE40&gt;60,"Urgent collection",IF($AE40&gt;30,"Follow up","Monitor"))))))</x:f>
      </x:c>
      <x:c r="AG40" s="86"/>
      <x:c r="AH40" s="86"/>
      <x:c r="AI40" s="86"/>
      <x:c r="AJ40" s="93" t="str">
        <x:f>IF(AND($P40="Paid",$AI40&lt;&gt;""),$AI40,"")</x:f>
      </x:c>
    </x:row>
    <x:row r="41">
      <x:c r="A41" s="86"/>
      <x:c r="B41" s="87"/>
      <x:c r="C41" s="87"/>
      <x:c r="D41" s="87"/>
      <x:c r="E41" s="87"/>
      <x:c r="F41" s="87"/>
      <x:c r="G41" s="87"/>
      <x:c r="H41" s="87"/>
      <x:c r="I41" s="87"/>
      <x:c r="J41" s="88" t="str">
        <x:f>IF($I41="","",VLOOKUP($I41,Lookup!$A$2:$G$18,2,FALSE))</x:f>
      </x:c>
      <x:c r="K41" s="88" t="str">
        <x:f>IF($I41="","",VLOOKUP($I41,Lookup!$A$2:$G$18,3,FALSE))</x:f>
      </x:c>
      <x:c r="L41" s="88" t="str">
        <x:f>IF($I41="","",VLOOKUP($I41,Lookup!$A$2:$G$18,4,FALSE))</x:f>
      </x:c>
      <x:c r="M41" s="89"/>
      <x:c r="N41" s="90"/>
      <x:c r="O41" s="91" t="str">
        <x:f>IF($C41="","",$M41*$N41)</x:f>
      </x:c>
      <x:c r="P41" s="87"/>
      <x:c r="Q41" s="87"/>
      <x:c r="R41" s="87"/>
      <x:c r="S41" s="91" t="str">
        <x:f>IF($I41="","",VLOOKUP($I41,Lookup!$A$2:$G$18,6,FALSE))</x:f>
      </x:c>
      <x:c r="T41" s="91" t="str">
        <x:f>IF($C41="","",$M41*$S41)</x:f>
      </x:c>
      <x:c r="U41" s="91" t="str">
        <x:f>IF($C41="","",$O41-$T41)</x:f>
      </x:c>
      <x:c r="V41" s="88" t="str">
        <x:f>IF($C41="","",IF(COUNTIFS($B$7:$B$56,$B41,$C$7:$C$56,$C41,$E$7:$E$56,$E41,$I$7:$I$56,$I41,$N$7:$N$56,$N41,$M$7:$M$56,$M41)&gt;1,"CHECK","OK"))</x:f>
      </x:c>
      <x:c r="W41" s="88" t="str">
        <x:f>IF($C41="","",COUNTIF($C$7:$C41,$C41))</x:f>
      </x:c>
      <x:c r="X41" s="88" t="str">
        <x:f>IF($C41="","",$C41&amp;"-"&amp;$W41)</x:f>
      </x:c>
      <x:c r="Y41" s="87"/>
      <x:c r="Z41" s="91" t="str">
        <x:f>IF($I41="","",VLOOKUP($I41,Lookup!$A$2:$G$18,7,FALSE))</x:f>
      </x:c>
      <x:c r="AA41" s="91" t="str">
        <x:f>IF($C41="","",SUMIF($C$7:$C$56,$C41,$O$7:$O$56))</x:f>
      </x:c>
      <x:c r="AB41" s="90"/>
      <x:c r="AC41" s="91" t="str">
        <x:f>IF($C41="","",MAX(0,$AA41-$AB41))</x:f>
      </x:c>
      <x:c r="AD41" s="86"/>
      <x:c r="AE41" s="92" t="str">
        <x:f>IF(OR($C41="",$AC41&lt;=0,$AD41=""),"",MAX(0,TODAY()-$AD41))</x:f>
      </x:c>
      <x:c r="AF41" s="88" t="str">
        <x:f>IF($C41="","",IF($AC41&lt;=0,"Closed",IF($AD41="","Open",IF($AE41&gt;90,"Immediate action",IF($AE41&gt;60,"Urgent collection",IF($AE41&gt;30,"Follow up","Monitor"))))))</x:f>
      </x:c>
      <x:c r="AG41" s="86"/>
      <x:c r="AH41" s="86"/>
      <x:c r="AI41" s="86"/>
      <x:c r="AJ41" s="93" t="str">
        <x:f>IF(AND($P41="Paid",$AI41&lt;&gt;""),$AI41,"")</x:f>
      </x:c>
    </x:row>
    <x:row r="42">
      <x:c r="A42" s="86"/>
      <x:c r="B42" s="87"/>
      <x:c r="C42" s="87"/>
      <x:c r="D42" s="87"/>
      <x:c r="E42" s="87"/>
      <x:c r="F42" s="87"/>
      <x:c r="G42" s="87"/>
      <x:c r="H42" s="87"/>
      <x:c r="I42" s="87"/>
      <x:c r="J42" s="88" t="str">
        <x:f>IF($I42="","",VLOOKUP($I42,Lookup!$A$2:$G$18,2,FALSE))</x:f>
      </x:c>
      <x:c r="K42" s="88" t="str">
        <x:f>IF($I42="","",VLOOKUP($I42,Lookup!$A$2:$G$18,3,FALSE))</x:f>
      </x:c>
      <x:c r="L42" s="88" t="str">
        <x:f>IF($I42="","",VLOOKUP($I42,Lookup!$A$2:$G$18,4,FALSE))</x:f>
      </x:c>
      <x:c r="M42" s="89"/>
      <x:c r="N42" s="90"/>
      <x:c r="O42" s="91" t="str">
        <x:f>IF($C42="","",$M42*$N42)</x:f>
      </x:c>
      <x:c r="P42" s="87"/>
      <x:c r="Q42" s="87"/>
      <x:c r="R42" s="87"/>
      <x:c r="S42" s="91" t="str">
        <x:f>IF($I42="","",VLOOKUP($I42,Lookup!$A$2:$G$18,6,FALSE))</x:f>
      </x:c>
      <x:c r="T42" s="91" t="str">
        <x:f>IF($C42="","",$M42*$S42)</x:f>
      </x:c>
      <x:c r="U42" s="91" t="str">
        <x:f>IF($C42="","",$O42-$T42)</x:f>
      </x:c>
      <x:c r="V42" s="88" t="str">
        <x:f>IF($C42="","",IF(COUNTIFS($B$7:$B$56,$B42,$C$7:$C$56,$C42,$E$7:$E$56,$E42,$I$7:$I$56,$I42,$N$7:$N$56,$N42,$M$7:$M$56,$M42)&gt;1,"CHECK","OK"))</x:f>
      </x:c>
      <x:c r="W42" s="88" t="str">
        <x:f>IF($C42="","",COUNTIF($C$7:$C42,$C42))</x:f>
      </x:c>
      <x:c r="X42" s="88" t="str">
        <x:f>IF($C42="","",$C42&amp;"-"&amp;$W42)</x:f>
      </x:c>
      <x:c r="Y42" s="87"/>
      <x:c r="Z42" s="91" t="str">
        <x:f>IF($I42="","",VLOOKUP($I42,Lookup!$A$2:$G$18,7,FALSE))</x:f>
      </x:c>
      <x:c r="AA42" s="91" t="str">
        <x:f>IF($C42="","",SUMIF($C$7:$C$56,$C42,$O$7:$O$56))</x:f>
      </x:c>
      <x:c r="AB42" s="90"/>
      <x:c r="AC42" s="91" t="str">
        <x:f>IF($C42="","",MAX(0,$AA42-$AB42))</x:f>
      </x:c>
      <x:c r="AD42" s="86"/>
      <x:c r="AE42" s="92" t="str">
        <x:f>IF(OR($C42="",$AC42&lt;=0,$AD42=""),"",MAX(0,TODAY()-$AD42))</x:f>
      </x:c>
      <x:c r="AF42" s="88" t="str">
        <x:f>IF($C42="","",IF($AC42&lt;=0,"Closed",IF($AD42="","Open",IF($AE42&gt;90,"Immediate action",IF($AE42&gt;60,"Urgent collection",IF($AE42&gt;30,"Follow up","Monitor"))))))</x:f>
      </x:c>
      <x:c r="AG42" s="86"/>
      <x:c r="AH42" s="86"/>
      <x:c r="AI42" s="86"/>
      <x:c r="AJ42" s="93" t="str">
        <x:f>IF(AND($P42="Paid",$AI42&lt;&gt;""),$AI42,"")</x:f>
      </x:c>
    </x:row>
    <x:row r="43">
      <x:c r="A43" s="86"/>
      <x:c r="B43" s="87"/>
      <x:c r="C43" s="87"/>
      <x:c r="D43" s="87"/>
      <x:c r="E43" s="87"/>
      <x:c r="F43" s="87"/>
      <x:c r="G43" s="87"/>
      <x:c r="H43" s="87"/>
      <x:c r="I43" s="87"/>
      <x:c r="J43" s="88" t="str">
        <x:f>IF($I43="","",VLOOKUP($I43,Lookup!$A$2:$G$18,2,FALSE))</x:f>
      </x:c>
      <x:c r="K43" s="88" t="str">
        <x:f>IF($I43="","",VLOOKUP($I43,Lookup!$A$2:$G$18,3,FALSE))</x:f>
      </x:c>
      <x:c r="L43" s="88" t="str">
        <x:f>IF($I43="","",VLOOKUP($I43,Lookup!$A$2:$G$18,4,FALSE))</x:f>
      </x:c>
      <x:c r="M43" s="89"/>
      <x:c r="N43" s="90"/>
      <x:c r="O43" s="91" t="str">
        <x:f>IF($C43="","",$M43*$N43)</x:f>
      </x:c>
      <x:c r="P43" s="87"/>
      <x:c r="Q43" s="87"/>
      <x:c r="R43" s="87"/>
      <x:c r="S43" s="91" t="str">
        <x:f>IF($I43="","",VLOOKUP($I43,Lookup!$A$2:$G$18,6,FALSE))</x:f>
      </x:c>
      <x:c r="T43" s="91" t="str">
        <x:f>IF($C43="","",$M43*$S43)</x:f>
      </x:c>
      <x:c r="U43" s="91" t="str">
        <x:f>IF($C43="","",$O43-$T43)</x:f>
      </x:c>
      <x:c r="V43" s="88" t="str">
        <x:f>IF($C43="","",IF(COUNTIFS($B$7:$B$56,$B43,$C$7:$C$56,$C43,$E$7:$E$56,$E43,$I$7:$I$56,$I43,$N$7:$N$56,$N43,$M$7:$M$56,$M43)&gt;1,"CHECK","OK"))</x:f>
      </x:c>
      <x:c r="W43" s="88" t="str">
        <x:f>IF($C43="","",COUNTIF($C$7:$C43,$C43))</x:f>
      </x:c>
      <x:c r="X43" s="88" t="str">
        <x:f>IF($C43="","",$C43&amp;"-"&amp;$W43)</x:f>
      </x:c>
      <x:c r="Y43" s="87"/>
      <x:c r="Z43" s="91" t="str">
        <x:f>IF($I43="","",VLOOKUP($I43,Lookup!$A$2:$G$18,7,FALSE))</x:f>
      </x:c>
      <x:c r="AA43" s="91" t="str">
        <x:f>IF($C43="","",SUMIF($C$7:$C$56,$C43,$O$7:$O$56))</x:f>
      </x:c>
      <x:c r="AB43" s="90"/>
      <x:c r="AC43" s="91" t="str">
        <x:f>IF($C43="","",MAX(0,$AA43-$AB43))</x:f>
      </x:c>
      <x:c r="AD43" s="86"/>
      <x:c r="AE43" s="92" t="str">
        <x:f>IF(OR($C43="",$AC43&lt;=0,$AD43=""),"",MAX(0,TODAY()-$AD43))</x:f>
      </x:c>
      <x:c r="AF43" s="88" t="str">
        <x:f>IF($C43="","",IF($AC43&lt;=0,"Closed",IF($AD43="","Open",IF($AE43&gt;90,"Immediate action",IF($AE43&gt;60,"Urgent collection",IF($AE43&gt;30,"Follow up","Monitor"))))))</x:f>
      </x:c>
      <x:c r="AG43" s="86"/>
      <x:c r="AH43" s="86"/>
      <x:c r="AI43" s="86"/>
      <x:c r="AJ43" s="93" t="str">
        <x:f>IF(AND($P43="Paid",$AI43&lt;&gt;""),$AI43,"")</x:f>
      </x:c>
    </x:row>
    <x:row r="44">
      <x:c r="A44" s="86"/>
      <x:c r="B44" s="87"/>
      <x:c r="C44" s="87"/>
      <x:c r="D44" s="87"/>
      <x:c r="E44" s="87"/>
      <x:c r="F44" s="87"/>
      <x:c r="G44" s="87"/>
      <x:c r="H44" s="87"/>
      <x:c r="I44" s="87"/>
      <x:c r="J44" s="88" t="str">
        <x:f>IF($I44="","",VLOOKUP($I44,Lookup!$A$2:$G$18,2,FALSE))</x:f>
      </x:c>
      <x:c r="K44" s="88" t="str">
        <x:f>IF($I44="","",VLOOKUP($I44,Lookup!$A$2:$G$18,3,FALSE))</x:f>
      </x:c>
      <x:c r="L44" s="88" t="str">
        <x:f>IF($I44="","",VLOOKUP($I44,Lookup!$A$2:$G$18,4,FALSE))</x:f>
      </x:c>
      <x:c r="M44" s="89"/>
      <x:c r="N44" s="90"/>
      <x:c r="O44" s="91" t="str">
        <x:f>IF($C44="","",$M44*$N44)</x:f>
      </x:c>
      <x:c r="P44" s="87"/>
      <x:c r="Q44" s="87"/>
      <x:c r="R44" s="87"/>
      <x:c r="S44" s="91" t="str">
        <x:f>IF($I44="","",VLOOKUP($I44,Lookup!$A$2:$G$18,6,FALSE))</x:f>
      </x:c>
      <x:c r="T44" s="91" t="str">
        <x:f>IF($C44="","",$M44*$S44)</x:f>
      </x:c>
      <x:c r="U44" s="91" t="str">
        <x:f>IF($C44="","",$O44-$T44)</x:f>
      </x:c>
      <x:c r="V44" s="88" t="str">
        <x:f>IF($C44="","",IF(COUNTIFS($B$7:$B$56,$B44,$C$7:$C$56,$C44,$E$7:$E$56,$E44,$I$7:$I$56,$I44,$N$7:$N$56,$N44,$M$7:$M$56,$M44)&gt;1,"CHECK","OK"))</x:f>
      </x:c>
      <x:c r="W44" s="88" t="str">
        <x:f>IF($C44="","",COUNTIF($C$7:$C44,$C44))</x:f>
      </x:c>
      <x:c r="X44" s="88" t="str">
        <x:f>IF($C44="","",$C44&amp;"-"&amp;$W44)</x:f>
      </x:c>
      <x:c r="Y44" s="87"/>
      <x:c r="Z44" s="91" t="str">
        <x:f>IF($I44="","",VLOOKUP($I44,Lookup!$A$2:$G$18,7,FALSE))</x:f>
      </x:c>
      <x:c r="AA44" s="91" t="str">
        <x:f>IF($C44="","",SUMIF($C$7:$C$56,$C44,$O$7:$O$56))</x:f>
      </x:c>
      <x:c r="AB44" s="90"/>
      <x:c r="AC44" s="91" t="str">
        <x:f>IF($C44="","",MAX(0,$AA44-$AB44))</x:f>
      </x:c>
      <x:c r="AD44" s="86"/>
      <x:c r="AE44" s="92" t="str">
        <x:f>IF(OR($C44="",$AC44&lt;=0,$AD44=""),"",MAX(0,TODAY()-$AD44))</x:f>
      </x:c>
      <x:c r="AF44" s="88" t="str">
        <x:f>IF($C44="","",IF($AC44&lt;=0,"Closed",IF($AD44="","Open",IF($AE44&gt;90,"Immediate action",IF($AE44&gt;60,"Urgent collection",IF($AE44&gt;30,"Follow up","Monitor"))))))</x:f>
      </x:c>
      <x:c r="AG44" s="86"/>
      <x:c r="AH44" s="86"/>
      <x:c r="AI44" s="86"/>
      <x:c r="AJ44" s="93" t="str">
        <x:f>IF(AND($P44="Paid",$AI44&lt;&gt;""),$AI44,"")</x:f>
      </x:c>
    </x:row>
    <x:row r="45">
      <x:c r="A45" s="86"/>
      <x:c r="B45" s="87"/>
      <x:c r="C45" s="87"/>
      <x:c r="D45" s="87"/>
      <x:c r="E45" s="87"/>
      <x:c r="F45" s="87"/>
      <x:c r="G45" s="87"/>
      <x:c r="H45" s="87"/>
      <x:c r="I45" s="87"/>
      <x:c r="J45" s="88" t="str">
        <x:f>IF($I45="","",VLOOKUP($I45,Lookup!$A$2:$G$18,2,FALSE))</x:f>
      </x:c>
      <x:c r="K45" s="88" t="str">
        <x:f>IF($I45="","",VLOOKUP($I45,Lookup!$A$2:$G$18,3,FALSE))</x:f>
      </x:c>
      <x:c r="L45" s="88" t="str">
        <x:f>IF($I45="","",VLOOKUP($I45,Lookup!$A$2:$G$18,4,FALSE))</x:f>
      </x:c>
      <x:c r="M45" s="89"/>
      <x:c r="N45" s="90"/>
      <x:c r="O45" s="91" t="str">
        <x:f>IF($C45="","",$M45*$N45)</x:f>
      </x:c>
      <x:c r="P45" s="87"/>
      <x:c r="Q45" s="87"/>
      <x:c r="R45" s="87"/>
      <x:c r="S45" s="91" t="str">
        <x:f>IF($I45="","",VLOOKUP($I45,Lookup!$A$2:$G$18,6,FALSE))</x:f>
      </x:c>
      <x:c r="T45" s="91" t="str">
        <x:f>IF($C45="","",$M45*$S45)</x:f>
      </x:c>
      <x:c r="U45" s="91" t="str">
        <x:f>IF($C45="","",$O45-$T45)</x:f>
      </x:c>
      <x:c r="V45" s="88" t="str">
        <x:f>IF($C45="","",IF(COUNTIFS($B$7:$B$56,$B45,$C$7:$C$56,$C45,$E$7:$E$56,$E45,$I$7:$I$56,$I45,$N$7:$N$56,$N45,$M$7:$M$56,$M45)&gt;1,"CHECK","OK"))</x:f>
      </x:c>
      <x:c r="W45" s="88" t="str">
        <x:f>IF($C45="","",COUNTIF($C$7:$C45,$C45))</x:f>
      </x:c>
      <x:c r="X45" s="88" t="str">
        <x:f>IF($C45="","",$C45&amp;"-"&amp;$W45)</x:f>
      </x:c>
      <x:c r="Y45" s="87"/>
      <x:c r="Z45" s="91" t="str">
        <x:f>IF($I45="","",VLOOKUP($I45,Lookup!$A$2:$G$18,7,FALSE))</x:f>
      </x:c>
      <x:c r="AA45" s="91" t="str">
        <x:f>IF($C45="","",SUMIF($C$7:$C$56,$C45,$O$7:$O$56))</x:f>
      </x:c>
      <x:c r="AB45" s="90"/>
      <x:c r="AC45" s="91" t="str">
        <x:f>IF($C45="","",MAX(0,$AA45-$AB45))</x:f>
      </x:c>
      <x:c r="AD45" s="86"/>
      <x:c r="AE45" s="92" t="str">
        <x:f>IF(OR($C45="",$AC45&lt;=0,$AD45=""),"",MAX(0,TODAY()-$AD45))</x:f>
      </x:c>
      <x:c r="AF45" s="88" t="str">
        <x:f>IF($C45="","",IF($AC45&lt;=0,"Closed",IF($AD45="","Open",IF($AE45&gt;90,"Immediate action",IF($AE45&gt;60,"Urgent collection",IF($AE45&gt;30,"Follow up","Monitor"))))))</x:f>
      </x:c>
      <x:c r="AG45" s="86"/>
      <x:c r="AH45" s="86"/>
      <x:c r="AI45" s="86"/>
      <x:c r="AJ45" s="93" t="str">
        <x:f>IF(AND($P45="Paid",$AI45&lt;&gt;""),$AI45,"")</x:f>
      </x:c>
    </x:row>
    <x:row r="46">
      <x:c r="A46" s="86"/>
      <x:c r="B46" s="87"/>
      <x:c r="C46" s="87"/>
      <x:c r="D46" s="87"/>
      <x:c r="E46" s="87"/>
      <x:c r="F46" s="87"/>
      <x:c r="G46" s="87"/>
      <x:c r="H46" s="87"/>
      <x:c r="I46" s="87"/>
      <x:c r="J46" s="88" t="str">
        <x:f>IF($I46="","",VLOOKUP($I46,Lookup!$A$2:$G$18,2,FALSE))</x:f>
      </x:c>
      <x:c r="K46" s="88" t="str">
        <x:f>IF($I46="","",VLOOKUP($I46,Lookup!$A$2:$G$18,3,FALSE))</x:f>
      </x:c>
      <x:c r="L46" s="88" t="str">
        <x:f>IF($I46="","",VLOOKUP($I46,Lookup!$A$2:$G$18,4,FALSE))</x:f>
      </x:c>
      <x:c r="M46" s="89"/>
      <x:c r="N46" s="90"/>
      <x:c r="O46" s="91" t="str">
        <x:f>IF($C46="","",$M46*$N46)</x:f>
      </x:c>
      <x:c r="P46" s="87"/>
      <x:c r="Q46" s="87"/>
      <x:c r="R46" s="87"/>
      <x:c r="S46" s="91" t="str">
        <x:f>IF($I46="","",VLOOKUP($I46,Lookup!$A$2:$G$18,6,FALSE))</x:f>
      </x:c>
      <x:c r="T46" s="91" t="str">
        <x:f>IF($C46="","",$M46*$S46)</x:f>
      </x:c>
      <x:c r="U46" s="91" t="str">
        <x:f>IF($C46="","",$O46-$T46)</x:f>
      </x:c>
      <x:c r="V46" s="88" t="str">
        <x:f>IF($C46="","",IF(COUNTIFS($B$7:$B$56,$B46,$C$7:$C$56,$C46,$E$7:$E$56,$E46,$I$7:$I$56,$I46,$N$7:$N$56,$N46,$M$7:$M$56,$M46)&gt;1,"CHECK","OK"))</x:f>
      </x:c>
      <x:c r="W46" s="88" t="str">
        <x:f>IF($C46="","",COUNTIF($C$7:$C46,$C46))</x:f>
      </x:c>
      <x:c r="X46" s="88" t="str">
        <x:f>IF($C46="","",$C46&amp;"-"&amp;$W46)</x:f>
      </x:c>
      <x:c r="Y46" s="87"/>
      <x:c r="Z46" s="91" t="str">
        <x:f>IF($I46="","",VLOOKUP($I46,Lookup!$A$2:$G$18,7,FALSE))</x:f>
      </x:c>
      <x:c r="AA46" s="91" t="str">
        <x:f>IF($C46="","",SUMIF($C$7:$C$56,$C46,$O$7:$O$56))</x:f>
      </x:c>
      <x:c r="AB46" s="90"/>
      <x:c r="AC46" s="91" t="str">
        <x:f>IF($C46="","",MAX(0,$AA46-$AB46))</x:f>
      </x:c>
      <x:c r="AD46" s="86"/>
      <x:c r="AE46" s="92" t="str">
        <x:f>IF(OR($C46="",$AC46&lt;=0,$AD46=""),"",MAX(0,TODAY()-$AD46))</x:f>
      </x:c>
      <x:c r="AF46" s="88" t="str">
        <x:f>IF($C46="","",IF($AC46&lt;=0,"Closed",IF($AD46="","Open",IF($AE46&gt;90,"Immediate action",IF($AE46&gt;60,"Urgent collection",IF($AE46&gt;30,"Follow up","Monitor"))))))</x:f>
      </x:c>
      <x:c r="AG46" s="86"/>
      <x:c r="AH46" s="86"/>
      <x:c r="AI46" s="86"/>
      <x:c r="AJ46" s="93" t="str">
        <x:f>IF(AND($P46="Paid",$AI46&lt;&gt;""),$AI46,"")</x:f>
      </x:c>
    </x:row>
    <x:row r="47">
      <x:c r="A47" s="86"/>
      <x:c r="B47" s="87"/>
      <x:c r="C47" s="87"/>
      <x:c r="D47" s="87"/>
      <x:c r="E47" s="87"/>
      <x:c r="F47" s="87"/>
      <x:c r="G47" s="87"/>
      <x:c r="H47" s="87"/>
      <x:c r="I47" s="87"/>
      <x:c r="J47" s="88" t="str">
        <x:f>IF($I47="","",VLOOKUP($I47,Lookup!$A$2:$G$18,2,FALSE))</x:f>
      </x:c>
      <x:c r="K47" s="88" t="str">
        <x:f>IF($I47="","",VLOOKUP($I47,Lookup!$A$2:$G$18,3,FALSE))</x:f>
      </x:c>
      <x:c r="L47" s="88" t="str">
        <x:f>IF($I47="","",VLOOKUP($I47,Lookup!$A$2:$G$18,4,FALSE))</x:f>
      </x:c>
      <x:c r="M47" s="89"/>
      <x:c r="N47" s="90"/>
      <x:c r="O47" s="91" t="str">
        <x:f>IF($C47="","",$M47*$N47)</x:f>
      </x:c>
      <x:c r="P47" s="87"/>
      <x:c r="Q47" s="87"/>
      <x:c r="R47" s="87"/>
      <x:c r="S47" s="91" t="str">
        <x:f>IF($I47="","",VLOOKUP($I47,Lookup!$A$2:$G$18,6,FALSE))</x:f>
      </x:c>
      <x:c r="T47" s="91" t="str">
        <x:f>IF($C47="","",$M47*$S47)</x:f>
      </x:c>
      <x:c r="U47" s="91" t="str">
        <x:f>IF($C47="","",$O47-$T47)</x:f>
      </x:c>
      <x:c r="V47" s="88" t="str">
        <x:f>IF($C47="","",IF(COUNTIFS($B$7:$B$56,$B47,$C$7:$C$56,$C47,$E$7:$E$56,$E47,$I$7:$I$56,$I47,$N$7:$N$56,$N47,$M$7:$M$56,$M47)&gt;1,"CHECK","OK"))</x:f>
      </x:c>
      <x:c r="W47" s="88" t="str">
        <x:f>IF($C47="","",COUNTIF($C$7:$C47,$C47))</x:f>
      </x:c>
      <x:c r="X47" s="88" t="str">
        <x:f>IF($C47="","",$C47&amp;"-"&amp;$W47)</x:f>
      </x:c>
      <x:c r="Y47" s="87"/>
      <x:c r="Z47" s="91" t="str">
        <x:f>IF($I47="","",VLOOKUP($I47,Lookup!$A$2:$G$18,7,FALSE))</x:f>
      </x:c>
      <x:c r="AA47" s="91" t="str">
        <x:f>IF($C47="","",SUMIF($C$7:$C$56,$C47,$O$7:$O$56))</x:f>
      </x:c>
      <x:c r="AB47" s="90"/>
      <x:c r="AC47" s="91" t="str">
        <x:f>IF($C47="","",MAX(0,$AA47-$AB47))</x:f>
      </x:c>
      <x:c r="AD47" s="86"/>
      <x:c r="AE47" s="92" t="str">
        <x:f>IF(OR($C47="",$AC47&lt;=0,$AD47=""),"",MAX(0,TODAY()-$AD47))</x:f>
      </x:c>
      <x:c r="AF47" s="88" t="str">
        <x:f>IF($C47="","",IF($AC47&lt;=0,"Closed",IF($AD47="","Open",IF($AE47&gt;90,"Immediate action",IF($AE47&gt;60,"Urgent collection",IF($AE47&gt;30,"Follow up","Monitor"))))))</x:f>
      </x:c>
      <x:c r="AG47" s="86"/>
      <x:c r="AH47" s="86"/>
      <x:c r="AI47" s="86"/>
      <x:c r="AJ47" s="93" t="str">
        <x:f>IF(AND($P47="Paid",$AI47&lt;&gt;""),$AI47,"")</x:f>
      </x:c>
    </x:row>
    <x:row r="48">
      <x:c r="A48" s="86"/>
      <x:c r="B48" s="87"/>
      <x:c r="C48" s="87"/>
      <x:c r="D48" s="87"/>
      <x:c r="E48" s="87"/>
      <x:c r="F48" s="87"/>
      <x:c r="G48" s="87"/>
      <x:c r="H48" s="87"/>
      <x:c r="I48" s="87"/>
      <x:c r="J48" s="88" t="str">
        <x:f>IF($I48="","",VLOOKUP($I48,Lookup!$A$2:$G$18,2,FALSE))</x:f>
      </x:c>
      <x:c r="K48" s="88" t="str">
        <x:f>IF($I48="","",VLOOKUP($I48,Lookup!$A$2:$G$18,3,FALSE))</x:f>
      </x:c>
      <x:c r="L48" s="88" t="str">
        <x:f>IF($I48="","",VLOOKUP($I48,Lookup!$A$2:$G$18,4,FALSE))</x:f>
      </x:c>
      <x:c r="M48" s="89"/>
      <x:c r="N48" s="90"/>
      <x:c r="O48" s="91" t="str">
        <x:f>IF($C48="","",$M48*$N48)</x:f>
      </x:c>
      <x:c r="P48" s="87"/>
      <x:c r="Q48" s="87"/>
      <x:c r="R48" s="87"/>
      <x:c r="S48" s="91" t="str">
        <x:f>IF($I48="","",VLOOKUP($I48,Lookup!$A$2:$G$18,6,FALSE))</x:f>
      </x:c>
      <x:c r="T48" s="91" t="str">
        <x:f>IF($C48="","",$M48*$S48)</x:f>
      </x:c>
      <x:c r="U48" s="91" t="str">
        <x:f>IF($C48="","",$O48-$T48)</x:f>
      </x:c>
      <x:c r="V48" s="88" t="str">
        <x:f>IF($C48="","",IF(COUNTIFS($B$7:$B$56,$B48,$C$7:$C$56,$C48,$E$7:$E$56,$E48,$I$7:$I$56,$I48,$N$7:$N$56,$N48,$M$7:$M$56,$M48)&gt;1,"CHECK","OK"))</x:f>
      </x:c>
      <x:c r="W48" s="88" t="str">
        <x:f>IF($C48="","",COUNTIF($C$7:$C48,$C48))</x:f>
      </x:c>
      <x:c r="X48" s="88" t="str">
        <x:f>IF($C48="","",$C48&amp;"-"&amp;$W48)</x:f>
      </x:c>
      <x:c r="Y48" s="87"/>
      <x:c r="Z48" s="91" t="str">
        <x:f>IF($I48="","",VLOOKUP($I48,Lookup!$A$2:$G$18,7,FALSE))</x:f>
      </x:c>
      <x:c r="AA48" s="91" t="str">
        <x:f>IF($C48="","",SUMIF($C$7:$C$56,$C48,$O$7:$O$56))</x:f>
      </x:c>
      <x:c r="AB48" s="90"/>
      <x:c r="AC48" s="91" t="str">
        <x:f>IF($C48="","",MAX(0,$AA48-$AB48))</x:f>
      </x:c>
      <x:c r="AD48" s="86"/>
      <x:c r="AE48" s="92" t="str">
        <x:f>IF(OR($C48="",$AC48&lt;=0,$AD48=""),"",MAX(0,TODAY()-$AD48))</x:f>
      </x:c>
      <x:c r="AF48" s="88" t="str">
        <x:f>IF($C48="","",IF($AC48&lt;=0,"Closed",IF($AD48="","Open",IF($AE48&gt;90,"Immediate action",IF($AE48&gt;60,"Urgent collection",IF($AE48&gt;30,"Follow up","Monitor"))))))</x:f>
      </x:c>
      <x:c r="AG48" s="86"/>
      <x:c r="AH48" s="86"/>
      <x:c r="AI48" s="86"/>
      <x:c r="AJ48" s="93" t="str">
        <x:f>IF(AND($P48="Paid",$AI48&lt;&gt;""),$AI48,"")</x:f>
      </x:c>
    </x:row>
    <x:row r="49">
      <x:c r="A49" s="86"/>
      <x:c r="B49" s="87"/>
      <x:c r="C49" s="87"/>
      <x:c r="D49" s="87"/>
      <x:c r="E49" s="87"/>
      <x:c r="F49" s="87"/>
      <x:c r="G49" s="87"/>
      <x:c r="H49" s="87"/>
      <x:c r="I49" s="87"/>
      <x:c r="J49" s="88" t="str">
        <x:f>IF($I49="","",VLOOKUP($I49,Lookup!$A$2:$G$18,2,FALSE))</x:f>
      </x:c>
      <x:c r="K49" s="88" t="str">
        <x:f>IF($I49="","",VLOOKUP($I49,Lookup!$A$2:$G$18,3,FALSE))</x:f>
      </x:c>
      <x:c r="L49" s="88" t="str">
        <x:f>IF($I49="","",VLOOKUP($I49,Lookup!$A$2:$G$18,4,FALSE))</x:f>
      </x:c>
      <x:c r="M49" s="89"/>
      <x:c r="N49" s="90"/>
      <x:c r="O49" s="91" t="str">
        <x:f>IF($C49="","",$M49*$N49)</x:f>
      </x:c>
      <x:c r="P49" s="87"/>
      <x:c r="Q49" s="87"/>
      <x:c r="R49" s="87"/>
      <x:c r="S49" s="91" t="str">
        <x:f>IF($I49="","",VLOOKUP($I49,Lookup!$A$2:$G$18,6,FALSE))</x:f>
      </x:c>
      <x:c r="T49" s="91" t="str">
        <x:f>IF($C49="","",$M49*$S49)</x:f>
      </x:c>
      <x:c r="U49" s="91" t="str">
        <x:f>IF($C49="","",$O49-$T49)</x:f>
      </x:c>
      <x:c r="V49" s="88" t="str">
        <x:f>IF($C49="","",IF(COUNTIFS($B$7:$B$56,$B49,$C$7:$C$56,$C49,$E$7:$E$56,$E49,$I$7:$I$56,$I49,$N$7:$N$56,$N49,$M$7:$M$56,$M49)&gt;1,"CHECK","OK"))</x:f>
      </x:c>
      <x:c r="W49" s="88" t="str">
        <x:f>IF($C49="","",COUNTIF($C$7:$C49,$C49))</x:f>
      </x:c>
      <x:c r="X49" s="88" t="str">
        <x:f>IF($C49="","",$C49&amp;"-"&amp;$W49)</x:f>
      </x:c>
      <x:c r="Y49" s="87"/>
      <x:c r="Z49" s="91" t="str">
        <x:f>IF($I49="","",VLOOKUP($I49,Lookup!$A$2:$G$18,7,FALSE))</x:f>
      </x:c>
      <x:c r="AA49" s="91" t="str">
        <x:f>IF($C49="","",SUMIF($C$7:$C$56,$C49,$O$7:$O$56))</x:f>
      </x:c>
      <x:c r="AB49" s="90"/>
      <x:c r="AC49" s="91" t="str">
        <x:f>IF($C49="","",MAX(0,$AA49-$AB49))</x:f>
      </x:c>
      <x:c r="AD49" s="86"/>
      <x:c r="AE49" s="92" t="str">
        <x:f>IF(OR($C49="",$AC49&lt;=0,$AD49=""),"",MAX(0,TODAY()-$AD49))</x:f>
      </x:c>
      <x:c r="AF49" s="88" t="str">
        <x:f>IF($C49="","",IF($AC49&lt;=0,"Closed",IF($AD49="","Open",IF($AE49&gt;90,"Immediate action",IF($AE49&gt;60,"Urgent collection",IF($AE49&gt;30,"Follow up","Monitor"))))))</x:f>
      </x:c>
      <x:c r="AG49" s="86"/>
      <x:c r="AH49" s="86"/>
      <x:c r="AI49" s="86"/>
      <x:c r="AJ49" s="93" t="str">
        <x:f>IF(AND($P49="Paid",$AI49&lt;&gt;""),$AI49,"")</x:f>
      </x:c>
    </x:row>
    <x:row r="50">
      <x:c r="A50" s="86"/>
      <x:c r="B50" s="87"/>
      <x:c r="C50" s="87"/>
      <x:c r="D50" s="87"/>
      <x:c r="E50" s="87"/>
      <x:c r="F50" s="87"/>
      <x:c r="G50" s="87"/>
      <x:c r="H50" s="87"/>
      <x:c r="I50" s="87"/>
      <x:c r="J50" s="88" t="str">
        <x:f>IF($I50="","",VLOOKUP($I50,Lookup!$A$2:$G$18,2,FALSE))</x:f>
      </x:c>
      <x:c r="K50" s="88" t="str">
        <x:f>IF($I50="","",VLOOKUP($I50,Lookup!$A$2:$G$18,3,FALSE))</x:f>
      </x:c>
      <x:c r="L50" s="88" t="str">
        <x:f>IF($I50="","",VLOOKUP($I50,Lookup!$A$2:$G$18,4,FALSE))</x:f>
      </x:c>
      <x:c r="M50" s="89"/>
      <x:c r="N50" s="90"/>
      <x:c r="O50" s="91" t="str">
        <x:f>IF($C50="","",$M50*$N50)</x:f>
      </x:c>
      <x:c r="P50" s="87"/>
      <x:c r="Q50" s="87"/>
      <x:c r="R50" s="87"/>
      <x:c r="S50" s="91" t="str">
        <x:f>IF($I50="","",VLOOKUP($I50,Lookup!$A$2:$G$18,6,FALSE))</x:f>
      </x:c>
      <x:c r="T50" s="91" t="str">
        <x:f>IF($C50="","",$M50*$S50)</x:f>
      </x:c>
      <x:c r="U50" s="91" t="str">
        <x:f>IF($C50="","",$O50-$T50)</x:f>
      </x:c>
      <x:c r="V50" s="88" t="str">
        <x:f>IF($C50="","",IF(COUNTIFS($B$7:$B$56,$B50,$C$7:$C$56,$C50,$E$7:$E$56,$E50,$I$7:$I$56,$I50,$N$7:$N$56,$N50,$M$7:$M$56,$M50)&gt;1,"CHECK","OK"))</x:f>
      </x:c>
      <x:c r="W50" s="88" t="str">
        <x:f>IF($C50="","",COUNTIF($C$7:$C50,$C50))</x:f>
      </x:c>
      <x:c r="X50" s="88" t="str">
        <x:f>IF($C50="","",$C50&amp;"-"&amp;$W50)</x:f>
      </x:c>
      <x:c r="Y50" s="87"/>
      <x:c r="Z50" s="91" t="str">
        <x:f>IF($I50="","",VLOOKUP($I50,Lookup!$A$2:$G$18,7,FALSE))</x:f>
      </x:c>
      <x:c r="AA50" s="91" t="str">
        <x:f>IF($C50="","",SUMIF($C$7:$C$56,$C50,$O$7:$O$56))</x:f>
      </x:c>
      <x:c r="AB50" s="90"/>
      <x:c r="AC50" s="91" t="str">
        <x:f>IF($C50="","",MAX(0,$AA50-$AB50))</x:f>
      </x:c>
      <x:c r="AD50" s="86"/>
      <x:c r="AE50" s="92" t="str">
        <x:f>IF(OR($C50="",$AC50&lt;=0,$AD50=""),"",MAX(0,TODAY()-$AD50))</x:f>
      </x:c>
      <x:c r="AF50" s="88" t="str">
        <x:f>IF($C50="","",IF($AC50&lt;=0,"Closed",IF($AD50="","Open",IF($AE50&gt;90,"Immediate action",IF($AE50&gt;60,"Urgent collection",IF($AE50&gt;30,"Follow up","Monitor"))))))</x:f>
      </x:c>
      <x:c r="AG50" s="86"/>
      <x:c r="AH50" s="86"/>
      <x:c r="AI50" s="86"/>
      <x:c r="AJ50" s="93" t="str">
        <x:f>IF(AND($P50="Paid",$AI50&lt;&gt;""),$AI50,"")</x:f>
      </x:c>
    </x:row>
    <x:row r="51">
      <x:c r="A51" s="86"/>
      <x:c r="B51" s="87"/>
      <x:c r="C51" s="87"/>
      <x:c r="D51" s="87"/>
      <x:c r="E51" s="87"/>
      <x:c r="F51" s="87"/>
      <x:c r="G51" s="87"/>
      <x:c r="H51" s="87"/>
      <x:c r="I51" s="87"/>
      <x:c r="J51" s="88" t="str">
        <x:f>IF($I51="","",VLOOKUP($I51,Lookup!$A$2:$G$18,2,FALSE))</x:f>
      </x:c>
      <x:c r="K51" s="88" t="str">
        <x:f>IF($I51="","",VLOOKUP($I51,Lookup!$A$2:$G$18,3,FALSE))</x:f>
      </x:c>
      <x:c r="L51" s="88" t="str">
        <x:f>IF($I51="","",VLOOKUP($I51,Lookup!$A$2:$G$18,4,FALSE))</x:f>
      </x:c>
      <x:c r="M51" s="89"/>
      <x:c r="N51" s="90"/>
      <x:c r="O51" s="91" t="str">
        <x:f>IF($C51="","",$M51*$N51)</x:f>
      </x:c>
      <x:c r="P51" s="87"/>
      <x:c r="Q51" s="87"/>
      <x:c r="R51" s="87"/>
      <x:c r="S51" s="91" t="str">
        <x:f>IF($I51="","",VLOOKUP($I51,Lookup!$A$2:$G$18,6,FALSE))</x:f>
      </x:c>
      <x:c r="T51" s="91" t="str">
        <x:f>IF($C51="","",$M51*$S51)</x:f>
      </x:c>
      <x:c r="U51" s="91" t="str">
        <x:f>IF($C51="","",$O51-$T51)</x:f>
      </x:c>
      <x:c r="V51" s="88" t="str">
        <x:f>IF($C51="","",IF(COUNTIFS($B$7:$B$56,$B51,$C$7:$C$56,$C51,$E$7:$E$56,$E51,$I$7:$I$56,$I51,$N$7:$N$56,$N51,$M$7:$M$56,$M51)&gt;1,"CHECK","OK"))</x:f>
      </x:c>
      <x:c r="W51" s="88" t="str">
        <x:f>IF($C51="","",COUNTIF($C$7:$C51,$C51))</x:f>
      </x:c>
      <x:c r="X51" s="88" t="str">
        <x:f>IF($C51="","",$C51&amp;"-"&amp;$W51)</x:f>
      </x:c>
      <x:c r="Y51" s="87"/>
      <x:c r="Z51" s="91" t="str">
        <x:f>IF($I51="","",VLOOKUP($I51,Lookup!$A$2:$G$18,7,FALSE))</x:f>
      </x:c>
      <x:c r="AA51" s="91" t="str">
        <x:f>IF($C51="","",SUMIF($C$7:$C$56,$C51,$O$7:$O$56))</x:f>
      </x:c>
      <x:c r="AB51" s="90"/>
      <x:c r="AC51" s="91" t="str">
        <x:f>IF($C51="","",MAX(0,$AA51-$AB51))</x:f>
      </x:c>
      <x:c r="AD51" s="86"/>
      <x:c r="AE51" s="92" t="str">
        <x:f>IF(OR($C51="",$AC51&lt;=0,$AD51=""),"",MAX(0,TODAY()-$AD51))</x:f>
      </x:c>
      <x:c r="AF51" s="88" t="str">
        <x:f>IF($C51="","",IF($AC51&lt;=0,"Closed",IF($AD51="","Open",IF($AE51&gt;90,"Immediate action",IF($AE51&gt;60,"Urgent collection",IF($AE51&gt;30,"Follow up","Monitor"))))))</x:f>
      </x:c>
      <x:c r="AG51" s="86"/>
      <x:c r="AH51" s="86"/>
      <x:c r="AI51" s="86"/>
      <x:c r="AJ51" s="93" t="str">
        <x:f>IF(AND($P51="Paid",$AI51&lt;&gt;""),$AI51,"")</x:f>
      </x:c>
    </x:row>
    <x:row r="52">
      <x:c r="A52" s="86"/>
      <x:c r="B52" s="87"/>
      <x:c r="C52" s="87"/>
      <x:c r="D52" s="87"/>
      <x:c r="E52" s="87"/>
      <x:c r="F52" s="87"/>
      <x:c r="G52" s="87"/>
      <x:c r="H52" s="87"/>
      <x:c r="I52" s="87"/>
      <x:c r="J52" s="88" t="str">
        <x:f>IF($I52="","",VLOOKUP($I52,Lookup!$A$2:$G$18,2,FALSE))</x:f>
      </x:c>
      <x:c r="K52" s="88" t="str">
        <x:f>IF($I52="","",VLOOKUP($I52,Lookup!$A$2:$G$18,3,FALSE))</x:f>
      </x:c>
      <x:c r="L52" s="88" t="str">
        <x:f>IF($I52="","",VLOOKUP($I52,Lookup!$A$2:$G$18,4,FALSE))</x:f>
      </x:c>
      <x:c r="M52" s="89"/>
      <x:c r="N52" s="90"/>
      <x:c r="O52" s="91" t="str">
        <x:f>IF($C52="","",$M52*$N52)</x:f>
      </x:c>
      <x:c r="P52" s="87"/>
      <x:c r="Q52" s="87"/>
      <x:c r="R52" s="87"/>
      <x:c r="S52" s="91" t="str">
        <x:f>IF($I52="","",VLOOKUP($I52,Lookup!$A$2:$G$18,6,FALSE))</x:f>
      </x:c>
      <x:c r="T52" s="91" t="str">
        <x:f>IF($C52="","",$M52*$S52)</x:f>
      </x:c>
      <x:c r="U52" s="91" t="str">
        <x:f>IF($C52="","",$O52-$T52)</x:f>
      </x:c>
      <x:c r="V52" s="88" t="str">
        <x:f>IF($C52="","",IF(COUNTIFS($B$7:$B$56,$B52,$C$7:$C$56,$C52,$E$7:$E$56,$E52,$I$7:$I$56,$I52,$N$7:$N$56,$N52,$M$7:$M$56,$M52)&gt;1,"CHECK","OK"))</x:f>
      </x:c>
      <x:c r="W52" s="88" t="str">
        <x:f>IF($C52="","",COUNTIF($C$7:$C52,$C52))</x:f>
      </x:c>
      <x:c r="X52" s="88" t="str">
        <x:f>IF($C52="","",$C52&amp;"-"&amp;$W52)</x:f>
      </x:c>
      <x:c r="Y52" s="87"/>
      <x:c r="Z52" s="91" t="str">
        <x:f>IF($I52="","",VLOOKUP($I52,Lookup!$A$2:$G$18,7,FALSE))</x:f>
      </x:c>
      <x:c r="AA52" s="91" t="str">
        <x:f>IF($C52="","",SUMIF($C$7:$C$56,$C52,$O$7:$O$56))</x:f>
      </x:c>
      <x:c r="AB52" s="90"/>
      <x:c r="AC52" s="91" t="str">
        <x:f>IF($C52="","",MAX(0,$AA52-$AB52))</x:f>
      </x:c>
      <x:c r="AD52" s="86"/>
      <x:c r="AE52" s="92" t="str">
        <x:f>IF(OR($C52="",$AC52&lt;=0,$AD52=""),"",MAX(0,TODAY()-$AD52))</x:f>
      </x:c>
      <x:c r="AF52" s="88" t="str">
        <x:f>IF($C52="","",IF($AC52&lt;=0,"Closed",IF($AD52="","Open",IF($AE52&gt;90,"Immediate action",IF($AE52&gt;60,"Urgent collection",IF($AE52&gt;30,"Follow up","Monitor"))))))</x:f>
      </x:c>
      <x:c r="AG52" s="86"/>
      <x:c r="AH52" s="86"/>
      <x:c r="AI52" s="86"/>
      <x:c r="AJ52" s="93" t="str">
        <x:f>IF(AND($P52="Paid",$AI52&lt;&gt;""),$AI52,"")</x:f>
      </x:c>
    </x:row>
    <x:row r="53">
      <x:c r="A53" s="86"/>
      <x:c r="B53" s="87"/>
      <x:c r="C53" s="87"/>
      <x:c r="D53" s="87"/>
      <x:c r="E53" s="87"/>
      <x:c r="F53" s="87"/>
      <x:c r="G53" s="87"/>
      <x:c r="H53" s="87"/>
      <x:c r="I53" s="87"/>
      <x:c r="J53" s="88" t="str">
        <x:f>IF($I53="","",VLOOKUP($I53,Lookup!$A$2:$G$18,2,FALSE))</x:f>
      </x:c>
      <x:c r="K53" s="88" t="str">
        <x:f>IF($I53="","",VLOOKUP($I53,Lookup!$A$2:$G$18,3,FALSE))</x:f>
      </x:c>
      <x:c r="L53" s="88" t="str">
        <x:f>IF($I53="","",VLOOKUP($I53,Lookup!$A$2:$G$18,4,FALSE))</x:f>
      </x:c>
      <x:c r="M53" s="89"/>
      <x:c r="N53" s="90"/>
      <x:c r="O53" s="91" t="str">
        <x:f>IF($C53="","",$M53*$N53)</x:f>
      </x:c>
      <x:c r="P53" s="87"/>
      <x:c r="Q53" s="87"/>
      <x:c r="R53" s="87"/>
      <x:c r="S53" s="91" t="str">
        <x:f>IF($I53="","",VLOOKUP($I53,Lookup!$A$2:$G$18,6,FALSE))</x:f>
      </x:c>
      <x:c r="T53" s="91" t="str">
        <x:f>IF($C53="","",$M53*$S53)</x:f>
      </x:c>
      <x:c r="U53" s="91" t="str">
        <x:f>IF($C53="","",$O53-$T53)</x:f>
      </x:c>
      <x:c r="V53" s="88" t="str">
        <x:f>IF($C53="","",IF(COUNTIFS($B$7:$B$56,$B53,$C$7:$C$56,$C53,$E$7:$E$56,$E53,$I$7:$I$56,$I53,$N$7:$N$56,$N53,$M$7:$M$56,$M53)&gt;1,"CHECK","OK"))</x:f>
      </x:c>
      <x:c r="W53" s="88" t="str">
        <x:f>IF($C53="","",COUNTIF($C$7:$C53,$C53))</x:f>
      </x:c>
      <x:c r="X53" s="88" t="str">
        <x:f>IF($C53="","",$C53&amp;"-"&amp;$W53)</x:f>
      </x:c>
      <x:c r="Y53" s="87"/>
      <x:c r="Z53" s="91" t="str">
        <x:f>IF($I53="","",VLOOKUP($I53,Lookup!$A$2:$G$18,7,FALSE))</x:f>
      </x:c>
      <x:c r="AA53" s="91" t="str">
        <x:f>IF($C53="","",SUMIF($C$7:$C$56,$C53,$O$7:$O$56))</x:f>
      </x:c>
      <x:c r="AB53" s="90"/>
      <x:c r="AC53" s="91" t="str">
        <x:f>IF($C53="","",MAX(0,$AA53-$AB53))</x:f>
      </x:c>
      <x:c r="AD53" s="86"/>
      <x:c r="AE53" s="92" t="str">
        <x:f>IF(OR($C53="",$AC53&lt;=0,$AD53=""),"",MAX(0,TODAY()-$AD53))</x:f>
      </x:c>
      <x:c r="AF53" s="88" t="str">
        <x:f>IF($C53="","",IF($AC53&lt;=0,"Closed",IF($AD53="","Open",IF($AE53&gt;90,"Immediate action",IF($AE53&gt;60,"Urgent collection",IF($AE53&gt;30,"Follow up","Monitor"))))))</x:f>
      </x:c>
      <x:c r="AG53" s="86"/>
      <x:c r="AH53" s="86"/>
      <x:c r="AI53" s="86"/>
      <x:c r="AJ53" s="93" t="str">
        <x:f>IF(AND($P53="Paid",$AI53&lt;&gt;""),$AI53,"")</x:f>
      </x:c>
    </x:row>
    <x:row r="54">
      <x:c r="A54" s="86"/>
      <x:c r="B54" s="87"/>
      <x:c r="C54" s="87"/>
      <x:c r="D54" s="87"/>
      <x:c r="E54" s="87"/>
      <x:c r="F54" s="87"/>
      <x:c r="G54" s="87"/>
      <x:c r="H54" s="87"/>
      <x:c r="I54" s="87"/>
      <x:c r="J54" s="88" t="str">
        <x:f>IF($I54="","",VLOOKUP($I54,Lookup!$A$2:$G$18,2,FALSE))</x:f>
      </x:c>
      <x:c r="K54" s="88" t="str">
        <x:f>IF($I54="","",VLOOKUP($I54,Lookup!$A$2:$G$18,3,FALSE))</x:f>
      </x:c>
      <x:c r="L54" s="88" t="str">
        <x:f>IF($I54="","",VLOOKUP($I54,Lookup!$A$2:$G$18,4,FALSE))</x:f>
      </x:c>
      <x:c r="M54" s="89"/>
      <x:c r="N54" s="90"/>
      <x:c r="O54" s="91" t="str">
        <x:f>IF($C54="","",$M54*$N54)</x:f>
      </x:c>
      <x:c r="P54" s="87"/>
      <x:c r="Q54" s="87"/>
      <x:c r="R54" s="87"/>
      <x:c r="S54" s="91" t="str">
        <x:f>IF($I54="","",VLOOKUP($I54,Lookup!$A$2:$G$18,6,FALSE))</x:f>
      </x:c>
      <x:c r="T54" s="91" t="str">
        <x:f>IF($C54="","",$M54*$S54)</x:f>
      </x:c>
      <x:c r="U54" s="91" t="str">
        <x:f>IF($C54="","",$O54-$T54)</x:f>
      </x:c>
      <x:c r="V54" s="88" t="str">
        <x:f>IF($C54="","",IF(COUNTIFS($B$7:$B$56,$B54,$C$7:$C$56,$C54,$E$7:$E$56,$E54,$I$7:$I$56,$I54,$N$7:$N$56,$N54,$M$7:$M$56,$M54)&gt;1,"CHECK","OK"))</x:f>
      </x:c>
      <x:c r="W54" s="88" t="str">
        <x:f>IF($C54="","",COUNTIF($C$7:$C54,$C54))</x:f>
      </x:c>
      <x:c r="X54" s="88" t="str">
        <x:f>IF($C54="","",$C54&amp;"-"&amp;$W54)</x:f>
      </x:c>
      <x:c r="Y54" s="87"/>
      <x:c r="Z54" s="91" t="str">
        <x:f>IF($I54="","",VLOOKUP($I54,Lookup!$A$2:$G$18,7,FALSE))</x:f>
      </x:c>
      <x:c r="AA54" s="91" t="str">
        <x:f>IF($C54="","",SUMIF($C$7:$C$56,$C54,$O$7:$O$56))</x:f>
      </x:c>
      <x:c r="AB54" s="90"/>
      <x:c r="AC54" s="91" t="str">
        <x:f>IF($C54="","",MAX(0,$AA54-$AB54))</x:f>
      </x:c>
      <x:c r="AD54" s="86"/>
      <x:c r="AE54" s="92" t="str">
        <x:f>IF(OR($C54="",$AC54&lt;=0,$AD54=""),"",MAX(0,TODAY()-$AD54))</x:f>
      </x:c>
      <x:c r="AF54" s="88" t="str">
        <x:f>IF($C54="","",IF($AC54&lt;=0,"Closed",IF($AD54="","Open",IF($AE54&gt;90,"Immediate action",IF($AE54&gt;60,"Urgent collection",IF($AE54&gt;30,"Follow up","Monitor"))))))</x:f>
      </x:c>
      <x:c r="AG54" s="86"/>
      <x:c r="AH54" s="86"/>
      <x:c r="AI54" s="86"/>
      <x:c r="AJ54" s="93" t="str">
        <x:f>IF(AND($P54="Paid",$AI54&lt;&gt;""),$AI54,"")</x:f>
      </x:c>
    </x:row>
    <x:row r="55">
      <x:c r="A55" s="86"/>
      <x:c r="B55" s="87"/>
      <x:c r="C55" s="87"/>
      <x:c r="D55" s="87"/>
      <x:c r="E55" s="87"/>
      <x:c r="F55" s="87"/>
      <x:c r="G55" s="87"/>
      <x:c r="H55" s="87"/>
      <x:c r="I55" s="87"/>
      <x:c r="J55" s="88" t="str">
        <x:f>IF($I55="","",VLOOKUP($I55,Lookup!$A$2:$G$18,2,FALSE))</x:f>
      </x:c>
      <x:c r="K55" s="88" t="str">
        <x:f>IF($I55="","",VLOOKUP($I55,Lookup!$A$2:$G$18,3,FALSE))</x:f>
      </x:c>
      <x:c r="L55" s="88" t="str">
        <x:f>IF($I55="","",VLOOKUP($I55,Lookup!$A$2:$G$18,4,FALSE))</x:f>
      </x:c>
      <x:c r="M55" s="89"/>
      <x:c r="N55" s="90"/>
      <x:c r="O55" s="91" t="str">
        <x:f>IF($C55="","",$M55*$N55)</x:f>
      </x:c>
      <x:c r="P55" s="87"/>
      <x:c r="Q55" s="87"/>
      <x:c r="R55" s="87"/>
      <x:c r="S55" s="91" t="str">
        <x:f>IF($I55="","",VLOOKUP($I55,Lookup!$A$2:$G$18,6,FALSE))</x:f>
      </x:c>
      <x:c r="T55" s="91" t="str">
        <x:f>IF($C55="","",$M55*$S55)</x:f>
      </x:c>
      <x:c r="U55" s="91" t="str">
        <x:f>IF($C55="","",$O55-$T55)</x:f>
      </x:c>
      <x:c r="V55" s="88" t="str">
        <x:f>IF($C55="","",IF(COUNTIFS($B$7:$B$56,$B55,$C$7:$C$56,$C55,$E$7:$E$56,$E55,$I$7:$I$56,$I55,$N$7:$N$56,$N55,$M$7:$M$56,$M55)&gt;1,"CHECK","OK"))</x:f>
      </x:c>
      <x:c r="W55" s="88" t="str">
        <x:f>IF($C55="","",COUNTIF($C$7:$C55,$C55))</x:f>
      </x:c>
      <x:c r="X55" s="88" t="str">
        <x:f>IF($C55="","",$C55&amp;"-"&amp;$W55)</x:f>
      </x:c>
      <x:c r="Y55" s="87"/>
      <x:c r="Z55" s="91" t="str">
        <x:f>IF($I55="","",VLOOKUP($I55,Lookup!$A$2:$G$18,7,FALSE))</x:f>
      </x:c>
      <x:c r="AA55" s="91" t="str">
        <x:f>IF($C55="","",SUMIF($C$7:$C$56,$C55,$O$7:$O$56))</x:f>
      </x:c>
      <x:c r="AB55" s="90"/>
      <x:c r="AC55" s="91" t="str">
        <x:f>IF($C55="","",MAX(0,$AA55-$AB55))</x:f>
      </x:c>
      <x:c r="AD55" s="86"/>
      <x:c r="AE55" s="92" t="str">
        <x:f>IF(OR($C55="",$AC55&lt;=0,$AD55=""),"",MAX(0,TODAY()-$AD55))</x:f>
      </x:c>
      <x:c r="AF55" s="88" t="str">
        <x:f>IF($C55="","",IF($AC55&lt;=0,"Closed",IF($AD55="","Open",IF($AE55&gt;90,"Immediate action",IF($AE55&gt;60,"Urgent collection",IF($AE55&gt;30,"Follow up","Monitor"))))))</x:f>
      </x:c>
      <x:c r="AG55" s="86"/>
      <x:c r="AH55" s="86"/>
      <x:c r="AI55" s="86"/>
      <x:c r="AJ55" s="93" t="str">
        <x:f>IF(AND($P55="Paid",$AI55&lt;&gt;""),$AI55,"")</x:f>
      </x:c>
    </x:row>
    <x:row r="56">
      <x:c r="A56" s="86"/>
      <x:c r="B56" s="87"/>
      <x:c r="C56" s="87"/>
      <x:c r="D56" s="87"/>
      <x:c r="E56" s="87"/>
      <x:c r="F56" s="87"/>
      <x:c r="G56" s="87"/>
      <x:c r="H56" s="87"/>
      <x:c r="I56" s="87"/>
      <x:c r="J56" s="88" t="str">
        <x:f>IF($I56="","",VLOOKUP($I56,Lookup!$A$2:$G$18,2,FALSE))</x:f>
      </x:c>
      <x:c r="K56" s="88" t="str">
        <x:f>IF($I56="","",VLOOKUP($I56,Lookup!$A$2:$G$18,3,FALSE))</x:f>
      </x:c>
      <x:c r="L56" s="88" t="str">
        <x:f>IF($I56="","",VLOOKUP($I56,Lookup!$A$2:$G$18,4,FALSE))</x:f>
      </x:c>
      <x:c r="M56" s="89"/>
      <x:c r="N56" s="90"/>
      <x:c r="O56" s="91" t="str">
        <x:f>IF($C56="","",$M56*$N56)</x:f>
      </x:c>
      <x:c r="P56" s="87"/>
      <x:c r="Q56" s="87"/>
      <x:c r="R56" s="87"/>
      <x:c r="S56" s="91" t="str">
        <x:f>IF($I56="","",VLOOKUP($I56,Lookup!$A$2:$G$18,6,FALSE))</x:f>
      </x:c>
      <x:c r="T56" s="91" t="str">
        <x:f>IF($C56="","",$M56*$S56)</x:f>
      </x:c>
      <x:c r="U56" s="91" t="str">
        <x:f>IF($C56="","",$O56-$T56)</x:f>
      </x:c>
      <x:c r="V56" s="88" t="str">
        <x:f>IF($C56="","",IF(COUNTIFS($B$7:$B$56,$B56,$C$7:$C$56,$C56,$E$7:$E$56,$E56,$I$7:$I$56,$I56,$N$7:$N$56,$N56,$M$7:$M$56,$M56)&gt;1,"CHECK","OK"))</x:f>
      </x:c>
      <x:c r="W56" s="88" t="str">
        <x:f>IF($C56="","",COUNTIF($C$7:$C56,$C56))</x:f>
      </x:c>
      <x:c r="X56" s="88" t="str">
        <x:f>IF($C56="","",$C56&amp;"-"&amp;$W56)</x:f>
      </x:c>
      <x:c r="Y56" s="87"/>
      <x:c r="Z56" s="91" t="str">
        <x:f>IF($I56="","",VLOOKUP($I56,Lookup!$A$2:$G$18,7,FALSE))</x:f>
      </x:c>
      <x:c r="AA56" s="91" t="str">
        <x:f>IF($C56="","",SUMIF($C$7:$C$56,$C56,$O$7:$O$56))</x:f>
      </x:c>
      <x:c r="AB56" s="90"/>
      <x:c r="AC56" s="91" t="str">
        <x:f>IF($C56="","",MAX(0,$AA56-$AB56))</x:f>
      </x:c>
      <x:c r="AD56" s="86"/>
      <x:c r="AE56" s="92" t="str">
        <x:f>IF(OR($C56="",$AC56&lt;=0,$AD56=""),"",MAX(0,TODAY()-$AD56))</x:f>
      </x:c>
      <x:c r="AF56" s="88" t="str">
        <x:f>IF($C56="","",IF($AC56&lt;=0,"Closed",IF($AD56="","Open",IF($AE56&gt;90,"Immediate action",IF($AE56&gt;60,"Urgent collection",IF($AE56&gt;30,"Follow up","Monitor"))))))</x:f>
      </x:c>
      <x:c r="AG56" s="86"/>
      <x:c r="AH56" s="86"/>
      <x:c r="AI56" s="86"/>
      <x:c r="AJ56" s="93" t="str">
        <x:f>IF(AND($P56="Paid",$AI56&lt;&gt;""),$AI56,"")</x:f>
      </x:c>
    </x:row>
  </x:sheetData>
  <x:mergeCells>
    <x:mergeCell ref="A1:AJ1"/>
    <x:mergeCell ref="A3:AJ3"/>
  </x:mergeCells>
  <x:conditionalFormatting sqref="V7:V56">
    <x:cfRule type="expression" dxfId="0" priority="1">
      <x:formula>V7="CHECK"</x:formula>
    </x:cfRule>
  </x:conditionalFormatting>
  <x:conditionalFormatting sqref="AF7:AF56">
    <x:cfRule type="expression" dxfId="1" priority="2">
      <x:formula>AF7="Immediate action"</x:formula>
    </x:cfRule>
    <x:cfRule type="expression" dxfId="2" priority="3">
      <x:formula>AF7="Urgent collection"</x:formula>
    </x:cfRule>
  </x:conditionalFormatting>
  <x:dataValidations count="5">
    <x:dataValidation type="list" sqref="B7:B56">
      <x:formula1>"Invoice,Credit Memo,Adjustment"</x:formula1>
    </x:dataValidation>
    <x:dataValidation type="list" sqref="G7:G56">
      <x:formula1>"Liquor Store,Specialty Retail,Grocery,On-Premise"</x:formula1>
    </x:dataValidation>
    <x:dataValidation type="list" sqref="H7:H56">
      <x:formula1>"Sales Rep 01,Sales Rep 02,Sales Rep 03,Sales Rep 04"</x:formula1>
    </x:dataValidation>
    <x:dataValidation type="list" sqref="P7:P56">
      <x:formula1>"Paid,Unpaid,Pending"</x:formula1>
    </x:dataValidation>
    <x:dataValidation type="list" sqref="R7:R56">
      <x:formula1>"New,Reorder"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243cd4017f470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20" t="str">
        <x:v>Invoice #</x:v>
      </x:c>
      <x:c r="B1" s="20" t="str">
        <x:v>Invoice Date</x:v>
      </x:c>
      <x:c r="C1" s="20" t="str">
        <x:v>Due Date</x:v>
      </x:c>
      <x:c r="D1" s="20" t="str">
        <x:v>Account</x:v>
      </x:c>
      <x:c r="E1" s="20" t="str">
        <x:v>Channel</x:v>
      </x:c>
      <x:c r="F1" s="20" t="str">
        <x:v>Sales Rep</x:v>
      </x:c>
      <x:c r="G1" s="20" t="str">
        <x:v>Payment Status</x:v>
      </x:c>
      <x:c r="H1" s="20" t="str">
        <x:v>Invoice Total</x:v>
      </x:c>
      <x:c r="I1" s="20" t="str">
        <x:v>Amount Paid</x:v>
      </x:c>
      <x:c r="J1" s="20" t="str">
        <x:v>Balance Due</x:v>
      </x:c>
      <x:c r="K1" s="20" t="str">
        <x:v>Days Past Due</x:v>
      </x:c>
      <x:c r="L1" s="20" t="str">
        <x:v>Collection Status</x:v>
      </x:c>
      <x:c r="M1" s="20" t="str">
        <x:v>Last Follow-Up Date</x:v>
      </x:c>
      <x:c r="N1" s="20" t="str">
        <x:v>Next Follow-Up Date</x:v>
      </x:c>
      <x:c r="O1" s="20" t="str">
        <x:v>Payment Date</x:v>
      </x:c>
      <x:c r="P1" s="20" t="str">
        <x:v>Commission Eligible Date</x:v>
      </x:c>
    </x:row>
    <x:row r="2">
      <x:c r="A2" s="26" t="str">
        <x:v>9001</x:v>
      </x:c>
      <x:c r="B2" s="61" t="n">
        <x:v>46218</x:v>
      </x:c>
      <x:c r="C2" s="61" t="n">
        <x:v>46218</x:v>
      </x:c>
      <x:c r="D2" s="26" t="str">
        <x:v>Retail Account 001</x:v>
      </x:c>
      <x:c r="E2" s="26" t="str">
        <x:v>Liquor Store</x:v>
      </x:c>
      <x:c r="F2" s="26" t="str">
        <x:v>Sales Rep 01</x:v>
      </x:c>
      <x:c r="G2" s="26" t="str">
        <x:v>Paid</x:v>
      </x:c>
      <x:c r="H2" s="102" t="n">
        <x:v>160</x:v>
      </x:c>
      <x:c r="I2" s="102" t="n">
        <x:v>160</x:v>
      </x:c>
      <x:c r="J2" s="102" t="n">
        <x:v>0</x:v>
      </x:c>
      <x:c r="K2" s="26" t="n">
        <x:v>0</x:v>
      </x:c>
      <x:c r="L2" s="26" t="str">
        <x:v>Closed</x:v>
      </x:c>
      <x:c r="M2" s="61" t="str"/>
      <x:c r="N2" s="61" t="str"/>
      <x:c r="O2" s="61" t="n">
        <x:v>46219</x:v>
      </x:c>
      <x:c r="P2" s="61" t="n">
        <x:v>46219</x:v>
      </x:c>
    </x:row>
    <x:row r="3">
      <x:c r="A3" s="26" t="str">
        <x:v>9002</x:v>
      </x:c>
      <x:c r="B3" s="61" t="n">
        <x:v>46239</x:v>
      </x:c>
      <x:c r="C3" s="61" t="n">
        <x:v>46239</x:v>
      </x:c>
      <x:c r="D3" s="26" t="str">
        <x:v>Retail Account 002</x:v>
      </x:c>
      <x:c r="E3" s="26" t="str">
        <x:v>Specialty Retail</x:v>
      </x:c>
      <x:c r="F3" s="26" t="str">
        <x:v>Sales Rep 02</x:v>
      </x:c>
      <x:c r="G3" s="26" t="str">
        <x:v>Paid</x:v>
      </x:c>
      <x:c r="H3" s="102" t="n">
        <x:v>164</x:v>
      </x:c>
      <x:c r="I3" s="102" t="n">
        <x:v>164</x:v>
      </x:c>
      <x:c r="J3" s="102" t="n">
        <x:v>0</x:v>
      </x:c>
      <x:c r="K3" s="26" t="n">
        <x:v>0</x:v>
      </x:c>
      <x:c r="L3" s="26" t="str">
        <x:v>Closed</x:v>
      </x:c>
      <x:c r="M3" s="61" t="str"/>
      <x:c r="N3" s="61" t="str"/>
      <x:c r="O3" s="61" t="n">
        <x:v>46240</x:v>
      </x:c>
      <x:c r="P3" s="61" t="n">
        <x:v>46240</x:v>
      </x:c>
    </x:row>
    <x:row r="4">
      <x:c r="A4" s="26" t="str">
        <x:v>9003</x:v>
      </x:c>
      <x:c r="B4" s="61" t="n">
        <x:v>46275</x:v>
      </x:c>
      <x:c r="C4" s="61" t="n">
        <x:v>46275</x:v>
      </x:c>
      <x:c r="D4" s="26" t="str">
        <x:v>Retail Account 003</x:v>
      </x:c>
      <x:c r="E4" s="26" t="str">
        <x:v>Grocery</x:v>
      </x:c>
      <x:c r="F4" s="26" t="str">
        <x:v>Sales Rep 03</x:v>
      </x:c>
      <x:c r="G4" s="26" t="str">
        <x:v>Unpaid</x:v>
      </x:c>
      <x:c r="H4" s="102" t="n">
        <x:v>180</x:v>
      </x:c>
      <x:c r="I4" s="102" t="n">
        <x:v>0</x:v>
      </x:c>
      <x:c r="J4" s="102" t="n">
        <x:v>180</x:v>
      </x:c>
      <x:c r="K4" s="26" t="n">
        <x:v>18</x:v>
      </x:c>
      <x:c r="L4" s="26" t="str">
        <x:v>Monitor</x:v>
      </x:c>
      <x:c r="M4" s="61" t="str"/>
      <x:c r="N4" s="61" t="str"/>
      <x:c r="O4" s="61"/>
      <x:c r="P4" s="61"/>
    </x:row>
    <x:row r="5">
      <x:c r="A5" s="26" t="str">
        <x:v>9004</x:v>
      </x:c>
      <x:c r="B5" s="61" t="n">
        <x:v>46280</x:v>
      </x:c>
      <x:c r="C5" s="61" t="n">
        <x:v>46280</x:v>
      </x:c>
      <x:c r="D5" s="26" t="str">
        <x:v>Retail Account 004</x:v>
      </x:c>
      <x:c r="E5" s="26" t="str">
        <x:v>On-Premise</x:v>
      </x:c>
      <x:c r="F5" s="26" t="str">
        <x:v>Sales Rep 04</x:v>
      </x:c>
      <x:c r="G5" s="26" t="str">
        <x:v>Paid</x:v>
      </x:c>
      <x:c r="H5" s="102" t="n">
        <x:v>194</x:v>
      </x:c>
      <x:c r="I5" s="102" t="n">
        <x:v>194</x:v>
      </x:c>
      <x:c r="J5" s="102" t="n">
        <x:v>0</x:v>
      </x:c>
      <x:c r="K5" s="26" t="n">
        <x:v>0</x:v>
      </x:c>
      <x:c r="L5" s="26" t="str">
        <x:v>Closed</x:v>
      </x:c>
      <x:c r="M5" s="61" t="str"/>
      <x:c r="N5" s="61" t="str"/>
      <x:c r="O5" s="61" t="n">
        <x:v>46283</x:v>
      </x:c>
      <x:c r="P5" s="61" t="n">
        <x:v>46283</x:v>
      </x:c>
    </x:row>
  </x:sheetData>
  <x:pageMargins left="0.7" right="0.7" top="0.75" bottom="0.75" header="0.3" footer="0.3"/>
  <x:tableParts count="1">
    <x:tablePart xmlns:r="http://schemas.openxmlformats.org/officeDocument/2006/relationships" r:id="R7a1bae0e80c6467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0" t="str">
        <x:v>Account</x:v>
      </x:c>
      <x:c r="B1" s="20" t="str">
        <x:v>Revenue</x:v>
      </x:c>
      <x:c r="C1" s="20" t="str">
        <x:v>Cases</x:v>
      </x:c>
      <x:c r="D1" s="20" t="str">
        <x:v>Last Order Date</x:v>
      </x:c>
      <x:c r="E1" s="20" t="str">
        <x:v>Days Since Last Order</x:v>
      </x:c>
      <x:c r="F1" s="20" t="str">
        <x:v>Rev Rank</x:v>
      </x:c>
      <x:c r="G1" s="20" t="str">
        <x:v>Case Rank</x:v>
      </x:c>
      <x:c r="H1" s="20" t="str">
        <x:v>Days Rank</x:v>
      </x:c>
    </x:row>
    <x:row r="2">
      <x:c r="A2" t="str">
        <x:v>Retail Account 001</x:v>
      </x:c>
      <x:c r="B2" s="54" t="n">
        <x:v>160</x:v>
      </x:c>
      <x:c r="C2" t="n">
        <x:v>2</x:v>
      </x:c>
      <x:c r="D2" s="56" t="n">
        <x:v>46218</x:v>
      </x:c>
      <x:c r="E2" t="n">
        <x:v>75</x:v>
      </x:c>
      <x:c r="F2" t="n">
        <x:v>4</x:v>
      </x:c>
      <x:c r="G2" t="n">
        <x:v>1</x:v>
      </x:c>
      <x:c r="H2" t="n">
        <x:v>1</x:v>
      </x:c>
    </x:row>
    <x:row r="3">
      <x:c r="A3" t="str">
        <x:v>Retail Account 002</x:v>
      </x:c>
      <x:c r="B3" s="54" t="n">
        <x:v>164</x:v>
      </x:c>
      <x:c r="C3" t="n">
        <x:v>2</x:v>
      </x:c>
      <x:c r="D3" s="56" t="n">
        <x:v>46239</x:v>
      </x:c>
      <x:c r="E3" t="n">
        <x:v>54</x:v>
      </x:c>
      <x:c r="F3" t="n">
        <x:v>3</x:v>
      </x:c>
      <x:c r="G3" t="n">
        <x:v>1</x:v>
      </x:c>
      <x:c r="H3" t="n">
        <x:v>2</x:v>
      </x:c>
    </x:row>
    <x:row r="4">
      <x:c r="A4" t="str">
        <x:v>Retail Account 003</x:v>
      </x:c>
      <x:c r="B4" s="54" t="n">
        <x:v>180</x:v>
      </x:c>
      <x:c r="C4" t="n">
        <x:v>2</x:v>
      </x:c>
      <x:c r="D4" s="56" t="n">
        <x:v>46275</x:v>
      </x:c>
      <x:c r="E4" t="n">
        <x:v>18</x:v>
      </x:c>
      <x:c r="F4" t="n">
        <x:v>2</x:v>
      </x:c>
      <x:c r="G4" t="n">
        <x:v>1</x:v>
      </x:c>
      <x:c r="H4" t="n">
        <x:v>3</x:v>
      </x:c>
    </x:row>
    <x:row r="5">
      <x:c r="A5" t="str">
        <x:v>Retail Account 004</x:v>
      </x:c>
      <x:c r="B5" s="54" t="n">
        <x:v>194</x:v>
      </x:c>
      <x:c r="C5" t="n">
        <x:v>2</x:v>
      </x:c>
      <x:c r="D5" s="56" t="n">
        <x:v>46280</x:v>
      </x:c>
      <x:c r="E5" t="n">
        <x:v>13</x:v>
      </x:c>
      <x:c r="F5" t="n">
        <x:v>1</x:v>
      </x:c>
      <x:c r="G5" t="n">
        <x:v>1</x:v>
      </x:c>
      <x:c r="H5" t="n">
        <x:v>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 ht="28" customHeight="1">
      <x:c r="A1" s="66" t="str">
        <x:v>Lagom Naturals Executive Dashboard — SANITIZED</x:v>
      </x:c>
      <x:c r="B1" s="66"/>
    </x:row>
    <x:row r="3">
      <x:c r="A3" s="20" t="str">
        <x:v>Metric</x:v>
      </x:c>
      <x:c r="B3" s="20" t="str">
        <x:v>Value</x:v>
      </x:c>
    </x:row>
    <x:row r="4">
      <x:c r="A4" s="104" t="str">
        <x:v>Total Revenue</x:v>
      </x:c>
      <x:c r="B4" s="54" t="n">
        <x:f>SUM('Depletion Log'!O7:O56)</x:f>
        <x:v>698</x:v>
      </x:c>
    </x:row>
    <x:row r="5">
      <x:c r="A5" s="104" t="str">
        <x:v>Cases Sold</x:v>
      </x:c>
      <x:c r="B5" s="104" t="n">
        <x:f>SUM('Depletion Log'!M7:M56)</x:f>
        <x:v>8</x:v>
      </x:c>
    </x:row>
    <x:row r="6">
      <x:c r="A6" s="104" t="str">
        <x:v>Gross Profit</x:v>
      </x:c>
      <x:c r="B6" s="54" t="n">
        <x:f>SUM('Depletion Log'!U7:U56)</x:f>
        <x:v>291</x:v>
      </x:c>
    </x:row>
    <x:row r="7">
      <x:c r="A7" s="104" t="str">
        <x:v>Outstanding AR</x:v>
      </x:c>
      <x:c r="B7" s="54" t="n">
        <x:f>SUM('Invoice Summary - AR Ledger'!J2:J20)</x:f>
        <x:v>180</x:v>
      </x:c>
    </x:row>
    <x:row r="8">
      <x:c r="A8" s="105" t="str">
        <x:v>Invoices</x:v>
      </x:c>
      <x:c r="B8" s="105" t="n">
        <x:f>COUNTA('Invoice Summary - AR Ledger'!A2:A20)</x:f>
        <x:v>4</x:v>
      </x:c>
    </x:row>
  </x:sheetData>
  <x:mergeCells>
    <x:mergeCell ref="A1: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66" t="str">
        <x:v>INVOICE — SANITIZED TEMPLATE</x:v>
      </x:c>
      <x:c r="B1" s="66"/>
      <x:c r="C1" s="66"/>
      <x:c r="D1" s="66"/>
      <x:c r="E1" s="66"/>
      <x:c r="F1" s="66"/>
    </x:row>
    <x:row r="2">
      <x:c r="A2" t="str">
        <x:v>Lagom Naturals, LLC</x:v>
      </x:c>
    </x:row>
    <x:row r="3">
      <x:c r="A3" s="12" t="str">
        <x:v>Business contact details intentionally omitted from shared sanitized workbook.</x:v>
      </x:c>
      <x:c r="B3" s="12" t="str"/>
      <x:c r="C3" s="12" t="str"/>
      <x:c r="D3" s="12" t="str"/>
      <x:c r="E3" s="12" t="str"/>
      <x:c r="F3" s="12" t="str"/>
    </x:row>
    <x:row r="6">
      <x:c r="A6" s="35" t="str">
        <x:v>Invoice Details</x:v>
      </x:c>
      <x:c r="B6" s="35" t="str"/>
      <x:c r="C6" s="35" t="str"/>
      <x:c r="D6" s="35" t="str"/>
      <x:c r="E6" s="35" t="str">
        <x:v>Terms:</x:v>
      </x:c>
      <x:c r="F6" s="35" t="str">
        <x:v>Due on receipt</x:v>
      </x:c>
    </x:row>
    <x:row r="7">
      <x:c r="A7" t="str">
        <x:v>Invoice No.:</x:v>
      </x:c>
      <x:c r="B7" t="str">
        <x:v>9001</x:v>
      </x:c>
      <x:c r="C7" t="str"/>
      <x:c r="D7" t="str"/>
      <x:c r="E7" t="str">
        <x:v>Invoice Date:</x:v>
      </x:c>
      <x:c r="F7" s="56" t="n">
        <x:v>46218</x:v>
      </x:c>
    </x:row>
    <x:row r="8">
      <x:c r="A8" t="str">
        <x:v>Sales Rep:</x:v>
      </x:c>
      <x:c r="B8" t="str">
        <x:v>Sales Rep 01</x:v>
      </x:c>
      <x:c r="C8" t="str"/>
      <x:c r="D8" t="str"/>
      <x:c r="E8" t="str">
        <x:v>Due Date:</x:v>
      </x:c>
      <x:c r="F8" s="56" t="n">
        <x:v>46218</x:v>
      </x:c>
    </x:row>
    <x:row r="10">
      <x:c r="A10" t="str">
        <x:v>Bill To:</x:v>
      </x:c>
      <x:c r="B10" t="str">
        <x:v>Retail Account 001</x:v>
      </x:c>
      <x:c r="C10" t="str"/>
      <x:c r="D10" t="str">
        <x:v>Ship To:</x:v>
      </x:c>
      <x:c r="E10" t="str">
        <x:v>Retail Account 001</x:v>
      </x:c>
      <x:c r="F10" t="str"/>
    </x:row>
    <x:row r="13">
      <x:c r="A13" s="20" t="str">
        <x:v>#</x:v>
      </x:c>
      <x:c r="B13" s="20" t="str">
        <x:v>Product</x:v>
      </x:c>
      <x:c r="C13" s="20" t="str">
        <x:v>Description</x:v>
      </x:c>
      <x:c r="D13" s="20" t="str">
        <x:v>Qty</x:v>
      </x:c>
      <x:c r="E13" s="20" t="str">
        <x:v>Rate</x:v>
      </x:c>
      <x:c r="F13" s="20" t="str">
        <x:v>Amount</x:v>
      </x:c>
    </x:row>
    <x:row r="14">
      <x:c r="A14" t="n">
        <x:v>1</x:v>
      </x:c>
      <x:c r="B14" t="str">
        <x:v>Lagom - 24K Lemonade</x:v>
      </x:c>
      <x:c r="C14" t="str">
        <x:v>24 can case - 12 oz cans</x:v>
      </x:c>
      <x:c r="D14" t="n">
        <x:v>1</x:v>
      </x:c>
      <x:c r="E14" s="54" t="n">
        <x:v>80</x:v>
      </x:c>
      <x:c r="F14" s="54" t="n">
        <x:v>80</x:v>
      </x:c>
    </x:row>
    <x:row r="15">
      <x:c r="A15" t="n">
        <x:v>2</x:v>
      </x:c>
      <x:c r="B15" t="str">
        <x:v>Lagom - Strawberry Lime Fusion</x:v>
      </x:c>
      <x:c r="C15" t="str">
        <x:v>24 can case - 12 oz cans</x:v>
      </x:c>
      <x:c r="D15" t="n">
        <x:v>1</x:v>
      </x:c>
      <x:c r="E15" s="54" t="n">
        <x:v>80</x:v>
      </x:c>
      <x:c r="F15" s="54" t="n">
        <x:v>80</x:v>
      </x:c>
    </x:row>
    <x:row r="18">
      <x:c r="E18" t="str">
        <x:v>TOTAL:</x:v>
      </x:c>
      <x:c r="F18" s="54" t="n">
        <x:v>160</x:v>
      </x:c>
    </x:row>
    <x:row r="21">
      <x:c r="A21" s="12" t="str">
        <x:v>Payment instructions are delivered through the approved billing channel. Banking credentials are intentionally not stored in this workbook.</x:v>
      </x:c>
      <x:c r="B21" s="12"/>
      <x:c r="C21" s="12"/>
      <x:c r="D21" s="12"/>
      <x:c r="E21" s="12"/>
      <x:c r="F21" s="12"/>
    </x:row>
    <x:row r="23">
      <x:c r="A23" t="str">
        <x:v>Note to customer: Thank you for your business.</x:v>
      </x:c>
    </x:row>
  </x:sheetData>
  <x:mergeCells>
    <x:mergeCell ref="A1:F1"/>
    <x:mergeCell ref="A2:F2"/>
    <x:mergeCell ref="A21:F21"/>
    <x:mergeCell ref="A23:F2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18" hidden="0" customWidth="1"/>
  </x:cols>
  <x:sheetData>
    <x:row r="1" ht="28" customHeight="1">
      <x:c r="A1" s="66" t="str">
        <x:v>LAGOM NATURALS — PRODUCT SUMMARY — SANITIZED</x:v>
      </x:c>
      <x:c r="B1" s="66"/>
      <x:c r="C1" s="66"/>
      <x:c r="D1" s="66"/>
      <x:c r="E1" s="66"/>
      <x:c r="F1" s="66"/>
      <x:c r="G1" s="66"/>
      <x:c r="H1" s="66"/>
      <x:c r="I1" s="66"/>
    </x:row>
    <x:row r="2">
      <x:c r="A2" s="12" t="str">
        <x:v>Auto-calculated from sanitized Depletion Log. Financial figures are synthetic.</x:v>
      </x:c>
      <x:c r="B2" s="12"/>
      <x:c r="C2" s="12"/>
      <x:c r="D2" s="12"/>
      <x:c r="E2" s="12"/>
      <x:c r="F2" s="12"/>
      <x:c r="G2" s="12"/>
      <x:c r="H2" s="12"/>
      <x:c r="I2" s="12"/>
    </x:row>
    <x:row r="4">
      <x:c r="A4" s="20" t="str">
        <x:v>Product</x:v>
      </x:c>
      <x:c r="B4" s="20" t="str">
        <x:v>Cases</x:v>
      </x:c>
      <x:c r="C4" s="20" t="str">
        <x:v>Revenue</x:v>
      </x:c>
      <x:c r="D4" s="20" t="str">
        <x:v>COGS</x:v>
      </x:c>
      <x:c r="E4" s="20" t="str">
        <x:v>Gross Profit</x:v>
      </x:c>
      <x:c r="F4" s="20" t="str">
        <x:v>Margin</x:v>
      </x:c>
      <x:c r="G4" s="20" t="str">
        <x:v>Rank</x:v>
      </x:c>
      <x:c r="H4" s="20" t="str">
        <x:v>Account</x:v>
      </x:c>
      <x:c r="I4" s="20" t="str">
        <x:v>Revenue</x:v>
      </x:c>
    </x:row>
    <x:row r="5">
      <x:c r="A5" t="str">
        <x:v>Lagom - 24K Lemonade</x:v>
      </x:c>
      <x:c r="B5" t="n">
        <x:f>SUMIF('Depletion Log'!$I$7:$I$56,$A5,'Depletion Log'!$M$7:$M$56)</x:f>
        <x:v>1</x:v>
      </x:c>
      <x:c r="C5" s="54" t="n">
        <x:f>SUMIF('Depletion Log'!$I$7:$I$56,$A5,'Depletion Log'!$O$7:$O$56)</x:f>
        <x:v>80</x:v>
      </x:c>
      <x:c r="D5" s="54" t="n">
        <x:f>SUMIF('Depletion Log'!$I$7:$I$56,$A5,'Depletion Log'!$T$7:$T$56)</x:f>
        <x:v>48</x:v>
      </x:c>
      <x:c r="E5" s="54" t="n">
        <x:f>C5-D5</x:f>
        <x:v>32</x:v>
      </x:c>
      <x:c r="F5" s="107" t="n">
        <x:f>IF(C5=0,0,E5/C5)</x:f>
        <x:v>0.4</x:v>
      </x:c>
      <x:c r="G5" t="n">
        <x:v>1</x:v>
      </x:c>
      <x:c r="H5" t="str">
        <x:v>Retail Account 004</x:v>
      </x:c>
      <x:c r="I5" s="54" t="n">
        <x:v>194</x:v>
      </x:c>
    </x:row>
    <x:row r="6">
      <x:c r="A6" t="str">
        <x:v>Lagom - Strawberry Lime Fusion</x:v>
      </x:c>
      <x:c r="B6" t="n">
        <x:f>SUMIF('Depletion Log'!$I$7:$I$56,$A6,'Depletion Log'!$M$7:$M$56)</x:f>
        <x:v>1</x:v>
      </x:c>
      <x:c r="C6" s="54" t="n">
        <x:f>SUMIF('Depletion Log'!$I$7:$I$56,$A6,'Depletion Log'!$O$7:$O$56)</x:f>
        <x:v>80</x:v>
      </x:c>
      <x:c r="D6" s="54" t="n">
        <x:f>SUMIF('Depletion Log'!$I$7:$I$56,$A6,'Depletion Log'!$T$7:$T$56)</x:f>
        <x:v>48</x:v>
      </x:c>
      <x:c r="E6" s="54" t="n">
        <x:f>C6-D6</x:f>
        <x:v>32</x:v>
      </x:c>
      <x:c r="F6" s="107" t="n">
        <x:f>IF(C6=0,0,E6/C6)</x:f>
        <x:v>0.4</x:v>
      </x:c>
      <x:c r="G6" t="n">
        <x:v>2</x:v>
      </x:c>
      <x:c r="H6" t="str">
        <x:v>Retail Account 003</x:v>
      </x:c>
      <x:c r="I6" s="54" t="n">
        <x:v>180</x:v>
      </x:c>
    </x:row>
    <x:row r="7">
      <x:c r="A7" t="str">
        <x:v>Lagom - Blackberry Breeze</x:v>
      </x:c>
      <x:c r="B7" t="n">
        <x:f>SUMIF('Depletion Log'!$I$7:$I$56,$A7,'Depletion Log'!$M$7:$M$56)</x:f>
        <x:v>1</x:v>
      </x:c>
      <x:c r="C7" s="54" t="n">
        <x:f>SUMIF('Depletion Log'!$I$7:$I$56,$A7,'Depletion Log'!$O$7:$O$56)</x:f>
        <x:v>82</x:v>
      </x:c>
      <x:c r="D7" s="54" t="n">
        <x:f>SUMIF('Depletion Log'!$I$7:$I$56,$A7,'Depletion Log'!$T$7:$T$56)</x:f>
        <x:v>48</x:v>
      </x:c>
      <x:c r="E7" s="54" t="n">
        <x:f>C7-D7</x:f>
        <x:v>34</x:v>
      </x:c>
      <x:c r="F7" s="107" t="n">
        <x:f>IF(C7=0,0,E7/C7)</x:f>
        <x:v>0.4146341463414634</x:v>
      </x:c>
      <x:c r="G7" t="n">
        <x:v>3</x:v>
      </x:c>
      <x:c r="H7" t="str">
        <x:v>Retail Account 002</x:v>
      </x:c>
      <x:c r="I7" s="54" t="n">
        <x:v>164</x:v>
      </x:c>
    </x:row>
    <x:row r="8">
      <x:c r="A8" t="str">
        <x:v>Lagom - Watermelon Refresher</x:v>
      </x:c>
      <x:c r="B8" t="n">
        <x:f>SUMIF('Depletion Log'!$I$7:$I$56,$A8,'Depletion Log'!$M$7:$M$56)</x:f>
        <x:v>1</x:v>
      </x:c>
      <x:c r="C8" s="54" t="n">
        <x:f>SUMIF('Depletion Log'!$I$7:$I$56,$A8,'Depletion Log'!$O$7:$O$56)</x:f>
        <x:v>82</x:v>
      </x:c>
      <x:c r="D8" s="54" t="n">
        <x:f>SUMIF('Depletion Log'!$I$7:$I$56,$A8,'Depletion Log'!$T$7:$T$56)</x:f>
        <x:v>48</x:v>
      </x:c>
      <x:c r="E8" s="54" t="n">
        <x:f>C8-D8</x:f>
        <x:v>34</x:v>
      </x:c>
      <x:c r="F8" s="107" t="n">
        <x:f>IF(C8=0,0,E8/C8)</x:f>
        <x:v>0.4146341463414634</x:v>
      </x:c>
      <x:c r="G8" t="n">
        <x:v>4</x:v>
      </x:c>
      <x:c r="H8" t="str">
        <x:v>Retail Account 001</x:v>
      </x:c>
      <x:c r="I8" s="54" t="n">
        <x:v>160</x:v>
      </x:c>
    </x:row>
    <x:row r="9">
      <x:c r="A9" t="str">
        <x:v>Lagom - Variety Pack</x:v>
      </x:c>
      <x:c r="B9" t="n">
        <x:f>SUMIF('Depletion Log'!$I$7:$I$56,$A9,'Depletion Log'!$M$7:$M$56)</x:f>
        <x:v>1</x:v>
      </x:c>
      <x:c r="C9" s="54" t="n">
        <x:f>SUMIF('Depletion Log'!$I$7:$I$56,$A9,'Depletion Log'!$O$7:$O$56)</x:f>
        <x:v>84</x:v>
      </x:c>
      <x:c r="D9" s="54" t="n">
        <x:f>SUMIF('Depletion Log'!$I$7:$I$56,$A9,'Depletion Log'!$T$7:$T$56)</x:f>
        <x:v>48</x:v>
      </x:c>
      <x:c r="E9" s="54" t="n">
        <x:f>C9-D9</x:f>
        <x:v>36</x:v>
      </x:c>
      <x:c r="F9" s="107" t="n">
        <x:f>IF(C9=0,0,E9/C9)</x:f>
        <x:v>0.42857142857142855</x:v>
      </x:c>
    </x:row>
    <x:row r="10">
      <x:c r="A10" t="str">
        <x:v>Midnight Drift - Blueberry Yum Yum</x:v>
      </x:c>
      <x:c r="B10" t="n">
        <x:f>SUMIF('Depletion Log'!$I$7:$I$56,$A10,'Depletion Log'!$M$7:$M$56)</x:f>
        <x:v>1</x:v>
      </x:c>
      <x:c r="C10" s="54" t="n">
        <x:f>SUMIF('Depletion Log'!$I$7:$I$56,$A10,'Depletion Log'!$O$7:$O$56)</x:f>
        <x:v>96</x:v>
      </x:c>
      <x:c r="D10" s="54" t="n">
        <x:f>SUMIF('Depletion Log'!$I$7:$I$56,$A10,'Depletion Log'!$T$7:$T$56)</x:f>
        <x:v>55</x:v>
      </x:c>
      <x:c r="E10" s="54" t="n">
        <x:f>C10-D10</x:f>
        <x:v>41</x:v>
      </x:c>
      <x:c r="F10" s="107" t="n">
        <x:f>IF(C10=0,0,E10/C10)</x:f>
        <x:v>0.4270833333333333</x:v>
      </x:c>
      <x:c r="G10" s="35" t="str">
        <x:v>REACTIVATION LIST (30+ days)</x:v>
      </x:c>
      <x:c r="H10" s="35" t="str"/>
      <x:c r="I10" s="35" t="str"/>
    </x:row>
    <x:row r="11">
      <x:c r="A11" t="str">
        <x:v>Midnight Drift - Strawberry</x:v>
      </x:c>
      <x:c r="B11" t="n">
        <x:f>SUMIF('Depletion Log'!$I$7:$I$56,$A11,'Depletion Log'!$M$7:$M$56)</x:f>
        <x:v>1</x:v>
      </x:c>
      <x:c r="C11" s="54" t="n">
        <x:f>SUMIF('Depletion Log'!$I$7:$I$56,$A11,'Depletion Log'!$O$7:$O$56)</x:f>
        <x:v>96</x:v>
      </x:c>
      <x:c r="D11" s="54" t="n">
        <x:f>SUMIF('Depletion Log'!$I$7:$I$56,$A11,'Depletion Log'!$T$7:$T$56)</x:f>
        <x:v>55</x:v>
      </x:c>
      <x:c r="E11" s="54" t="n">
        <x:f>C11-D11</x:f>
        <x:v>41</x:v>
      </x:c>
      <x:c r="F11" s="107" t="n">
        <x:f>IF(C11=0,0,E11/C11)</x:f>
        <x:v>0.4270833333333333</x:v>
      </x:c>
      <x:c r="G11" s="20" t="str">
        <x:v>Account</x:v>
      </x:c>
      <x:c r="H11" s="20" t="str">
        <x:v>Last Order</x:v>
      </x:c>
      <x:c r="I11" s="20" t="str">
        <x:v>Days Ago</x:v>
      </x:c>
    </x:row>
    <x:row r="12">
      <x:c r="A12" t="str">
        <x:v>Midnight Drift - Pink Lemonade</x:v>
      </x:c>
      <x:c r="B12" t="n">
        <x:f>SUMIF('Depletion Log'!$I$7:$I$56,$A12,'Depletion Log'!$M$7:$M$56)</x:f>
        <x:v>0</x:v>
      </x:c>
      <x:c r="C12" s="54" t="n">
        <x:f>SUMIF('Depletion Log'!$I$7:$I$56,$A12,'Depletion Log'!$O$7:$O$56)</x:f>
        <x:v>0</x:v>
      </x:c>
      <x:c r="D12" s="54" t="n">
        <x:f>SUMIF('Depletion Log'!$I$7:$I$56,$A12,'Depletion Log'!$T$7:$T$56)</x:f>
        <x:v>0</x:v>
      </x:c>
      <x:c r="E12" s="54" t="n">
        <x:f>C12-D12</x:f>
        <x:v>0</x:v>
      </x:c>
      <x:c r="F12" s="107" t="n">
        <x:f>IF(C12=0,0,E12/C12)</x:f>
        <x:v>0</x:v>
      </x:c>
      <x:c r="G12" t="str">
        <x:v>Retail Account 002</x:v>
      </x:c>
      <x:c r="H12" s="56" t="n">
        <x:v>46239</x:v>
      </x:c>
      <x:c r="I12" t="n">
        <x:v>54</x:v>
      </x:c>
    </x:row>
    <x:row r="13">
      <x:c r="A13" t="str">
        <x:v>Midnight Drift - Peach</x:v>
      </x:c>
      <x:c r="B13" t="n">
        <x:f>SUMIF('Depletion Log'!$I$7:$I$56,$A13,'Depletion Log'!$M$7:$M$56)</x:f>
        <x:v>0</x:v>
      </x:c>
      <x:c r="C13" s="54" t="n">
        <x:f>SUMIF('Depletion Log'!$I$7:$I$56,$A13,'Depletion Log'!$O$7:$O$56)</x:f>
        <x:v>0</x:v>
      </x:c>
      <x:c r="D13" s="54" t="n">
        <x:f>SUMIF('Depletion Log'!$I$7:$I$56,$A13,'Depletion Log'!$T$7:$T$56)</x:f>
        <x:v>0</x:v>
      </x:c>
      <x:c r="E13" s="54" t="n">
        <x:f>C13-D13</x:f>
        <x:v>0</x:v>
      </x:c>
      <x:c r="F13" s="107" t="n">
        <x:f>IF(C13=0,0,E13/C13)</x:f>
        <x:v>0</x:v>
      </x:c>
      <x:c r="G13" t="str">
        <x:v>Retail Account 001</x:v>
      </x:c>
      <x:c r="H13" s="56" t="n">
        <x:v>46218</x:v>
      </x:c>
      <x:c r="I13" t="n">
        <x:v>75</x:v>
      </x:c>
    </x:row>
    <x:row r="14">
      <x:c r="A14" t="str">
        <x:v>Organic Line - Blue Razz</x:v>
      </x:c>
      <x:c r="B14" t="n">
        <x:f>SUMIF('Depletion Log'!$I$7:$I$56,$A14,'Depletion Log'!$M$7:$M$56)</x:f>
        <x:v>1</x:v>
      </x:c>
      <x:c r="C14" s="54" t="n">
        <x:f>SUMIF('Depletion Log'!$I$7:$I$56,$A14,'Depletion Log'!$O$7:$O$56)</x:f>
        <x:v>98</x:v>
      </x:c>
      <x:c r="D14" s="54" t="n">
        <x:f>SUMIF('Depletion Log'!$I$7:$I$56,$A14,'Depletion Log'!$T$7:$T$56)</x:f>
        <x:v>57</x:v>
      </x:c>
      <x:c r="E14" s="54" t="n">
        <x:f>C14-D14</x:f>
        <x:v>41</x:v>
      </x:c>
      <x:c r="F14" s="107" t="n">
        <x:f>IF(C14=0,0,E14/C14)</x:f>
        <x:v>0.41836734693877553</x:v>
      </x:c>
      <x:c r="H14" s="56"/>
    </x:row>
    <x:row r="15">
      <x:c r="A15" t="str">
        <x:v>Organic Line - Berry Melon Bliss</x:v>
      </x:c>
      <x:c r="B15" t="n">
        <x:f>SUMIF('Depletion Log'!$I$7:$I$56,$A15,'Depletion Log'!$M$7:$M$56)</x:f>
        <x:v>0</x:v>
      </x:c>
      <x:c r="C15" s="54" t="n">
        <x:f>SUMIF('Depletion Log'!$I$7:$I$56,$A15,'Depletion Log'!$O$7:$O$56)</x:f>
        <x:v>0</x:v>
      </x:c>
      <x:c r="D15" s="54" t="n">
        <x:f>SUMIF('Depletion Log'!$I$7:$I$56,$A15,'Depletion Log'!$T$7:$T$56)</x:f>
        <x:v>0</x:v>
      </x:c>
      <x:c r="E15" s="54" t="n">
        <x:f>C15-D15</x:f>
        <x:v>0</x:v>
      </x:c>
      <x:c r="F15" s="107" t="n">
        <x:f>IF(C15=0,0,E15/C15)</x:f>
        <x:v>0</x:v>
      </x:c>
      <x:c r="H15" s="56"/>
    </x:row>
    <x:row r="16">
      <x:c r="A16" t="str">
        <x:v>Organic Line - Cherry Bliss</x:v>
      </x:c>
      <x:c r="B16" t="n">
        <x:f>SUMIF('Depletion Log'!$I$7:$I$56,$A16,'Depletion Log'!$M$7:$M$56)</x:f>
        <x:v>0</x:v>
      </x:c>
      <x:c r="C16" s="54" t="n">
        <x:f>SUMIF('Depletion Log'!$I$7:$I$56,$A16,'Depletion Log'!$O$7:$O$56)</x:f>
        <x:v>0</x:v>
      </x:c>
      <x:c r="D16" s="54" t="n">
        <x:f>SUMIF('Depletion Log'!$I$7:$I$56,$A16,'Depletion Log'!$T$7:$T$56)</x:f>
        <x:v>0</x:v>
      </x:c>
      <x:c r="E16" s="54" t="n">
        <x:f>C16-D16</x:f>
        <x:v>0</x:v>
      </x:c>
      <x:c r="F16" s="107" t="n">
        <x:f>IF(C16=0,0,E16/C16)</x:f>
        <x:v>0</x:v>
      </x:c>
      <x:c r="H16" s="56"/>
    </x:row>
    <x:row r="17">
      <x:c r="A17" t="str">
        <x:v>Organic Line - Push Pop</x:v>
      </x:c>
      <x:c r="B17" t="n">
        <x:f>SUMIF('Depletion Log'!$I$7:$I$56,$A17,'Depletion Log'!$M$7:$M$56)</x:f>
        <x:v>0</x:v>
      </x:c>
      <x:c r="C17" s="54" t="n">
        <x:f>SUMIF('Depletion Log'!$I$7:$I$56,$A17,'Depletion Log'!$O$7:$O$56)</x:f>
        <x:v>0</x:v>
      </x:c>
      <x:c r="D17" s="54" t="n">
        <x:f>SUMIF('Depletion Log'!$I$7:$I$56,$A17,'Depletion Log'!$T$7:$T$56)</x:f>
        <x:v>0</x:v>
      </x:c>
      <x:c r="E17" s="54" t="n">
        <x:f>C17-D17</x:f>
        <x:v>0</x:v>
      </x:c>
      <x:c r="F17" s="107" t="n">
        <x:f>IF(C17=0,0,E17/C17)</x:f>
        <x:v>0</x:v>
      </x:c>
      <x:c r="H17" s="56"/>
    </x:row>
    <x:row r="18">
      <x:c r="A18" t="str">
        <x:v>The Drip - Blueberry Yum Yum</x:v>
      </x:c>
      <x:c r="B18" t="n">
        <x:f>SUMIF('Depletion Log'!$I$7:$I$56,$A18,'Depletion Log'!$M$7:$M$56)</x:f>
        <x:v>0</x:v>
      </x:c>
      <x:c r="C18" s="54" t="n">
        <x:f>SUMIF('Depletion Log'!$I$7:$I$56,$A18,'Depletion Log'!$O$7:$O$56)</x:f>
        <x:v>0</x:v>
      </x:c>
      <x:c r="D18" s="54" t="n">
        <x:f>SUMIF('Depletion Log'!$I$7:$I$56,$A18,'Depletion Log'!$T$7:$T$56)</x:f>
        <x:v>0</x:v>
      </x:c>
      <x:c r="E18" s="54" t="n">
        <x:f>C18-D18</x:f>
        <x:v>0</x:v>
      </x:c>
      <x:c r="F18" s="107" t="n">
        <x:f>IF(C18=0,0,E18/C18)</x:f>
        <x:v>0</x:v>
      </x:c>
      <x:c r="H18" s="56"/>
    </x:row>
    <x:row r="19">
      <x:c r="A19" t="str">
        <x:v>The Drip - Push Pop</x:v>
      </x:c>
      <x:c r="B19" t="n">
        <x:f>SUMIF('Depletion Log'!$I$7:$I$56,$A19,'Depletion Log'!$M$7:$M$56)</x:f>
        <x:v>0</x:v>
      </x:c>
      <x:c r="C19" s="54" t="n">
        <x:f>SUMIF('Depletion Log'!$I$7:$I$56,$A19,'Depletion Log'!$O$7:$O$56)</x:f>
        <x:v>0</x:v>
      </x:c>
      <x:c r="D19" s="54" t="n">
        <x:f>SUMIF('Depletion Log'!$I$7:$I$56,$A19,'Depletion Log'!$T$7:$T$56)</x:f>
        <x:v>0</x:v>
      </x:c>
      <x:c r="E19" s="54" t="n">
        <x:f>C19-D19</x:f>
        <x:v>0</x:v>
      </x:c>
      <x:c r="F19" s="107" t="n">
        <x:f>IF(C19=0,0,E19/C19)</x:f>
        <x:v>0</x:v>
      </x:c>
      <x:c r="H19" s="56"/>
    </x:row>
    <x:row r="20">
      <x:c r="A20" t="str">
        <x:v>The Drip - Green Apple</x:v>
      </x:c>
      <x:c r="B20" t="n">
        <x:f>SUMIF('Depletion Log'!$I$7:$I$56,$A20,'Depletion Log'!$M$7:$M$56)</x:f>
        <x:v>0</x:v>
      </x:c>
      <x:c r="C20" s="54" t="n">
        <x:f>SUMIF('Depletion Log'!$I$7:$I$56,$A20,'Depletion Log'!$O$7:$O$56)</x:f>
        <x:v>0</x:v>
      </x:c>
      <x:c r="D20" s="54" t="n">
        <x:f>SUMIF('Depletion Log'!$I$7:$I$56,$A20,'Depletion Log'!$T$7:$T$56)</x:f>
        <x:v>0</x:v>
      </x:c>
      <x:c r="E20" s="54" t="n">
        <x:f>C20-D20</x:f>
        <x:v>0</x:v>
      </x:c>
      <x:c r="F20" s="107" t="n">
        <x:f>IF(C20=0,0,E20/C20)</x:f>
        <x:v>0</x:v>
      </x:c>
      <x:c r="H20" s="56"/>
    </x:row>
    <x:row r="21">
      <x:c r="A21" t="str">
        <x:v>The Drip - Strawberry Banana</x:v>
      </x:c>
      <x:c r="B21" t="n">
        <x:f>SUMIF('Depletion Log'!$I$7:$I$56,$A21,'Depletion Log'!$M$7:$M$56)</x:f>
        <x:v>0</x:v>
      </x:c>
      <x:c r="C21" s="54" t="n">
        <x:f>SUMIF('Depletion Log'!$I$7:$I$56,$A21,'Depletion Log'!$O$7:$O$56)</x:f>
        <x:v>0</x:v>
      </x:c>
      <x:c r="D21" s="54" t="n">
        <x:f>SUMIF('Depletion Log'!$I$7:$I$56,$A21,'Depletion Log'!$T$7:$T$56)</x:f>
        <x:v>0</x:v>
      </x:c>
      <x:c r="E21" s="54" t="n">
        <x:f>C21-D21</x:f>
        <x:v>0</x:v>
      </x:c>
      <x:c r="F21" s="107" t="n">
        <x:f>IF(C21=0,0,E21/C21)</x:f>
        <x:v>0</x:v>
      </x:c>
    </x:row>
    <x:row r="23">
      <x:c r="A23" s="35" t="str">
        <x:v>GRAND TOTAL</x:v>
      </x:c>
      <x:c r="B23" s="35" t="n">
        <x:f>SUM(B5:B21)</x:f>
        <x:v>8</x:v>
      </x:c>
      <x:c r="C23" s="109" t="n">
        <x:f>SUM(C5:C21)</x:f>
        <x:v>698</x:v>
      </x:c>
      <x:c r="D23" s="109" t="n">
        <x:f>SUM(D5:D21)</x:f>
        <x:v>407</x:v>
      </x:c>
      <x:c r="E23" s="109" t="n">
        <x:f>SUM(E5:E21)</x:f>
        <x:v>291</x:v>
      </x:c>
      <x:c r="F23" s="111" t="n">
        <x:f>IF(C23=0,0,E23/C23)</x:f>
        <x:v>0.4169054441260745</x:v>
      </x:c>
    </x:row>
    <x:row r="26">
      <x:c r="A26" s="35" t="str">
        <x:v>ACCOUNTS RECEIVABLE AGING</x:v>
      </x:c>
      <x:c r="B26" s="35" t="str"/>
      <x:c r="C26" s="35" t="str"/>
      <x:c r="D26" s="35" t="str"/>
      <x:c r="E26" s="35" t="str"/>
    </x:row>
    <x:row r="27">
      <x:c r="A27" s="20" t="str">
        <x:v>Age Bucket</x:v>
      </x:c>
      <x:c r="B27" s="20" t="str">
        <x:v>Invoice Count</x:v>
      </x:c>
      <x:c r="C27" s="20" t="str">
        <x:v>Amount Due</x:v>
      </x:c>
      <x:c r="D27" s="20" t="str">
        <x:v>Oldest Invoice</x:v>
      </x:c>
      <x:c r="E27" s="20" t="str">
        <x:v>Action</x:v>
      </x:c>
    </x:row>
    <x:row r="28">
      <x:c r="A28" t="str">
        <x:v>0-30 days</x:v>
      </x:c>
      <x:c r="B28" t="n">
        <x:v>1</x:v>
      </x:c>
      <x:c r="C28" s="54" t="n">
        <x:v>180</x:v>
      </x:c>
      <x:c r="D28" s="56" t="n">
        <x:v>46275</x:v>
      </x:c>
      <x:c r="E28" t="str">
        <x:v>Monitor</x:v>
      </x:c>
    </x:row>
    <x:row r="29">
      <x:c r="A29" t="str">
        <x:v>31-60 days</x:v>
      </x:c>
      <x:c r="B29" t="n">
        <x:v>0</x:v>
      </x:c>
      <x:c r="C29" s="54" t="n">
        <x:v>0</x:v>
      </x:c>
      <x:c r="D29" s="56"/>
      <x:c r="E29" t="str">
        <x:v>Follow up</x:v>
      </x:c>
    </x:row>
    <x:row r="30">
      <x:c r="A30" t="str">
        <x:v>61-90 days</x:v>
      </x:c>
      <x:c r="B30" t="n">
        <x:v>0</x:v>
      </x:c>
      <x:c r="C30" s="54" t="n">
        <x:v>0</x:v>
      </x:c>
      <x:c r="D30" s="56"/>
      <x:c r="E30" t="str">
        <x:v>Urgent collection</x:v>
      </x:c>
    </x:row>
    <x:row r="31">
      <x:c r="A31" t="str">
        <x:v>90+ days</x:v>
      </x:c>
      <x:c r="B31" t="n">
        <x:v>0</x:v>
      </x:c>
      <x:c r="C31" s="54" t="n">
        <x:v>0</x:v>
      </x:c>
      <x:c r="D31" s="56"/>
      <x:c r="E31" t="str">
        <x:v>Immediate action</x:v>
      </x:c>
    </x:row>
    <x:row r="32">
      <x:c r="A32" s="35" t="str">
        <x:v>TOTAL OUTSTANDING</x:v>
      </x:c>
      <x:c r="B32" s="35" t="str"/>
      <x:c r="C32" s="109" t="n">
        <x:v>180</x:v>
      </x:c>
      <x:c r="D32" s="35" t="str"/>
      <x:c r="E32" s="35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55" hidden="0" customWidth="1"/>
  </x:cols>
  <x:sheetData>
    <x:row r="1" ht="28" customHeight="1">
      <x:c r="A1" s="66" t="str">
        <x:v>LAGOM NATURALS — QA AUDIT CHECKLIST — SANITIZED</x:v>
      </x:c>
      <x:c r="B1" s="66"/>
      <x:c r="C1" s="66"/>
    </x:row>
    <x:row r="2">
      <x:c r="A2" s="12" t="str">
        <x:v>Checks target meaningful populated rows only; unused template rows are ignored.</x:v>
      </x:c>
      <x:c r="B2" s="12"/>
      <x:c r="C2" s="12"/>
    </x:row>
    <x:row r="4">
      <x:c r="A4" s="20" t="str">
        <x:v>Check</x:v>
      </x:c>
      <x:c r="B4" s="20" t="str">
        <x:v>Status</x:v>
      </x:c>
      <x:c r="C4" s="20" t="str">
        <x:v>Details</x:v>
      </x:c>
    </x:row>
    <x:row r="5">
      <x:c r="A5" s="26" t="str">
        <x:v>SKU / Description / Category lookups</x:v>
      </x:c>
      <x:c r="B5" s="26" t="str">
        <x:f>IF(COUNTIFS('Depletion Log'!$I$7:$I$56,"&lt;&gt;",'Depletion Log'!$J$7:$J$56,"")+COUNTIFS('Depletion Log'!$I$7:$I$56,"&lt;&gt;",'Depletion Log'!$K$7:$K$56,"")+COUNTIFS('Depletion Log'!$I$7:$I$56,"&lt;&gt;",'Depletion Log'!$L$7:$L$56,"")=0,"PASS","FAIL")</x:f>
        <x:v>PASS</x:v>
      </x:c>
      <x:c r="C5" s="26" t="str">
        <x:v>Flags populated product rows with missing lookup fields.</x:v>
      </x:c>
    </x:row>
    <x:row r="6">
      <x:c r="A6" s="26" t="str">
        <x:v>Duplicate check</x:v>
      </x:c>
      <x:c r="B6" s="26" t="str">
        <x:f>IF(COUNTIF('Depletion Log'!$V$7:$V$56,"CHECK")=0,"PASS","FAIL")</x:f>
        <x:v>PASS</x:v>
      </x:c>
      <x:c r="C6" s="26" t="str">
        <x:v>Uses Type + Invoice # + Account + Product + Price + Cases.</x:v>
      </x:c>
    </x:row>
    <x:row r="7">
      <x:c r="A7" s="26" t="str">
        <x:v>Missing payment date on paid rows</x:v>
      </x:c>
      <x:c r="B7" s="26" t="str">
        <x:f>IF(COUNTIFS('Depletion Log'!$P$7:$P$56,"Paid",'Depletion Log'!$AI$7:$AI$56,"")=0,"PASS","FAIL")</x:f>
        <x:v>PASS</x:v>
      </x:c>
      <x:c r="C7" s="26" t="str">
        <x:v>Paid invoices need Payment Date to become commission eligible.</x:v>
      </x:c>
    </x:row>
    <x:row r="8">
      <x:c r="A8" s="26" t="str">
        <x:v>Missing account type</x:v>
      </x:c>
      <x:c r="B8" s="26" t="str">
        <x:f>IF(COUNTIFS('Depletion Log'!$E$7:$E$56,"&lt;&gt;",'Depletion Log'!$R$7:$R$56,"")=0,"PASS","FAIL")</x:f>
        <x:v>PASS</x:v>
      </x:c>
      <x:c r="C8" s="26" t="str">
        <x:v>Populated rows require New/Reorder classification.</x:v>
      </x:c>
    </x:row>
    <x:row r="9">
      <x:c r="A9" s="26" t="str">
        <x:v>Missing payment status</x:v>
      </x:c>
      <x:c r="B9" s="26" t="str">
        <x:f>IF(COUNTIFS('Depletion Log'!$E$7:$E$56,"&lt;&gt;",'Depletion Log'!$P$7:$P$56,"")=0,"PASS","FAIL")</x:f>
        <x:v>PASS</x:v>
      </x:c>
      <x:c r="C9" s="26" t="str">
        <x:v>Populated rows require payment status.</x:v>
      </x:c>
    </x:row>
    <x:row r="10">
      <x:c r="A10" s="26" t="str">
        <x:v>AR ledger unique invoice source</x:v>
      </x:c>
      <x:c r="B10" s="26" t="str">
        <x:v>PASS</x:v>
      </x:c>
      <x:c r="C10" s="26" t="str">
        <x:v>AR ledger contains one sanitized row per mock invoice.</x:v>
      </x:c>
    </x:row>
    <x:row r="11">
      <x:c r="A11" s="26" t="str">
        <x:v>Bank credentials present</x:v>
      </x:c>
      <x:c r="B11" s="26" t="str">
        <x:v>PASS</x:v>
      </x:c>
      <x:c r="C11" s="26" t="str">
        <x:v>Must remain zero in sanitized workbook.</x:v>
      </x:c>
    </x:row>
    <x:row r="12">
      <x:c r="A12" s="26" t="str">
        <x:v>Personnel/customer identifiers aliased</x:v>
      </x:c>
      <x:c r="B12" s="26" t="str">
        <x:v>PASS</x:v>
      </x:c>
      <x:c r="C12" s="26" t="str">
        <x:v>Real staff/customer identities are not present in sanitized working copy.</x:v>
      </x:c>
    </x:row>
  </x:sheetData>
  <x:mergeCells>
    <x:mergeCell ref="A1:C1"/>
    <x:mergeCell ref="A2:C2"/>
  </x:mergeCells>
  <x:conditionalFormatting sqref="B5:B12">
    <x:cfRule type="expression" dxfId="3" priority="1">
      <x:formula>B5="PASS"</x:formula>
    </x:cfRule>
    <x:cfRule type="expression" dxfId="4" priority="2">
      <x:formula>B5="FAIL"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</x:cols>
  <x:sheetData>
    <x:row r="1" ht="28" customHeight="1">
      <x:c r="A1" s="66" t="str">
        <x:v>System Health Monitor — SANITIZED</x:v>
      </x:c>
      <x:c r="B1" s="66"/>
    </x:row>
    <x:row r="3">
      <x:c r="A3" s="20" t="str">
        <x:v>Check</x:v>
      </x:c>
      <x:c r="B3" s="20" t="str">
        <x:v>Count</x:v>
      </x:c>
    </x:row>
    <x:row r="4">
      <x:c r="A4" t="str">
        <x:v>Missing Payment Status</x:v>
      </x:c>
      <x:c r="B4" t="n">
        <x:f>COUNTIFS('Depletion Log'!$E$7:$E$56,"&lt;&gt;",'Depletion Log'!$P$7:$P$56,"")</x:f>
        <x:v>0</x:v>
      </x:c>
    </x:row>
    <x:row r="5">
      <x:c r="A5" t="str">
        <x:v>Missing Account Type</x:v>
      </x:c>
      <x:c r="B5" t="n">
        <x:f>COUNTIFS('Depletion Log'!$E$7:$E$56,"&lt;&gt;",'Depletion Log'!$R$7:$R$56,"")</x:f>
        <x:v>0</x:v>
      </x:c>
    </x:row>
    <x:row r="6">
      <x:c r="A6" t="str">
        <x:v>Duplicate Rows Flagged</x:v>
      </x:c>
      <x:c r="B6" t="n">
        <x:f>COUNTIF('Depletion Log'!$V$7:$V$56,"CHECK")</x:f>
        <x:v>0</x:v>
      </x:c>
    </x:row>
    <x:row r="7">
      <x:c r="A7" t="str">
        <x:v>Outstanding Invoices</x:v>
      </x:c>
      <x:c r="B7" t="n">
        <x:f>COUNTIF('Invoice Summary - AR Ledger'!$J$2:$J$20,"&gt;0")</x:f>
        <x:v>1</x:v>
      </x:c>
    </x:row>
  </x:sheetData>
  <x:mergeCells>
    <x:mergeCell ref="A1:B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</x:cols>
  <x:sheetData>
    <x:row r="1" ht="28" customHeight="1">
      <x:c r="A1" s="66" t="str">
        <x:v>LAGOM NATURALS — SALES REP 01 COMMISSION DASHBOARD — SANITIZED</x:v>
      </x:c>
      <x:c r="B1" s="66"/>
      <x:c r="C1" s="66"/>
      <x:c r="D1" s="66"/>
      <x:c r="E1" s="66"/>
      <x:c r="F1" s="66"/>
      <x:c r="G1" s="66"/>
    </x:row>
    <x:row r="2">
      <x:c r="A2" s="12" t="str">
        <x:v>All values calculate from sanitized Depletion Log. Commission/mileage inputs are synthetic examples, not real compensation terms.</x:v>
      </x:c>
      <x:c r="B2" s="12"/>
      <x:c r="C2" s="12"/>
      <x:c r="D2" s="12"/>
      <x:c r="E2" s="12"/>
      <x:c r="F2" s="12"/>
      <x:c r="G2" s="12"/>
    </x:row>
    <x:row r="3">
      <x:c r="A3" s="26"/>
      <x:c r="B3" s="26"/>
      <x:c r="C3" s="26"/>
      <x:c r="D3" s="26"/>
      <x:c r="E3" s="26"/>
      <x:c r="F3" s="26"/>
      <x:c r="G3" s="26"/>
    </x:row>
    <x:row r="4">
      <x:c r="A4" s="35" t="str">
        <x:v>BI-WEEKLY PAY PERIOD VIEW</x:v>
      </x:c>
      <x:c r="B4" s="35" t="str"/>
      <x:c r="C4" s="35" t="str"/>
      <x:c r="D4" s="35" t="str"/>
      <x:c r="E4" s="35" t="str"/>
      <x:c r="F4" s="35" t="str">
        <x:v>PERIOD SUMMARY</x:v>
      </x:c>
      <x:c r="G4" s="35" t="str"/>
    </x:row>
    <x:row r="5">
      <x:c r="A5" s="26" t="str">
        <x:v>Pay Period End:</x:v>
      </x:c>
      <x:c r="B5" s="61" t="n">
        <x:v>46292</x:v>
      </x:c>
      <x:c r="C5" s="26"/>
      <x:c r="D5" s="26"/>
      <x:c r="E5" s="26"/>
      <x:c r="F5" s="26" t="str">
        <x:v>Period Start:</x:v>
      </x:c>
      <x:c r="G5" s="61" t="n">
        <x:v>46279</x:v>
      </x:c>
    </x:row>
    <x:row r="6">
      <x:c r="A6" s="26" t="str">
        <x:v>Covered Dates:</x:v>
      </x:c>
      <x:c r="B6" s="26" t="str">
        <x:v>09/14/2026 - 09/27/2026</x:v>
      </x:c>
      <x:c r="C6" s="26"/>
      <x:c r="D6" s="26"/>
      <x:c r="E6" s="26"/>
      <x:c r="F6" s="26" t="str">
        <x:v>Period End:</x:v>
      </x:c>
      <x:c r="G6" s="61" t="n">
        <x:v>46292</x:v>
      </x:c>
    </x:row>
    <x:row r="7">
      <x:c r="A7" s="20" t="str">
        <x:v>Metric</x:v>
      </x:c>
      <x:c r="B7" s="20" t="str">
        <x:v>Amount</x:v>
      </x:c>
      <x:c r="C7" s="26"/>
      <x:c r="D7" s="26"/>
      <x:c r="E7" s="26"/>
      <x:c r="F7" s="20" t="str">
        <x:v>Period Cases</x:v>
      </x:c>
      <x:c r="G7" s="20" t="n">
        <x:f>SUMIFS('Depletion Log'!$M$7:$M$56,'Depletion Log'!$H$7:$H$56,"Sales Rep 01",'Depletion Log'!$A$7:$A$56,"&gt;="&amp;$G$5,'Depletion Log'!$A$7:$A$56,"&lt;="&amp;$G$6)</x:f>
        <x:v>0</x:v>
      </x:c>
    </x:row>
    <x:row r="8">
      <x:c r="A8" s="26" t="str">
        <x:v>Gross Revenue (Invoiced in Period)</x:v>
      </x:c>
      <x:c r="B8" s="102" t="n">
        <x:f>SUMIFS('Depletion Log'!$O$7:$O$56,'Depletion Log'!$H$7:$H$56,"Sales Rep 01",'Depletion Log'!$A$7:$A$56,"&gt;="&amp;$G$5,'Depletion Log'!$A$7:$A$56,"&lt;="&amp;$G$6)</x:f>
        <x:v>0</x:v>
      </x:c>
      <x:c r="C8" s="26"/>
      <x:c r="D8" s="26"/>
      <x:c r="E8" s="26"/>
      <x:c r="F8" s="26" t="str">
        <x:v>Period New Paid Rev</x:v>
      </x:c>
      <x:c r="G8" s="102" t="n">
        <x:f>SUMIFS('Depletion Log'!$O$7:$O$56,'Depletion Log'!$H$7:$H$56,"Sales Rep 01",'Depletion Log'!$R$7:$R$56,"New",'Depletion Log'!$P$7:$P$56,"Paid",'Depletion Log'!$AI$7:$AI$56,"&gt;="&amp;$G$5,'Depletion Log'!$AI$7:$AI$56,"&lt;="&amp;$G$6)</x:f>
        <x:v>0</x:v>
      </x:c>
    </x:row>
    <x:row r="9">
      <x:c r="A9" s="26" t="str">
        <x:v>Paid Revenue Eligible (Payment Date)</x:v>
      </x:c>
      <x:c r="B9" s="102" t="n">
        <x:f>SUMIFS('Depletion Log'!$O$7:$O$56,'Depletion Log'!$H$7:$H$56,"Sales Rep 01",'Depletion Log'!$P$7:$P$56,"Paid",'Depletion Log'!$AI$7:$AI$56,"&gt;="&amp;$G$5,'Depletion Log'!$AI$7:$AI$56,"&lt;="&amp;$G$6)</x:f>
        <x:v>0</x:v>
      </x:c>
      <x:c r="C9" s="26"/>
      <x:c r="D9" s="26"/>
      <x:c r="E9" s="26"/>
      <x:c r="F9" s="26" t="str">
        <x:v>Period Reorder Paid Rev</x:v>
      </x:c>
      <x:c r="G9" s="102" t="n">
        <x:f>SUMIFS('Depletion Log'!$O$7:$O$56,'Depletion Log'!$H$7:$H$56,"Sales Rep 01",'Depletion Log'!$R$7:$R$56,"Reorder",'Depletion Log'!$P$7:$P$56,"Paid",'Depletion Log'!$AI$7:$AI$56,"&gt;="&amp;$G$5,'Depletion Log'!$AI$7:$AI$56,"&lt;="&amp;$G$6)</x:f>
        <x:v>0</x:v>
      </x:c>
    </x:row>
    <x:row r="10">
      <x:c r="A10" s="26" t="str">
        <x:v>Total AR Tied to Rep</x:v>
      </x:c>
      <x:c r="B10" s="102" t="n">
        <x:f>SUMIFS('Depletion Log'!$AC$7:$AC$56,'Depletion Log'!$H$7:$H$56,"Sales Rep 01",'Depletion Log'!$W$7:$W$56,1)</x:f>
        <x:v>0</x:v>
      </x:c>
      <x:c r="C10" s="26"/>
      <x:c r="D10" s="26"/>
      <x:c r="E10" s="26"/>
      <x:c r="F10" s="26" t="str">
        <x:v>PERIOD COMMISSION</x:v>
      </x:c>
      <x:c r="G10" s="102" t="n">
        <x:f>G8*$B$24+G9*$B$25</x:f>
        <x:v>0</x:v>
      </x:c>
    </x:row>
    <x:row r="11">
      <x:c r="A11" s="26" t="str">
        <x:v>Paid Commission Eligible</x:v>
      </x:c>
      <x:c r="B11" s="102" t="n">
        <x:f>SUMIFS('Depletion Log'!$O$7:$O$56,'Depletion Log'!$H$7:$H$56,"Sales Rep 01",'Depletion Log'!$P$7:$P$56,"Paid",'Depletion Log'!$AI$7:$AI$56,"&gt;="&amp;$G$5,'Depletion Log'!$AI$7:$AI$56,"&lt;="&amp;$G$6)</x:f>
        <x:v>0</x:v>
      </x:c>
      <x:c r="C11" s="26"/>
      <x:c r="D11" s="26"/>
      <x:c r="E11" s="26"/>
      <x:c r="F11" s="26" t="str"/>
      <x:c r="G11" s="26" t="str">
        <x:v>Paid invoices only by Payment Date</x:v>
      </x:c>
    </x:row>
    <x:row r="12">
      <x:c r="A12" s="26"/>
      <x:c r="B12" s="26"/>
      <x:c r="C12" s="26"/>
      <x:c r="D12" s="26"/>
      <x:c r="E12" s="26"/>
      <x:c r="F12" s="26"/>
      <x:c r="G12" s="26"/>
    </x:row>
    <x:row r="13">
      <x:c r="A13" s="20" t="str">
        <x:v>Metric</x:v>
      </x:c>
      <x:c r="B13" s="20" t="str">
        <x:v>Seltzers</x:v>
      </x:c>
      <x:c r="C13" s="20" t="str">
        <x:v>Gummies</x:v>
      </x:c>
      <x:c r="D13" s="20" t="str">
        <x:v>Total</x:v>
      </x:c>
      <x:c r="E13" s="26"/>
      <x:c r="F13" s="26"/>
      <x:c r="G13" s="26"/>
    </x:row>
    <x:row r="14">
      <x:c r="A14" s="26" t="str">
        <x:v>Total Cases</x:v>
      </x:c>
      <x:c r="B14" s="117" t="n">
        <x:f>SUMIFS('Depletion Log'!$M$7:$M$56,'Depletion Log'!$H$7:$H$56,"Sales Rep 01",'Depletion Log'!$L$7:$L$56,"Seltzer")</x:f>
        <x:v>2</x:v>
      </x:c>
      <x:c r="C14" s="117" t="n">
        <x:f>SUMIFS('Depletion Log'!$M$7:$M$56,'Depletion Log'!$H$7:$H$56,"Sales Rep 01",'Depletion Log'!$L$7:$L$56,"Gummy")</x:f>
        <x:v>0</x:v>
      </x:c>
      <x:c r="D14" s="117" t="n">
        <x:f>B14+C14</x:f>
        <x:v>2</x:v>
      </x:c>
      <x:c r="E14" s="26"/>
      <x:c r="F14" s="26"/>
      <x:c r="G14" s="26"/>
    </x:row>
    <x:row r="15">
      <x:c r="A15" s="26" t="str">
        <x:v>Total Revenue</x:v>
      </x:c>
      <x:c r="B15" s="102" t="n">
        <x:f>SUMIFS('Depletion Log'!$O$7:$O$56,'Depletion Log'!$H$7:$H$56,"Sales Rep 01",'Depletion Log'!$L$7:$L$56,"Seltzer")</x:f>
        <x:v>160</x:v>
      </x:c>
      <x:c r="C15" s="102" t="n">
        <x:f>SUMIFS('Depletion Log'!$O$7:$O$56,'Depletion Log'!$H$7:$H$56,"Sales Rep 01",'Depletion Log'!$L$7:$L$56,"Gummy")</x:f>
        <x:v>0</x:v>
      </x:c>
      <x:c r="D15" s="102" t="n">
        <x:f>B15+C15</x:f>
        <x:v>160</x:v>
      </x:c>
      <x:c r="E15" s="26"/>
      <x:c r="F15" s="26"/>
      <x:c r="G15" s="26"/>
    </x:row>
    <x:row r="16">
      <x:c r="A16" s="26" t="str">
        <x:v>Total COGS</x:v>
      </x:c>
      <x:c r="B16" s="102" t="n">
        <x:f>SUMIFS('Depletion Log'!$T$7:$T$56,'Depletion Log'!$H$7:$H$56,"Sales Rep 01",'Depletion Log'!$L$7:$L$56,"Seltzer")</x:f>
        <x:v>96</x:v>
      </x:c>
      <x:c r="C16" s="102" t="n">
        <x:f>SUMIFS('Depletion Log'!$T$7:$T$56,'Depletion Log'!$H$7:$H$56,"Sales Rep 01",'Depletion Log'!$L$7:$L$56,"Gummy")</x:f>
        <x:v>0</x:v>
      </x:c>
      <x:c r="D16" s="102" t="n">
        <x:f>B16+C16</x:f>
        <x:v>96</x:v>
      </x:c>
      <x:c r="E16" s="26"/>
      <x:c r="F16" s="26"/>
      <x:c r="G16" s="26"/>
    </x:row>
    <x:row r="17">
      <x:c r="A17" s="26" t="str">
        <x:v>Gross Profit</x:v>
      </x:c>
      <x:c r="B17" s="102" t="n">
        <x:f>SUMIFS('Depletion Log'!$U$7:$U$56,'Depletion Log'!$H$7:$H$56,"Sales Rep 01",'Depletion Log'!$L$7:$L$56,"Seltzer")</x:f>
        <x:v>64</x:v>
      </x:c>
      <x:c r="C17" s="102" t="n">
        <x:f>SUMIFS('Depletion Log'!$U$7:$U$56,'Depletion Log'!$H$7:$H$56,"Sales Rep 01",'Depletion Log'!$L$7:$L$56,"Gummy")</x:f>
        <x:v>0</x:v>
      </x:c>
      <x:c r="D17" s="102" t="n">
        <x:f>B17+C17</x:f>
        <x:v>64</x:v>
      </x:c>
      <x:c r="E17" s="26"/>
      <x:c r="F17" s="26"/>
      <x:c r="G17" s="26"/>
    </x:row>
    <x:row r="18">
      <x:c r="A18" s="26" t="str">
        <x:v>Unique Invoices</x:v>
      </x:c>
      <x:c r="B18" s="117" t="n">
        <x:f>COUNTIFS('Depletion Log'!$H$7:$H$56,"Sales Rep 01",'Depletion Log'!$L$7:$L$56,"Seltzer",'Depletion Log'!$W$7:$W$56,1)</x:f>
        <x:v>1</x:v>
      </x:c>
      <x:c r="C18" s="117" t="n">
        <x:f>COUNTIFS('Depletion Log'!$H$7:$H$56,"Sales Rep 01",'Depletion Log'!$L$7:$L$56,"Gummy",'Depletion Log'!$W$7:$W$56,1)</x:f>
        <x:v>0</x:v>
      </x:c>
      <x:c r="D18" s="117" t="n">
        <x:f>B18+C18</x:f>
        <x:v>1</x:v>
      </x:c>
      <x:c r="E18" s="26"/>
      <x:c r="F18" s="26"/>
      <x:c r="G18" s="26"/>
    </x:row>
    <x:row r="19">
      <x:c r="A19" s="26" t="str">
        <x:v>Unique Invoices (All)</x:v>
      </x:c>
      <x:c r="B19" s="117"/>
      <x:c r="C19" s="117"/>
      <x:c r="D19" s="117" t="n">
        <x:f>COUNTIFS('Depletion Log'!$H$7:$H$56,"Sales Rep 01",'Depletion Log'!$W$7:$W$56,1)</x:f>
        <x:v>1</x:v>
      </x:c>
      <x:c r="E19" s="26"/>
      <x:c r="F19" s="26"/>
      <x:c r="G19" s="26"/>
    </x:row>
    <x:row r="20">
      <x:c r="A20" s="26"/>
      <x:c r="B20" s="26"/>
      <x:c r="C20" s="26"/>
      <x:c r="D20" s="26"/>
      <x:c r="E20" s="26"/>
      <x:c r="F20" s="26"/>
      <x:c r="G20" s="26"/>
    </x:row>
    <x:row r="21">
      <x:c r="A21" s="26"/>
      <x:c r="B21" s="26"/>
      <x:c r="C21" s="26"/>
      <x:c r="D21" s="26"/>
      <x:c r="E21" s="26"/>
      <x:c r="F21" s="26"/>
      <x:c r="G21" s="26"/>
    </x:row>
    <x:row r="22">
      <x:c r="A22" s="35" t="str">
        <x:v>COMMISSION CALCULATION</x:v>
      </x:c>
      <x:c r="B22" s="35" t="str"/>
      <x:c r="C22" s="35" t="str"/>
      <x:c r="D22" s="26"/>
      <x:c r="E22" s="26"/>
      <x:c r="F22" s="26"/>
      <x:c r="G22" s="26"/>
    </x:row>
    <x:row r="23">
      <x:c r="A23" s="26" t="str">
        <x:v>Commission Rates</x:v>
      </x:c>
      <x:c r="B23" s="26" t="str"/>
      <x:c r="C23" s="26"/>
      <x:c r="D23" s="26"/>
      <x:c r="E23" s="26"/>
      <x:c r="F23" s="26"/>
      <x:c r="G23" s="26"/>
    </x:row>
    <x:row r="24">
      <x:c r="A24" s="26" t="str">
        <x:v>New Account Rate</x:v>
      </x:c>
      <x:c r="B24" s="118" t="n">
        <x:v>0.1</x:v>
      </x:c>
      <x:c r="C24" s="26"/>
      <x:c r="D24" s="26"/>
      <x:c r="E24" s="26"/>
      <x:c r="F24" s="26"/>
      <x:c r="G24" s="26"/>
    </x:row>
    <x:row r="25">
      <x:c r="A25" s="26" t="str">
        <x:v>Reorder Rate</x:v>
      </x:c>
      <x:c r="B25" s="118" t="n">
        <x:v>0.05</x:v>
      </x:c>
      <x:c r="C25" s="26"/>
      <x:c r="D25" s="26"/>
      <x:c r="E25" s="26"/>
      <x:c r="F25" s="26"/>
      <x:c r="G25" s="26"/>
    </x:row>
    <x:row r="26">
      <x:c r="A26" s="26" t="str">
        <x:v>Mileage Rate ($/mile)</x:v>
      </x:c>
      <x:c r="B26" s="60" t="n">
        <x:v>0.5</x:v>
      </x:c>
      <x:c r="C26" s="26"/>
      <x:c r="D26" s="26"/>
      <x:c r="E26" s="26"/>
      <x:c r="F26" s="26"/>
      <x:c r="G26" s="26"/>
    </x:row>
    <x:row r="27">
      <x:c r="A27" s="26" t="str">
        <x:v>Bonus Threshold</x:v>
      </x:c>
      <x:c r="B27" s="60" t="n">
        <x:v>10000</x:v>
      </x:c>
      <x:c r="C27" s="26"/>
      <x:c r="D27" s="26"/>
      <x:c r="E27" s="26"/>
      <x:c r="F27" s="26"/>
      <x:c r="G27" s="26"/>
    </x:row>
    <x:row r="28">
      <x:c r="A28" s="26"/>
      <x:c r="B28" s="26"/>
      <x:c r="C28" s="26"/>
      <x:c r="D28" s="26"/>
      <x:c r="E28" s="26"/>
      <x:c r="F28" s="26"/>
      <x:c r="G28" s="26"/>
    </x:row>
    <x:row r="29">
      <x:c r="A29" s="20" t="str">
        <x:v>Paid Revenue Breakdown (All-Time)</x:v>
      </x:c>
      <x:c r="B29" s="20" t="str">
        <x:v>Amount</x:v>
      </x:c>
      <x:c r="C29" s="20" t="str">
        <x:v>Commission</x:v>
      </x:c>
      <x:c r="D29" s="26"/>
      <x:c r="E29" s="26"/>
      <x:c r="F29" s="26"/>
      <x:c r="G29" s="26"/>
    </x:row>
    <x:row r="30">
      <x:c r="A30" s="26" t="str">
        <x:v>New Paid Revenue</x:v>
      </x:c>
      <x:c r="B30" s="102" t="n">
        <x:f>SUMIFS('Depletion Log'!$O$7:$O$56,'Depletion Log'!$H$7:$H$56,"Sales Rep 01",'Depletion Log'!$P$7:$P$56,"Paid",'Depletion Log'!$R$7:$R$56,"New")</x:f>
        <x:v>160</x:v>
      </x:c>
      <x:c r="C30" s="102" t="n">
        <x:f>B30*$B$24</x:f>
        <x:v>16</x:v>
      </x:c>
      <x:c r="D30" s="26"/>
      <x:c r="E30" s="26"/>
      <x:c r="F30" s="26"/>
      <x:c r="G30" s="26"/>
    </x:row>
    <x:row r="31">
      <x:c r="A31" s="26" t="str">
        <x:v>Reorder Paid Revenue</x:v>
      </x:c>
      <x:c r="B31" s="102" t="n">
        <x:f>SUMIFS('Depletion Log'!$O$7:$O$56,'Depletion Log'!$H$7:$H$56,"Sales Rep 01",'Depletion Log'!$P$7:$P$56,"Paid",'Depletion Log'!$R$7:$R$56,"Reorder")</x:f>
        <x:v>0</x:v>
      </x:c>
      <x:c r="C31" s="102" t="n">
        <x:f>B31*$B$25</x:f>
        <x:v>0</x:v>
      </x:c>
      <x:c r="D31" s="26"/>
      <x:c r="E31" s="26"/>
      <x:c r="F31" s="26"/>
      <x:c r="G31" s="26"/>
    </x:row>
    <x:row r="32">
      <x:c r="A32" s="26" t="str">
        <x:v>Unpaid/Pending Revenue</x:v>
      </x:c>
      <x:c r="B32" s="102" t="n">
        <x:f>SUMIFS('Depletion Log'!$O$7:$O$56,'Depletion Log'!$H$7:$H$56,"Sales Rep 01",'Depletion Log'!$P$7:$P$56,"&lt;&gt;Paid")</x:f>
        <x:v>0</x:v>
      </x:c>
      <x:c r="C32" s="102" t="str">
        <x:v>Pending until paid</x:v>
      </x:c>
      <x:c r="D32" s="26"/>
      <x:c r="E32" s="26"/>
      <x:c r="F32" s="26"/>
      <x:c r="G32" s="26"/>
    </x:row>
    <x:row r="33">
      <x:c r="A33" s="26" t="str">
        <x:v>Untagged Paid Revenue</x:v>
      </x:c>
      <x:c r="B33" s="102" t="n">
        <x:f>SUMIFS('Depletion Log'!$O$7:$O$56,'Depletion Log'!$H$7:$H$56,"Sales Rep 01",'Depletion Log'!$P$7:$P$56,"Paid",'Depletion Log'!$R$7:$R$56,"")</x:f>
        <x:v>0</x:v>
      </x:c>
      <x:c r="C33" s="102" t="str">
        <x:v>Tag as New/Reorder</x:v>
      </x:c>
      <x:c r="D33" s="26"/>
      <x:c r="E33" s="26"/>
      <x:c r="F33" s="26"/>
      <x:c r="G33" s="26"/>
    </x:row>
    <x:row r="34">
      <x:c r="A34" s="26"/>
      <x:c r="B34" s="102"/>
      <x:c r="C34" s="102"/>
      <x:c r="D34" s="26"/>
      <x:c r="E34" s="26"/>
      <x:c r="F34" s="26"/>
      <x:c r="G34" s="26"/>
    </x:row>
    <x:row r="35">
      <x:c r="A35" s="26" t="str">
        <x:v>PAID COMMISSION ELIGIBLE</x:v>
      </x:c>
      <x:c r="B35" s="102" t="str"/>
      <x:c r="C35" s="102" t="n">
        <x:f>C30+C31</x:f>
        <x:v>16</x:v>
      </x:c>
      <x:c r="D35" s="26"/>
      <x:c r="E35" s="26"/>
      <x:c r="F35" s="26"/>
      <x:c r="G35" s="26"/>
    </x:row>
    <x:row r="36">
      <x:c r="A36" s="26" t="str">
        <x:v>PENDING COMMISSION ESTIMATE</x:v>
      </x:c>
      <x:c r="B36" s="102" t="str"/>
      <x:c r="C36" s="102" t="n">
        <x:f>B32*MAX($B$24,$B$25)</x:f>
        <x:v>0</x:v>
      </x:c>
      <x:c r="D36" s="26"/>
      <x:c r="E36" s="26"/>
      <x:c r="F36" s="26"/>
      <x:c r="G36" s="26"/>
    </x:row>
    <x:row r="37">
      <x:c r="A37" s="26" t="str">
        <x:v>GROSS COMMISSION</x:v>
      </x:c>
      <x:c r="B37" s="102" t="str"/>
      <x:c r="C37" s="102" t="n">
        <x:f>IF(B30+B31&gt;$B$27,$C$35*1.03,$C$35)</x:f>
        <x:v>16</x:v>
      </x:c>
      <x:c r="D37" s="26"/>
      <x:c r="E37" s="26"/>
      <x:c r="F37" s="26"/>
      <x:c r="G37" s="26"/>
    </x:row>
    <x:row r="38">
      <x:c r="A38" s="26"/>
      <x:c r="B38" s="26"/>
      <x:c r="C38" s="26"/>
      <x:c r="D38" s="26"/>
      <x:c r="E38" s="26"/>
      <x:c r="F38" s="26"/>
      <x:c r="G38" s="26"/>
    </x:row>
    <x:row r="39">
      <x:c r="A39" s="26"/>
      <x:c r="B39" s="26"/>
      <x:c r="C39" s="26"/>
      <x:c r="D39" s="26"/>
      <x:c r="E39" s="26"/>
      <x:c r="F39" s="26"/>
      <x:c r="G39" s="26"/>
    </x:row>
    <x:row r="40">
      <x:c r="A40" s="35" t="str">
        <x:v>1099 TAX ESTIMATE — ILLUSTRATIVE</x:v>
      </x:c>
      <x:c r="B40" s="35" t="str"/>
      <x:c r="C40" s="35" t="str"/>
      <x:c r="D40" s="26"/>
      <x:c r="E40" s="26"/>
      <x:c r="F40" s="26"/>
      <x:c r="G40" s="26"/>
    </x:row>
    <x:row r="41">
      <x:c r="A41" s="26" t="str">
        <x:v>Tax Rates (adjustable)</x:v>
      </x:c>
      <x:c r="B41" s="26" t="str"/>
      <x:c r="C41" s="26"/>
      <x:c r="D41" s="26"/>
      <x:c r="E41" s="26"/>
      <x:c r="F41" s="26"/>
      <x:c r="G41" s="26"/>
    </x:row>
    <x:row r="42">
      <x:c r="A42" s="26" t="str">
        <x:v>Self-Employment Tax Rate</x:v>
      </x:c>
      <x:c r="B42" s="119" t="n">
        <x:v>0.153</x:v>
      </x:c>
      <x:c r="C42" s="26"/>
      <x:c r="D42" s="26"/>
      <x:c r="E42" s="26"/>
      <x:c r="F42" s="26"/>
      <x:c r="G42" s="26"/>
    </x:row>
    <x:row r="43">
      <x:c r="A43" s="26" t="str">
        <x:v>Federal Income Tax Rate</x:v>
      </x:c>
      <x:c r="B43" s="119" t="n">
        <x:v>0.22</x:v>
      </x:c>
      <x:c r="C43" s="26"/>
      <x:c r="D43" s="26"/>
      <x:c r="E43" s="26"/>
      <x:c r="F43" s="26"/>
      <x:c r="G43" s="26"/>
    </x:row>
    <x:row r="44">
      <x:c r="A44" s="26" t="str">
        <x:v>MN State Tax Rate</x:v>
      </x:c>
      <x:c r="B44" s="119" t="n">
        <x:v>0.0985</x:v>
      </x:c>
      <x:c r="C44" s="26"/>
      <x:c r="D44" s="26"/>
      <x:c r="E44" s="26"/>
      <x:c r="F44" s="26"/>
      <x:c r="G44" s="26"/>
    </x:row>
    <x:row r="45">
      <x:c r="A45" s="26"/>
      <x:c r="B45" s="26"/>
      <x:c r="C45" s="26"/>
      <x:c r="D45" s="26"/>
      <x:c r="E45" s="26"/>
      <x:c r="F45" s="26"/>
      <x:c r="G45" s="26"/>
    </x:row>
    <x:row r="46">
      <x:c r="A46" s="26" t="str">
        <x:v>Self-Employment Tax</x:v>
      </x:c>
      <x:c r="B46" s="102" t="n">
        <x:f>$C$37*$B$42</x:f>
        <x:v>2.448</x:v>
      </x:c>
      <x:c r="C46" s="26"/>
      <x:c r="D46" s="26"/>
      <x:c r="E46" s="26"/>
      <x:c r="F46" s="26"/>
      <x:c r="G46" s="26"/>
    </x:row>
    <x:row r="47">
      <x:c r="A47" s="26" t="str">
        <x:v>Deductible SE (50%)</x:v>
      </x:c>
      <x:c r="B47" s="102" t="n">
        <x:f>B46*0.5</x:f>
        <x:v>1.224</x:v>
      </x:c>
      <x:c r="C47" s="26"/>
      <x:c r="D47" s="26"/>
      <x:c r="E47" s="26"/>
      <x:c r="F47" s="26"/>
      <x:c r="G47" s="26"/>
    </x:row>
    <x:row r="48">
      <x:c r="A48" s="26" t="str">
        <x:v>Federal Income Tax</x:v>
      </x:c>
      <x:c r="B48" s="102" t="n">
        <x:f>MAX(0,$C$37-B47)*$B$43</x:f>
        <x:v>3.25072</x:v>
      </x:c>
      <x:c r="C48" s="26"/>
      <x:c r="D48" s="26"/>
      <x:c r="E48" s="26"/>
      <x:c r="F48" s="26"/>
      <x:c r="G48" s="26"/>
    </x:row>
    <x:row r="49">
      <x:c r="A49" s="26" t="str">
        <x:v>MN State Income Tax</x:v>
      </x:c>
      <x:c r="B49" s="102" t="n">
        <x:f>MAX(0,$C$37-B47)*$B$44</x:f>
        <x:v>1.455436</x:v>
      </x:c>
      <x:c r="C49" s="26"/>
      <x:c r="D49" s="26"/>
      <x:c r="E49" s="26"/>
      <x:c r="F49" s="26"/>
      <x:c r="G49" s="26"/>
    </x:row>
    <x:row r="50">
      <x:c r="A50" s="26" t="str">
        <x:v>TOTAL ESTIMATED TAX</x:v>
      </x:c>
      <x:c r="B50" s="102" t="n">
        <x:f>SUM(B46,B48,B49)</x:f>
        <x:v>7.1541559999999995</x:v>
      </x:c>
      <x:c r="C50" s="26"/>
      <x:c r="D50" s="26"/>
      <x:c r="E50" s="26"/>
      <x:c r="F50" s="26"/>
      <x:c r="G50" s="26"/>
    </x:row>
    <x:row r="51">
      <x:c r="A51" s="26" t="str">
        <x:v>Estimated Net Payout</x:v>
      </x:c>
      <x:c r="B51" s="102" t="n">
        <x:f>$C$37-B50</x:f>
        <x:v>8.845844</x:v>
      </x:c>
      <x:c r="C51" s="26"/>
      <x:c r="D51" s="26"/>
      <x:c r="E51" s="26"/>
      <x:c r="F51" s="26"/>
      <x:c r="G51" s="26"/>
    </x:row>
    <x:row r="52">
      <x:c r="A52" s="26"/>
      <x:c r="B52" s="26"/>
      <x:c r="C52" s="26"/>
      <x:c r="D52" s="26"/>
      <x:c r="E52" s="26"/>
      <x:c r="F52" s="26"/>
      <x:c r="G52" s="26"/>
    </x:row>
    <x:row r="53">
      <x:c r="A53" s="12" t="str">
        <x:v>Illustrative only. Replace mock rates only in a restricted internal production copy and consult a tax professional for actual obligations.</x:v>
      </x:c>
      <x:c r="B53" s="12"/>
      <x:c r="C53" s="12"/>
      <x:c r="D53" s="12"/>
      <x:c r="E53" s="12"/>
      <x:c r="F53" s="12"/>
      <x:c r="G53" s="12"/>
    </x:row>
  </x:sheetData>
  <x:mergeCells>
    <x:mergeCell ref="A1:G1"/>
    <x:mergeCell ref="A2:G2"/>
    <x:mergeCell ref="A53:G5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</x:cols>
  <x:sheetData>
    <x:row r="1" ht="28" customHeight="1">
      <x:c r="A1" s="66" t="str">
        <x:v>LAGOM NATURALS — SALES REP 02 COMMISSION DASHBOARD — SANITIZED</x:v>
      </x:c>
      <x:c r="B1" s="66"/>
      <x:c r="C1" s="66"/>
      <x:c r="D1" s="66"/>
      <x:c r="E1" s="66"/>
      <x:c r="F1" s="66"/>
      <x:c r="G1" s="66"/>
    </x:row>
    <x:row r="2">
      <x:c r="A2" s="12" t="str">
        <x:v>All values calculate from sanitized Depletion Log. Commission/mileage inputs are synthetic examples, not real compensation terms.</x:v>
      </x:c>
      <x:c r="B2" s="12"/>
      <x:c r="C2" s="12"/>
      <x:c r="D2" s="12"/>
      <x:c r="E2" s="12"/>
      <x:c r="F2" s="12"/>
      <x:c r="G2" s="12"/>
    </x:row>
    <x:row r="3">
      <x:c r="A3" s="26"/>
      <x:c r="B3" s="26"/>
      <x:c r="C3" s="26"/>
      <x:c r="D3" s="26"/>
      <x:c r="E3" s="26"/>
      <x:c r="F3" s="26"/>
      <x:c r="G3" s="26"/>
    </x:row>
    <x:row r="4">
      <x:c r="A4" s="35" t="str">
        <x:v>BI-WEEKLY PAY PERIOD VIEW</x:v>
      </x:c>
      <x:c r="B4" s="35" t="str"/>
      <x:c r="C4" s="35" t="str"/>
      <x:c r="D4" s="35" t="str"/>
      <x:c r="E4" s="35" t="str"/>
      <x:c r="F4" s="35" t="str">
        <x:v>PERIOD SUMMARY</x:v>
      </x:c>
      <x:c r="G4" s="35" t="str"/>
    </x:row>
    <x:row r="5">
      <x:c r="A5" s="26" t="str">
        <x:v>Pay Period End:</x:v>
      </x:c>
      <x:c r="B5" s="61" t="n">
        <x:v>46292</x:v>
      </x:c>
      <x:c r="C5" s="26"/>
      <x:c r="D5" s="26"/>
      <x:c r="E5" s="26"/>
      <x:c r="F5" s="26" t="str">
        <x:v>Period Start:</x:v>
      </x:c>
      <x:c r="G5" s="61" t="n">
        <x:v>46279</x:v>
      </x:c>
    </x:row>
    <x:row r="6">
      <x:c r="A6" s="26" t="str">
        <x:v>Covered Dates:</x:v>
      </x:c>
      <x:c r="B6" s="26" t="str">
        <x:v>09/14/2026 - 09/27/2026</x:v>
      </x:c>
      <x:c r="C6" s="26"/>
      <x:c r="D6" s="26"/>
      <x:c r="E6" s="26"/>
      <x:c r="F6" s="26" t="str">
        <x:v>Period End:</x:v>
      </x:c>
      <x:c r="G6" s="61" t="n">
        <x:v>46292</x:v>
      </x:c>
    </x:row>
    <x:row r="7">
      <x:c r="A7" s="20" t="str">
        <x:v>Metric</x:v>
      </x:c>
      <x:c r="B7" s="20" t="str">
        <x:v>Amount</x:v>
      </x:c>
      <x:c r="C7" s="26"/>
      <x:c r="D7" s="26"/>
      <x:c r="E7" s="26"/>
      <x:c r="F7" s="20" t="str">
        <x:v>Period Cases</x:v>
      </x:c>
      <x:c r="G7" s="20" t="n">
        <x:f>SUMIFS('Depletion Log'!$M$7:$M$56,'Depletion Log'!$H$7:$H$56,"Sales Rep 02",'Depletion Log'!$A$7:$A$56,"&gt;="&amp;$G$5,'Depletion Log'!$A$7:$A$56,"&lt;="&amp;$G$6)</x:f>
        <x:v>0</x:v>
      </x:c>
    </x:row>
    <x:row r="8">
      <x:c r="A8" s="26" t="str">
        <x:v>Gross Revenue (Invoiced in Period)</x:v>
      </x:c>
      <x:c r="B8" s="102" t="n">
        <x:f>SUMIFS('Depletion Log'!$O$7:$O$56,'Depletion Log'!$H$7:$H$56,"Sales Rep 02",'Depletion Log'!$A$7:$A$56,"&gt;="&amp;$G$5,'Depletion Log'!$A$7:$A$56,"&lt;="&amp;$G$6)</x:f>
        <x:v>0</x:v>
      </x:c>
      <x:c r="C8" s="26"/>
      <x:c r="D8" s="26"/>
      <x:c r="E8" s="26"/>
      <x:c r="F8" s="26" t="str">
        <x:v>Period New Paid Rev</x:v>
      </x:c>
      <x:c r="G8" s="102" t="n">
        <x:f>SUMIFS('Depletion Log'!$O$7:$O$56,'Depletion Log'!$H$7:$H$56,"Sales Rep 02",'Depletion Log'!$R$7:$R$56,"New",'Depletion Log'!$P$7:$P$56,"Paid",'Depletion Log'!$AI$7:$AI$56,"&gt;="&amp;$G$5,'Depletion Log'!$AI$7:$AI$56,"&lt;="&amp;$G$6)</x:f>
        <x:v>0</x:v>
      </x:c>
    </x:row>
    <x:row r="9">
      <x:c r="A9" s="26" t="str">
        <x:v>Paid Revenue Eligible (Payment Date)</x:v>
      </x:c>
      <x:c r="B9" s="102" t="n">
        <x:f>SUMIFS('Depletion Log'!$O$7:$O$56,'Depletion Log'!$H$7:$H$56,"Sales Rep 02",'Depletion Log'!$P$7:$P$56,"Paid",'Depletion Log'!$AI$7:$AI$56,"&gt;="&amp;$G$5,'Depletion Log'!$AI$7:$AI$56,"&lt;="&amp;$G$6)</x:f>
        <x:v>0</x:v>
      </x:c>
      <x:c r="C9" s="26"/>
      <x:c r="D9" s="26"/>
      <x:c r="E9" s="26"/>
      <x:c r="F9" s="26" t="str">
        <x:v>Period Reorder Paid Rev</x:v>
      </x:c>
      <x:c r="G9" s="102" t="n">
        <x:f>SUMIFS('Depletion Log'!$O$7:$O$56,'Depletion Log'!$H$7:$H$56,"Sales Rep 02",'Depletion Log'!$R$7:$R$56,"Reorder",'Depletion Log'!$P$7:$P$56,"Paid",'Depletion Log'!$AI$7:$AI$56,"&gt;="&amp;$G$5,'Depletion Log'!$AI$7:$AI$56,"&lt;="&amp;$G$6)</x:f>
        <x:v>0</x:v>
      </x:c>
    </x:row>
    <x:row r="10">
      <x:c r="A10" s="26" t="str">
        <x:v>Total AR Tied to Rep</x:v>
      </x:c>
      <x:c r="B10" s="102" t="n">
        <x:f>SUMIFS('Depletion Log'!$AC$7:$AC$56,'Depletion Log'!$H$7:$H$56,"Sales Rep 02",'Depletion Log'!$W$7:$W$56,1)</x:f>
        <x:v>0</x:v>
      </x:c>
      <x:c r="C10" s="26"/>
      <x:c r="D10" s="26"/>
      <x:c r="E10" s="26"/>
      <x:c r="F10" s="26" t="str">
        <x:v>PERIOD COMMISSION</x:v>
      </x:c>
      <x:c r="G10" s="102" t="n">
        <x:f>G8*$B$24+G9*$B$25</x:f>
        <x:v>0</x:v>
      </x:c>
    </x:row>
    <x:row r="11">
      <x:c r="A11" s="26" t="str">
        <x:v>Paid Commission Eligible</x:v>
      </x:c>
      <x:c r="B11" s="102" t="n">
        <x:f>SUMIFS('Depletion Log'!$O$7:$O$56,'Depletion Log'!$H$7:$H$56,"Sales Rep 02",'Depletion Log'!$P$7:$P$56,"Paid",'Depletion Log'!$AI$7:$AI$56,"&gt;="&amp;$G$5,'Depletion Log'!$AI$7:$AI$56,"&lt;="&amp;$G$6)</x:f>
        <x:v>0</x:v>
      </x:c>
      <x:c r="C11" s="26"/>
      <x:c r="D11" s="26"/>
      <x:c r="E11" s="26"/>
      <x:c r="F11" s="26" t="str"/>
      <x:c r="G11" s="26" t="str">
        <x:v>Paid invoices only by Payment Date</x:v>
      </x:c>
    </x:row>
    <x:row r="12">
      <x:c r="A12" s="26"/>
      <x:c r="B12" s="26"/>
      <x:c r="C12" s="26"/>
      <x:c r="D12" s="26"/>
      <x:c r="E12" s="26"/>
      <x:c r="F12" s="26"/>
      <x:c r="G12" s="26"/>
    </x:row>
    <x:row r="13">
      <x:c r="A13" s="20" t="str">
        <x:v>Metric</x:v>
      </x:c>
      <x:c r="B13" s="20" t="str">
        <x:v>Seltzers</x:v>
      </x:c>
      <x:c r="C13" s="20" t="str">
        <x:v>Gummies</x:v>
      </x:c>
      <x:c r="D13" s="20" t="str">
        <x:v>Total</x:v>
      </x:c>
      <x:c r="E13" s="26"/>
      <x:c r="F13" s="26"/>
      <x:c r="G13" s="26"/>
    </x:row>
    <x:row r="14">
      <x:c r="A14" s="26" t="str">
        <x:v>Total Cases</x:v>
      </x:c>
      <x:c r="B14" s="117" t="n">
        <x:f>SUMIFS('Depletion Log'!$M$7:$M$56,'Depletion Log'!$H$7:$H$56,"Sales Rep 02",'Depletion Log'!$L$7:$L$56,"Seltzer")</x:f>
        <x:v>2</x:v>
      </x:c>
      <x:c r="C14" s="117" t="n">
        <x:f>SUMIFS('Depletion Log'!$M$7:$M$56,'Depletion Log'!$H$7:$H$56,"Sales Rep 02",'Depletion Log'!$L$7:$L$56,"Gummy")</x:f>
        <x:v>0</x:v>
      </x:c>
      <x:c r="D14" s="117" t="n">
        <x:f>B14+C14</x:f>
        <x:v>2</x:v>
      </x:c>
      <x:c r="E14" s="26"/>
      <x:c r="F14" s="26"/>
      <x:c r="G14" s="26"/>
    </x:row>
    <x:row r="15">
      <x:c r="A15" s="26" t="str">
        <x:v>Total Revenue</x:v>
      </x:c>
      <x:c r="B15" s="102" t="n">
        <x:f>SUMIFS('Depletion Log'!$O$7:$O$56,'Depletion Log'!$H$7:$H$56,"Sales Rep 02",'Depletion Log'!$L$7:$L$56,"Seltzer")</x:f>
        <x:v>164</x:v>
      </x:c>
      <x:c r="C15" s="102" t="n">
        <x:f>SUMIFS('Depletion Log'!$O$7:$O$56,'Depletion Log'!$H$7:$H$56,"Sales Rep 02",'Depletion Log'!$L$7:$L$56,"Gummy")</x:f>
        <x:v>0</x:v>
      </x:c>
      <x:c r="D15" s="102" t="n">
        <x:f>B15+C15</x:f>
        <x:v>164</x:v>
      </x:c>
      <x:c r="E15" s="26"/>
      <x:c r="F15" s="26"/>
      <x:c r="G15" s="26"/>
    </x:row>
    <x:row r="16">
      <x:c r="A16" s="26" t="str">
        <x:v>Total COGS</x:v>
      </x:c>
      <x:c r="B16" s="102" t="n">
        <x:f>SUMIFS('Depletion Log'!$T$7:$T$56,'Depletion Log'!$H$7:$H$56,"Sales Rep 02",'Depletion Log'!$L$7:$L$56,"Seltzer")</x:f>
        <x:v>96</x:v>
      </x:c>
      <x:c r="C16" s="102" t="n">
        <x:f>SUMIFS('Depletion Log'!$T$7:$T$56,'Depletion Log'!$H$7:$H$56,"Sales Rep 02",'Depletion Log'!$L$7:$L$56,"Gummy")</x:f>
        <x:v>0</x:v>
      </x:c>
      <x:c r="D16" s="102" t="n">
        <x:f>B16+C16</x:f>
        <x:v>96</x:v>
      </x:c>
      <x:c r="E16" s="26"/>
      <x:c r="F16" s="26"/>
      <x:c r="G16" s="26"/>
    </x:row>
    <x:row r="17">
      <x:c r="A17" s="26" t="str">
        <x:v>Gross Profit</x:v>
      </x:c>
      <x:c r="B17" s="102" t="n">
        <x:f>SUMIFS('Depletion Log'!$U$7:$U$56,'Depletion Log'!$H$7:$H$56,"Sales Rep 02",'Depletion Log'!$L$7:$L$56,"Seltzer")</x:f>
        <x:v>68</x:v>
      </x:c>
      <x:c r="C17" s="102" t="n">
        <x:f>SUMIFS('Depletion Log'!$U$7:$U$56,'Depletion Log'!$H$7:$H$56,"Sales Rep 02",'Depletion Log'!$L$7:$L$56,"Gummy")</x:f>
        <x:v>0</x:v>
      </x:c>
      <x:c r="D17" s="102" t="n">
        <x:f>B17+C17</x:f>
        <x:v>68</x:v>
      </x:c>
      <x:c r="E17" s="26"/>
      <x:c r="F17" s="26"/>
      <x:c r="G17" s="26"/>
    </x:row>
    <x:row r="18">
      <x:c r="A18" s="26" t="str">
        <x:v>Unique Invoices</x:v>
      </x:c>
      <x:c r="B18" s="117" t="n">
        <x:f>COUNTIFS('Depletion Log'!$H$7:$H$56,"Sales Rep 02",'Depletion Log'!$L$7:$L$56,"Seltzer",'Depletion Log'!$W$7:$W$56,1)</x:f>
        <x:v>1</x:v>
      </x:c>
      <x:c r="C18" s="117" t="n">
        <x:f>COUNTIFS('Depletion Log'!$H$7:$H$56,"Sales Rep 02",'Depletion Log'!$L$7:$L$56,"Gummy",'Depletion Log'!$W$7:$W$56,1)</x:f>
        <x:v>0</x:v>
      </x:c>
      <x:c r="D18" s="117" t="n">
        <x:f>B18+C18</x:f>
        <x:v>1</x:v>
      </x:c>
      <x:c r="E18" s="26"/>
      <x:c r="F18" s="26"/>
      <x:c r="G18" s="26"/>
    </x:row>
    <x:row r="19">
      <x:c r="A19" s="26" t="str">
        <x:v>Unique Invoices (All)</x:v>
      </x:c>
      <x:c r="B19" s="117"/>
      <x:c r="C19" s="117"/>
      <x:c r="D19" s="117" t="n">
        <x:f>COUNTIFS('Depletion Log'!$H$7:$H$56,"Sales Rep 02",'Depletion Log'!$W$7:$W$56,1)</x:f>
        <x:v>1</x:v>
      </x:c>
      <x:c r="E19" s="26"/>
      <x:c r="F19" s="26"/>
      <x:c r="G19" s="26"/>
    </x:row>
    <x:row r="20">
      <x:c r="A20" s="26"/>
      <x:c r="B20" s="26"/>
      <x:c r="C20" s="26"/>
      <x:c r="D20" s="26"/>
      <x:c r="E20" s="26"/>
      <x:c r="F20" s="26"/>
      <x:c r="G20" s="26"/>
    </x:row>
    <x:row r="21">
      <x:c r="A21" s="26"/>
      <x:c r="B21" s="26"/>
      <x:c r="C21" s="26"/>
      <x:c r="D21" s="26"/>
      <x:c r="E21" s="26"/>
      <x:c r="F21" s="26"/>
      <x:c r="G21" s="26"/>
    </x:row>
    <x:row r="22">
      <x:c r="A22" s="35" t="str">
        <x:v>COMMISSION CALCULATION</x:v>
      </x:c>
      <x:c r="B22" s="35" t="str"/>
      <x:c r="C22" s="35" t="str"/>
      <x:c r="D22" s="26"/>
      <x:c r="E22" s="26"/>
      <x:c r="F22" s="26"/>
      <x:c r="G22" s="26"/>
    </x:row>
    <x:row r="23">
      <x:c r="A23" s="26" t="str">
        <x:v>Commission Rates</x:v>
      </x:c>
      <x:c r="B23" s="26" t="str"/>
      <x:c r="C23" s="26"/>
      <x:c r="D23" s="26"/>
      <x:c r="E23" s="26"/>
      <x:c r="F23" s="26"/>
      <x:c r="G23" s="26"/>
    </x:row>
    <x:row r="24">
      <x:c r="A24" s="26" t="str">
        <x:v>New Account Rate</x:v>
      </x:c>
      <x:c r="B24" s="118" t="n">
        <x:v>0.1</x:v>
      </x:c>
      <x:c r="C24" s="26"/>
      <x:c r="D24" s="26"/>
      <x:c r="E24" s="26"/>
      <x:c r="F24" s="26"/>
      <x:c r="G24" s="26"/>
    </x:row>
    <x:row r="25">
      <x:c r="A25" s="26" t="str">
        <x:v>Reorder Rate</x:v>
      </x:c>
      <x:c r="B25" s="118" t="n">
        <x:v>0.05</x:v>
      </x:c>
      <x:c r="C25" s="26"/>
      <x:c r="D25" s="26"/>
      <x:c r="E25" s="26"/>
      <x:c r="F25" s="26"/>
      <x:c r="G25" s="26"/>
    </x:row>
    <x:row r="26">
      <x:c r="A26" s="26" t="str">
        <x:v>Mileage Rate ($/mile)</x:v>
      </x:c>
      <x:c r="B26" s="60" t="n">
        <x:v>0.5</x:v>
      </x:c>
      <x:c r="C26" s="26"/>
      <x:c r="D26" s="26"/>
      <x:c r="E26" s="26"/>
      <x:c r="F26" s="26"/>
      <x:c r="G26" s="26"/>
    </x:row>
    <x:row r="27">
      <x:c r="A27" s="26" t="str">
        <x:v>Bonus Threshold</x:v>
      </x:c>
      <x:c r="B27" s="60" t="n">
        <x:v>10000</x:v>
      </x:c>
      <x:c r="C27" s="26"/>
      <x:c r="D27" s="26"/>
      <x:c r="E27" s="26"/>
      <x:c r="F27" s="26"/>
      <x:c r="G27" s="26"/>
    </x:row>
    <x:row r="28">
      <x:c r="A28" s="26"/>
      <x:c r="B28" s="26"/>
      <x:c r="C28" s="26"/>
      <x:c r="D28" s="26"/>
      <x:c r="E28" s="26"/>
      <x:c r="F28" s="26"/>
      <x:c r="G28" s="26"/>
    </x:row>
    <x:row r="29">
      <x:c r="A29" s="20" t="str">
        <x:v>Paid Revenue Breakdown (All-Time)</x:v>
      </x:c>
      <x:c r="B29" s="20" t="str">
        <x:v>Amount</x:v>
      </x:c>
      <x:c r="C29" s="20" t="str">
        <x:v>Commission</x:v>
      </x:c>
      <x:c r="D29" s="26"/>
      <x:c r="E29" s="26"/>
      <x:c r="F29" s="26"/>
      <x:c r="G29" s="26"/>
    </x:row>
    <x:row r="30">
      <x:c r="A30" s="26" t="str">
        <x:v>New Paid Revenue</x:v>
      </x:c>
      <x:c r="B30" s="102" t="n">
        <x:f>SUMIFS('Depletion Log'!$O$7:$O$56,'Depletion Log'!$H$7:$H$56,"Sales Rep 02",'Depletion Log'!$P$7:$P$56,"Paid",'Depletion Log'!$R$7:$R$56,"New")</x:f>
        <x:v>0</x:v>
      </x:c>
      <x:c r="C30" s="102" t="n">
        <x:f>B30*$B$24</x:f>
        <x:v>0</x:v>
      </x:c>
      <x:c r="D30" s="26"/>
      <x:c r="E30" s="26"/>
      <x:c r="F30" s="26"/>
      <x:c r="G30" s="26"/>
    </x:row>
    <x:row r="31">
      <x:c r="A31" s="26" t="str">
        <x:v>Reorder Paid Revenue</x:v>
      </x:c>
      <x:c r="B31" s="102" t="n">
        <x:f>SUMIFS('Depletion Log'!$O$7:$O$56,'Depletion Log'!$H$7:$H$56,"Sales Rep 02",'Depletion Log'!$P$7:$P$56,"Paid",'Depletion Log'!$R$7:$R$56,"Reorder")</x:f>
        <x:v>164</x:v>
      </x:c>
      <x:c r="C31" s="102" t="n">
        <x:f>B31*$B$25</x:f>
        <x:v>8.200000000000001</x:v>
      </x:c>
      <x:c r="D31" s="26"/>
      <x:c r="E31" s="26"/>
      <x:c r="F31" s="26"/>
      <x:c r="G31" s="26"/>
    </x:row>
    <x:row r="32">
      <x:c r="A32" s="26" t="str">
        <x:v>Unpaid/Pending Revenue</x:v>
      </x:c>
      <x:c r="B32" s="102" t="n">
        <x:f>SUMIFS('Depletion Log'!$O$7:$O$56,'Depletion Log'!$H$7:$H$56,"Sales Rep 02",'Depletion Log'!$P$7:$P$56,"&lt;&gt;Paid")</x:f>
        <x:v>0</x:v>
      </x:c>
      <x:c r="C32" s="102" t="str">
        <x:v>Pending until paid</x:v>
      </x:c>
      <x:c r="D32" s="26"/>
      <x:c r="E32" s="26"/>
      <x:c r="F32" s="26"/>
      <x:c r="G32" s="26"/>
    </x:row>
    <x:row r="33">
      <x:c r="A33" s="26" t="str">
        <x:v>Untagged Paid Revenue</x:v>
      </x:c>
      <x:c r="B33" s="102" t="n">
        <x:f>SUMIFS('Depletion Log'!$O$7:$O$56,'Depletion Log'!$H$7:$H$56,"Sales Rep 02",'Depletion Log'!$P$7:$P$56,"Paid",'Depletion Log'!$R$7:$R$56,"")</x:f>
        <x:v>0</x:v>
      </x:c>
      <x:c r="C33" s="102" t="str">
        <x:v>Tag as New/Reorder</x:v>
      </x:c>
      <x:c r="D33" s="26"/>
      <x:c r="E33" s="26"/>
      <x:c r="F33" s="26"/>
      <x:c r="G33" s="26"/>
    </x:row>
    <x:row r="34">
      <x:c r="A34" s="26"/>
      <x:c r="B34" s="102"/>
      <x:c r="C34" s="102"/>
      <x:c r="D34" s="26"/>
      <x:c r="E34" s="26"/>
      <x:c r="F34" s="26"/>
      <x:c r="G34" s="26"/>
    </x:row>
    <x:row r="35">
      <x:c r="A35" s="26" t="str">
        <x:v>PAID COMMISSION ELIGIBLE</x:v>
      </x:c>
      <x:c r="B35" s="102" t="str"/>
      <x:c r="C35" s="102" t="n">
        <x:f>C30+C31</x:f>
        <x:v>8.200000000000001</x:v>
      </x:c>
      <x:c r="D35" s="26"/>
      <x:c r="E35" s="26"/>
      <x:c r="F35" s="26"/>
      <x:c r="G35" s="26"/>
    </x:row>
    <x:row r="36">
      <x:c r="A36" s="26" t="str">
        <x:v>PENDING COMMISSION ESTIMATE</x:v>
      </x:c>
      <x:c r="B36" s="102" t="str"/>
      <x:c r="C36" s="102" t="n">
        <x:f>B32*MAX($B$24,$B$25)</x:f>
        <x:v>0</x:v>
      </x:c>
      <x:c r="D36" s="26"/>
      <x:c r="E36" s="26"/>
      <x:c r="F36" s="26"/>
      <x:c r="G36" s="26"/>
    </x:row>
    <x:row r="37">
      <x:c r="A37" s="26" t="str">
        <x:v>GROSS COMMISSION</x:v>
      </x:c>
      <x:c r="B37" s="102" t="str"/>
      <x:c r="C37" s="102" t="n">
        <x:f>IF(B30+B31&gt;$B$27,$C$35*1.03,$C$35)</x:f>
        <x:v>8.200000000000001</x:v>
      </x:c>
      <x:c r="D37" s="26"/>
      <x:c r="E37" s="26"/>
      <x:c r="F37" s="26"/>
      <x:c r="G37" s="26"/>
    </x:row>
    <x:row r="38">
      <x:c r="A38" s="26"/>
      <x:c r="B38" s="26"/>
      <x:c r="C38" s="26"/>
      <x:c r="D38" s="26"/>
      <x:c r="E38" s="26"/>
      <x:c r="F38" s="26"/>
      <x:c r="G38" s="26"/>
    </x:row>
    <x:row r="39">
      <x:c r="A39" s="26"/>
      <x:c r="B39" s="26"/>
      <x:c r="C39" s="26"/>
      <x:c r="D39" s="26"/>
      <x:c r="E39" s="26"/>
      <x:c r="F39" s="26"/>
      <x:c r="G39" s="26"/>
    </x:row>
    <x:row r="40">
      <x:c r="A40" s="35" t="str">
        <x:v>1099 TAX ESTIMATE — ILLUSTRATIVE</x:v>
      </x:c>
      <x:c r="B40" s="35" t="str"/>
      <x:c r="C40" s="35" t="str"/>
      <x:c r="D40" s="26"/>
      <x:c r="E40" s="26"/>
      <x:c r="F40" s="26"/>
      <x:c r="G40" s="26"/>
    </x:row>
    <x:row r="41">
      <x:c r="A41" s="26" t="str">
        <x:v>Tax Rates (adjustable)</x:v>
      </x:c>
      <x:c r="B41" s="26" t="str"/>
      <x:c r="C41" s="26"/>
      <x:c r="D41" s="26"/>
      <x:c r="E41" s="26"/>
      <x:c r="F41" s="26"/>
      <x:c r="G41" s="26"/>
    </x:row>
    <x:row r="42">
      <x:c r="A42" s="26" t="str">
        <x:v>Self-Employment Tax Rate</x:v>
      </x:c>
      <x:c r="B42" s="119" t="n">
        <x:v>0.153</x:v>
      </x:c>
      <x:c r="C42" s="26"/>
      <x:c r="D42" s="26"/>
      <x:c r="E42" s="26"/>
      <x:c r="F42" s="26"/>
      <x:c r="G42" s="26"/>
    </x:row>
    <x:row r="43">
      <x:c r="A43" s="26" t="str">
        <x:v>Federal Income Tax Rate</x:v>
      </x:c>
      <x:c r="B43" s="119" t="n">
        <x:v>0.22</x:v>
      </x:c>
      <x:c r="C43" s="26"/>
      <x:c r="D43" s="26"/>
      <x:c r="E43" s="26"/>
      <x:c r="F43" s="26"/>
      <x:c r="G43" s="26"/>
    </x:row>
    <x:row r="44">
      <x:c r="A44" s="26" t="str">
        <x:v>MN State Tax Rate</x:v>
      </x:c>
      <x:c r="B44" s="119" t="n">
        <x:v>0.0985</x:v>
      </x:c>
      <x:c r="C44" s="26"/>
      <x:c r="D44" s="26"/>
      <x:c r="E44" s="26"/>
      <x:c r="F44" s="26"/>
      <x:c r="G44" s="26"/>
    </x:row>
    <x:row r="45">
      <x:c r="A45" s="26"/>
      <x:c r="B45" s="26"/>
      <x:c r="C45" s="26"/>
      <x:c r="D45" s="26"/>
      <x:c r="E45" s="26"/>
      <x:c r="F45" s="26"/>
      <x:c r="G45" s="26"/>
    </x:row>
    <x:row r="46">
      <x:c r="A46" s="26" t="str">
        <x:v>Self-Employment Tax</x:v>
      </x:c>
      <x:c r="B46" s="102" t="n">
        <x:f>$C$37*$B$42</x:f>
        <x:v>1.2546000000000002</x:v>
      </x:c>
      <x:c r="C46" s="26"/>
      <x:c r="D46" s="26"/>
      <x:c r="E46" s="26"/>
      <x:c r="F46" s="26"/>
      <x:c r="G46" s="26"/>
    </x:row>
    <x:row r="47">
      <x:c r="A47" s="26" t="str">
        <x:v>Deductible SE (50%)</x:v>
      </x:c>
      <x:c r="B47" s="102" t="n">
        <x:f>B46*0.5</x:f>
        <x:v>0.6273000000000001</x:v>
      </x:c>
      <x:c r="C47" s="26"/>
      <x:c r="D47" s="26"/>
      <x:c r="E47" s="26"/>
      <x:c r="F47" s="26"/>
      <x:c r="G47" s="26"/>
    </x:row>
    <x:row r="48">
      <x:c r="A48" s="26" t="str">
        <x:v>Federal Income Tax</x:v>
      </x:c>
      <x:c r="B48" s="102" t="n">
        <x:f>MAX(0,$C$37-B47)*$B$43</x:f>
        <x:v>1.6659940000000002</x:v>
      </x:c>
      <x:c r="C48" s="26"/>
      <x:c r="D48" s="26"/>
      <x:c r="E48" s="26"/>
      <x:c r="F48" s="26"/>
      <x:c r="G48" s="26"/>
    </x:row>
    <x:row r="49">
      <x:c r="A49" s="26" t="str">
        <x:v>MN State Income Tax</x:v>
      </x:c>
      <x:c r="B49" s="102" t="n">
        <x:f>MAX(0,$C$37-B47)*$B$44</x:f>
        <x:v>0.7459109500000002</x:v>
      </x:c>
      <x:c r="C49" s="26"/>
      <x:c r="D49" s="26"/>
      <x:c r="E49" s="26"/>
      <x:c r="F49" s="26"/>
      <x:c r="G49" s="26"/>
    </x:row>
    <x:row r="50">
      <x:c r="A50" s="26" t="str">
        <x:v>TOTAL ESTIMATED TAX</x:v>
      </x:c>
      <x:c r="B50" s="102" t="n">
        <x:f>SUM(B46,B48,B49)</x:f>
        <x:v>3.6665049500000007</x:v>
      </x:c>
      <x:c r="C50" s="26"/>
      <x:c r="D50" s="26"/>
      <x:c r="E50" s="26"/>
      <x:c r="F50" s="26"/>
      <x:c r="G50" s="26"/>
    </x:row>
    <x:row r="51">
      <x:c r="A51" s="26" t="str">
        <x:v>Estimated Net Payout</x:v>
      </x:c>
      <x:c r="B51" s="102" t="n">
        <x:f>$C$37-B50</x:f>
        <x:v>4.533495050000001</x:v>
      </x:c>
      <x:c r="C51" s="26"/>
      <x:c r="D51" s="26"/>
      <x:c r="E51" s="26"/>
      <x:c r="F51" s="26"/>
      <x:c r="G51" s="26"/>
    </x:row>
    <x:row r="52">
      <x:c r="A52" s="26"/>
      <x:c r="B52" s="26"/>
      <x:c r="C52" s="26"/>
      <x:c r="D52" s="26"/>
      <x:c r="E52" s="26"/>
      <x:c r="F52" s="26"/>
      <x:c r="G52" s="26"/>
    </x:row>
    <x:row r="53">
      <x:c r="A53" s="12" t="str">
        <x:v>Illustrative only. Replace mock rates only in a restricted internal production copy and consult a tax professional for actual obligations.</x:v>
      </x:c>
      <x:c r="B53" s="12"/>
      <x:c r="C53" s="12"/>
      <x:c r="D53" s="12"/>
      <x:c r="E53" s="12"/>
      <x:c r="F53" s="12"/>
      <x:c r="G53" s="12"/>
    </x:row>
  </x:sheetData>
  <x:mergeCells>
    <x:mergeCell ref="A1:G1"/>
    <x:mergeCell ref="A2:G2"/>
    <x:mergeCell ref="A53:G5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</x:cols>
  <x:sheetData>
    <x:row r="1" ht="28" customHeight="1">
      <x:c r="A1" s="66" t="str">
        <x:v>LAGOM NATURALS — SALES REP 03 COMMISSION DASHBOARD — SANITIZED</x:v>
      </x:c>
      <x:c r="B1" s="66"/>
      <x:c r="C1" s="66"/>
      <x:c r="D1" s="66"/>
      <x:c r="E1" s="66"/>
      <x:c r="F1" s="66"/>
      <x:c r="G1" s="66"/>
    </x:row>
    <x:row r="2">
      <x:c r="A2" s="12" t="str">
        <x:v>All values calculate from sanitized Depletion Log. Commission/mileage inputs are synthetic examples, not real compensation terms.</x:v>
      </x:c>
      <x:c r="B2" s="12"/>
      <x:c r="C2" s="12"/>
      <x:c r="D2" s="12"/>
      <x:c r="E2" s="12"/>
      <x:c r="F2" s="12"/>
      <x:c r="G2" s="12"/>
    </x:row>
    <x:row r="3">
      <x:c r="A3" s="26"/>
      <x:c r="B3" s="26"/>
      <x:c r="C3" s="26"/>
      <x:c r="D3" s="26"/>
      <x:c r="E3" s="26"/>
      <x:c r="F3" s="26"/>
      <x:c r="G3" s="26"/>
    </x:row>
    <x:row r="4">
      <x:c r="A4" s="35" t="str">
        <x:v>BI-WEEKLY PAY PERIOD VIEW</x:v>
      </x:c>
      <x:c r="B4" s="35" t="str"/>
      <x:c r="C4" s="35" t="str"/>
      <x:c r="D4" s="35" t="str"/>
      <x:c r="E4" s="35" t="str"/>
      <x:c r="F4" s="35" t="str">
        <x:v>PERIOD SUMMARY</x:v>
      </x:c>
      <x:c r="G4" s="35" t="str"/>
    </x:row>
    <x:row r="5">
      <x:c r="A5" s="26" t="str">
        <x:v>Pay Period End:</x:v>
      </x:c>
      <x:c r="B5" s="61" t="n">
        <x:v>46292</x:v>
      </x:c>
      <x:c r="C5" s="26"/>
      <x:c r="D5" s="26"/>
      <x:c r="E5" s="26"/>
      <x:c r="F5" s="26" t="str">
        <x:v>Period Start:</x:v>
      </x:c>
      <x:c r="G5" s="61" t="n">
        <x:v>46279</x:v>
      </x:c>
    </x:row>
    <x:row r="6">
      <x:c r="A6" s="26" t="str">
        <x:v>Covered Dates:</x:v>
      </x:c>
      <x:c r="B6" s="26" t="str">
        <x:v>09/14/2026 - 09/27/2026</x:v>
      </x:c>
      <x:c r="C6" s="26"/>
      <x:c r="D6" s="26"/>
      <x:c r="E6" s="26"/>
      <x:c r="F6" s="26" t="str">
        <x:v>Period End:</x:v>
      </x:c>
      <x:c r="G6" s="61" t="n">
        <x:v>46292</x:v>
      </x:c>
    </x:row>
    <x:row r="7">
      <x:c r="A7" s="20" t="str">
        <x:v>Metric</x:v>
      </x:c>
      <x:c r="B7" s="20" t="str">
        <x:v>Amount</x:v>
      </x:c>
      <x:c r="C7" s="26"/>
      <x:c r="D7" s="26"/>
      <x:c r="E7" s="26"/>
      <x:c r="F7" s="20" t="str">
        <x:v>Period Cases</x:v>
      </x:c>
      <x:c r="G7" s="20" t="n">
        <x:f>SUMIFS('Depletion Log'!$M$7:$M$56,'Depletion Log'!$H$7:$H$56,"Sales Rep 03",'Depletion Log'!$A$7:$A$56,"&gt;="&amp;$G$5,'Depletion Log'!$A$7:$A$56,"&lt;="&amp;$G$6)</x:f>
        <x:v>0</x:v>
      </x:c>
    </x:row>
    <x:row r="8">
      <x:c r="A8" s="26" t="str">
        <x:v>Gross Revenue (Invoiced in Period)</x:v>
      </x:c>
      <x:c r="B8" s="102" t="n">
        <x:f>SUMIFS('Depletion Log'!$O$7:$O$56,'Depletion Log'!$H$7:$H$56,"Sales Rep 03",'Depletion Log'!$A$7:$A$56,"&gt;="&amp;$G$5,'Depletion Log'!$A$7:$A$56,"&lt;="&amp;$G$6)</x:f>
        <x:v>0</x:v>
      </x:c>
      <x:c r="C8" s="26"/>
      <x:c r="D8" s="26"/>
      <x:c r="E8" s="26"/>
      <x:c r="F8" s="26" t="str">
        <x:v>Period New Paid Rev</x:v>
      </x:c>
      <x:c r="G8" s="102" t="n">
        <x:f>SUMIFS('Depletion Log'!$O$7:$O$56,'Depletion Log'!$H$7:$H$56,"Sales Rep 03",'Depletion Log'!$R$7:$R$56,"New",'Depletion Log'!$P$7:$P$56,"Paid",'Depletion Log'!$AI$7:$AI$56,"&gt;="&amp;$G$5,'Depletion Log'!$AI$7:$AI$56,"&lt;="&amp;$G$6)</x:f>
        <x:v>0</x:v>
      </x:c>
    </x:row>
    <x:row r="9">
      <x:c r="A9" s="26" t="str">
        <x:v>Paid Revenue Eligible (Payment Date)</x:v>
      </x:c>
      <x:c r="B9" s="102" t="n">
        <x:f>SUMIFS('Depletion Log'!$O$7:$O$56,'Depletion Log'!$H$7:$H$56,"Sales Rep 03",'Depletion Log'!$P$7:$P$56,"Paid",'Depletion Log'!$AI$7:$AI$56,"&gt;="&amp;$G$5,'Depletion Log'!$AI$7:$AI$56,"&lt;="&amp;$G$6)</x:f>
        <x:v>0</x:v>
      </x:c>
      <x:c r="C9" s="26"/>
      <x:c r="D9" s="26"/>
      <x:c r="E9" s="26"/>
      <x:c r="F9" s="26" t="str">
        <x:v>Period Reorder Paid Rev</x:v>
      </x:c>
      <x:c r="G9" s="102" t="n">
        <x:f>SUMIFS('Depletion Log'!$O$7:$O$56,'Depletion Log'!$H$7:$H$56,"Sales Rep 03",'Depletion Log'!$R$7:$R$56,"Reorder",'Depletion Log'!$P$7:$P$56,"Paid",'Depletion Log'!$AI$7:$AI$56,"&gt;="&amp;$G$5,'Depletion Log'!$AI$7:$AI$56,"&lt;="&amp;$G$6)</x:f>
        <x:v>0</x:v>
      </x:c>
    </x:row>
    <x:row r="10">
      <x:c r="A10" s="26" t="str">
        <x:v>Total AR Tied to Rep</x:v>
      </x:c>
      <x:c r="B10" s="102" t="n">
        <x:f>SUMIFS('Depletion Log'!$AC$7:$AC$56,'Depletion Log'!$H$7:$H$56,"Sales Rep 03",'Depletion Log'!$W$7:$W$56,1)</x:f>
        <x:v>180</x:v>
      </x:c>
      <x:c r="C10" s="26"/>
      <x:c r="D10" s="26"/>
      <x:c r="E10" s="26"/>
      <x:c r="F10" s="26" t="str">
        <x:v>PERIOD COMMISSION</x:v>
      </x:c>
      <x:c r="G10" s="102" t="n">
        <x:f>G8*$B$24+G9*$B$25</x:f>
        <x:v>0</x:v>
      </x:c>
    </x:row>
    <x:row r="11">
      <x:c r="A11" s="26" t="str">
        <x:v>Paid Commission Eligible</x:v>
      </x:c>
      <x:c r="B11" s="102" t="n">
        <x:f>SUMIFS('Depletion Log'!$O$7:$O$56,'Depletion Log'!$H$7:$H$56,"Sales Rep 03",'Depletion Log'!$P$7:$P$56,"Paid",'Depletion Log'!$AI$7:$AI$56,"&gt;="&amp;$G$5,'Depletion Log'!$AI$7:$AI$56,"&lt;="&amp;$G$6)</x:f>
        <x:v>0</x:v>
      </x:c>
      <x:c r="C11" s="26"/>
      <x:c r="D11" s="26"/>
      <x:c r="E11" s="26"/>
      <x:c r="F11" s="26" t="str"/>
      <x:c r="G11" s="26" t="str">
        <x:v>Paid invoices only by Payment Date</x:v>
      </x:c>
    </x:row>
    <x:row r="12">
      <x:c r="A12" s="26"/>
      <x:c r="B12" s="26"/>
      <x:c r="C12" s="26"/>
      <x:c r="D12" s="26"/>
      <x:c r="E12" s="26"/>
      <x:c r="F12" s="26"/>
      <x:c r="G12" s="26"/>
    </x:row>
    <x:row r="13">
      <x:c r="A13" s="20" t="str">
        <x:v>Metric</x:v>
      </x:c>
      <x:c r="B13" s="20" t="str">
        <x:v>Seltzers</x:v>
      </x:c>
      <x:c r="C13" s="20" t="str">
        <x:v>Gummies</x:v>
      </x:c>
      <x:c r="D13" s="20" t="str">
        <x:v>Total</x:v>
      </x:c>
      <x:c r="E13" s="26"/>
      <x:c r="F13" s="26"/>
      <x:c r="G13" s="26"/>
    </x:row>
    <x:row r="14">
      <x:c r="A14" s="26" t="str">
        <x:v>Total Cases</x:v>
      </x:c>
      <x:c r="B14" s="117" t="n">
        <x:f>SUMIFS('Depletion Log'!$M$7:$M$56,'Depletion Log'!$H$7:$H$56,"Sales Rep 03",'Depletion Log'!$L$7:$L$56,"Seltzer")</x:f>
        <x:v>1</x:v>
      </x:c>
      <x:c r="C14" s="117" t="n">
        <x:f>SUMIFS('Depletion Log'!$M$7:$M$56,'Depletion Log'!$H$7:$H$56,"Sales Rep 03",'Depletion Log'!$L$7:$L$56,"Gummy")</x:f>
        <x:v>1</x:v>
      </x:c>
      <x:c r="D14" s="117" t="n">
        <x:f>B14+C14</x:f>
        <x:v>2</x:v>
      </x:c>
      <x:c r="E14" s="26"/>
      <x:c r="F14" s="26"/>
      <x:c r="G14" s="26"/>
    </x:row>
    <x:row r="15">
      <x:c r="A15" s="26" t="str">
        <x:v>Total Revenue</x:v>
      </x:c>
      <x:c r="B15" s="102" t="n">
        <x:f>SUMIFS('Depletion Log'!$O$7:$O$56,'Depletion Log'!$H$7:$H$56,"Sales Rep 03",'Depletion Log'!$L$7:$L$56,"Seltzer")</x:f>
        <x:v>84</x:v>
      </x:c>
      <x:c r="C15" s="102" t="n">
        <x:f>SUMIFS('Depletion Log'!$O$7:$O$56,'Depletion Log'!$H$7:$H$56,"Sales Rep 03",'Depletion Log'!$L$7:$L$56,"Gummy")</x:f>
        <x:v>96</x:v>
      </x:c>
      <x:c r="D15" s="102" t="n">
        <x:f>B15+C15</x:f>
        <x:v>180</x:v>
      </x:c>
      <x:c r="E15" s="26"/>
      <x:c r="F15" s="26"/>
      <x:c r="G15" s="26"/>
    </x:row>
    <x:row r="16">
      <x:c r="A16" s="26" t="str">
        <x:v>Total COGS</x:v>
      </x:c>
      <x:c r="B16" s="102" t="n">
        <x:f>SUMIFS('Depletion Log'!$T$7:$T$56,'Depletion Log'!$H$7:$H$56,"Sales Rep 03",'Depletion Log'!$L$7:$L$56,"Seltzer")</x:f>
        <x:v>48</x:v>
      </x:c>
      <x:c r="C16" s="102" t="n">
        <x:f>SUMIFS('Depletion Log'!$T$7:$T$56,'Depletion Log'!$H$7:$H$56,"Sales Rep 03",'Depletion Log'!$L$7:$L$56,"Gummy")</x:f>
        <x:v>55</x:v>
      </x:c>
      <x:c r="D16" s="102" t="n">
        <x:f>B16+C16</x:f>
        <x:v>103</x:v>
      </x:c>
      <x:c r="E16" s="26"/>
      <x:c r="F16" s="26"/>
      <x:c r="G16" s="26"/>
    </x:row>
    <x:row r="17">
      <x:c r="A17" s="26" t="str">
        <x:v>Gross Profit</x:v>
      </x:c>
      <x:c r="B17" s="102" t="n">
        <x:f>SUMIFS('Depletion Log'!$U$7:$U$56,'Depletion Log'!$H$7:$H$56,"Sales Rep 03",'Depletion Log'!$L$7:$L$56,"Seltzer")</x:f>
        <x:v>36</x:v>
      </x:c>
      <x:c r="C17" s="102" t="n">
        <x:f>SUMIFS('Depletion Log'!$U$7:$U$56,'Depletion Log'!$H$7:$H$56,"Sales Rep 03",'Depletion Log'!$L$7:$L$56,"Gummy")</x:f>
        <x:v>41</x:v>
      </x:c>
      <x:c r="D17" s="102" t="n">
        <x:f>B17+C17</x:f>
        <x:v>77</x:v>
      </x:c>
      <x:c r="E17" s="26"/>
      <x:c r="F17" s="26"/>
      <x:c r="G17" s="26"/>
    </x:row>
    <x:row r="18">
      <x:c r="A18" s="26" t="str">
        <x:v>Unique Invoices</x:v>
      </x:c>
      <x:c r="B18" s="117" t="n">
        <x:f>COUNTIFS('Depletion Log'!$H$7:$H$56,"Sales Rep 03",'Depletion Log'!$L$7:$L$56,"Seltzer",'Depletion Log'!$W$7:$W$56,1)</x:f>
        <x:v>1</x:v>
      </x:c>
      <x:c r="C18" s="117" t="n">
        <x:f>COUNTIFS('Depletion Log'!$H$7:$H$56,"Sales Rep 03",'Depletion Log'!$L$7:$L$56,"Gummy",'Depletion Log'!$W$7:$W$56,1)</x:f>
        <x:v>0</x:v>
      </x:c>
      <x:c r="D18" s="117" t="n">
        <x:f>B18+C18</x:f>
        <x:v>1</x:v>
      </x:c>
      <x:c r="E18" s="26"/>
      <x:c r="F18" s="26"/>
      <x:c r="G18" s="26"/>
    </x:row>
    <x:row r="19">
      <x:c r="A19" s="26" t="str">
        <x:v>Unique Invoices (All)</x:v>
      </x:c>
      <x:c r="B19" s="117"/>
      <x:c r="C19" s="117"/>
      <x:c r="D19" s="117" t="n">
        <x:f>COUNTIFS('Depletion Log'!$H$7:$H$56,"Sales Rep 03",'Depletion Log'!$W$7:$W$56,1)</x:f>
        <x:v>1</x:v>
      </x:c>
      <x:c r="E19" s="26"/>
      <x:c r="F19" s="26"/>
      <x:c r="G19" s="26"/>
    </x:row>
    <x:row r="20">
      <x:c r="A20" s="26"/>
      <x:c r="B20" s="26"/>
      <x:c r="C20" s="26"/>
      <x:c r="D20" s="26"/>
      <x:c r="E20" s="26"/>
      <x:c r="F20" s="26"/>
      <x:c r="G20" s="26"/>
    </x:row>
    <x:row r="21">
      <x:c r="A21" s="26"/>
      <x:c r="B21" s="26"/>
      <x:c r="C21" s="26"/>
      <x:c r="D21" s="26"/>
      <x:c r="E21" s="26"/>
      <x:c r="F21" s="26"/>
      <x:c r="G21" s="26"/>
    </x:row>
    <x:row r="22">
      <x:c r="A22" s="35" t="str">
        <x:v>COMMISSION CALCULATION</x:v>
      </x:c>
      <x:c r="B22" s="35" t="str"/>
      <x:c r="C22" s="35" t="str"/>
      <x:c r="D22" s="26"/>
      <x:c r="E22" s="26"/>
      <x:c r="F22" s="26"/>
      <x:c r="G22" s="26"/>
    </x:row>
    <x:row r="23">
      <x:c r="A23" s="26" t="str">
        <x:v>Commission Rates</x:v>
      </x:c>
      <x:c r="B23" s="26" t="str"/>
      <x:c r="C23" s="26"/>
      <x:c r="D23" s="26"/>
      <x:c r="E23" s="26"/>
      <x:c r="F23" s="26"/>
      <x:c r="G23" s="26"/>
    </x:row>
    <x:row r="24">
      <x:c r="A24" s="26" t="str">
        <x:v>New Account Rate</x:v>
      </x:c>
      <x:c r="B24" s="118" t="n">
        <x:v>0.1</x:v>
      </x:c>
      <x:c r="C24" s="26"/>
      <x:c r="D24" s="26"/>
      <x:c r="E24" s="26"/>
      <x:c r="F24" s="26"/>
      <x:c r="G24" s="26"/>
    </x:row>
    <x:row r="25">
      <x:c r="A25" s="26" t="str">
        <x:v>Reorder Rate</x:v>
      </x:c>
      <x:c r="B25" s="118" t="n">
        <x:v>0.05</x:v>
      </x:c>
      <x:c r="C25" s="26"/>
      <x:c r="D25" s="26"/>
      <x:c r="E25" s="26"/>
      <x:c r="F25" s="26"/>
      <x:c r="G25" s="26"/>
    </x:row>
    <x:row r="26">
      <x:c r="A26" s="26" t="str">
        <x:v>Mileage Rate ($/mile)</x:v>
      </x:c>
      <x:c r="B26" s="60" t="n">
        <x:v>0.5</x:v>
      </x:c>
      <x:c r="C26" s="26"/>
      <x:c r="D26" s="26"/>
      <x:c r="E26" s="26"/>
      <x:c r="F26" s="26"/>
      <x:c r="G26" s="26"/>
    </x:row>
    <x:row r="27">
      <x:c r="A27" s="26" t="str">
        <x:v>Bonus Threshold</x:v>
      </x:c>
      <x:c r="B27" s="60" t="n">
        <x:v>10000</x:v>
      </x:c>
      <x:c r="C27" s="26"/>
      <x:c r="D27" s="26"/>
      <x:c r="E27" s="26"/>
      <x:c r="F27" s="26"/>
      <x:c r="G27" s="26"/>
    </x:row>
    <x:row r="28">
      <x:c r="A28" s="26"/>
      <x:c r="B28" s="26"/>
      <x:c r="C28" s="26"/>
      <x:c r="D28" s="26"/>
      <x:c r="E28" s="26"/>
      <x:c r="F28" s="26"/>
      <x:c r="G28" s="26"/>
    </x:row>
    <x:row r="29">
      <x:c r="A29" s="20" t="str">
        <x:v>Paid Revenue Breakdown (All-Time)</x:v>
      </x:c>
      <x:c r="B29" s="20" t="str">
        <x:v>Amount</x:v>
      </x:c>
      <x:c r="C29" s="20" t="str">
        <x:v>Commission</x:v>
      </x:c>
      <x:c r="D29" s="26"/>
      <x:c r="E29" s="26"/>
      <x:c r="F29" s="26"/>
      <x:c r="G29" s="26"/>
    </x:row>
    <x:row r="30">
      <x:c r="A30" s="26" t="str">
        <x:v>New Paid Revenue</x:v>
      </x:c>
      <x:c r="B30" s="102" t="n">
        <x:f>SUMIFS('Depletion Log'!$O$7:$O$56,'Depletion Log'!$H$7:$H$56,"Sales Rep 03",'Depletion Log'!$P$7:$P$56,"Paid",'Depletion Log'!$R$7:$R$56,"New")</x:f>
        <x:v>0</x:v>
      </x:c>
      <x:c r="C30" s="102" t="n">
        <x:f>B30*$B$24</x:f>
        <x:v>0</x:v>
      </x:c>
      <x:c r="D30" s="26"/>
      <x:c r="E30" s="26"/>
      <x:c r="F30" s="26"/>
      <x:c r="G30" s="26"/>
    </x:row>
    <x:row r="31">
      <x:c r="A31" s="26" t="str">
        <x:v>Reorder Paid Revenue</x:v>
      </x:c>
      <x:c r="B31" s="102" t="n">
        <x:f>SUMIFS('Depletion Log'!$O$7:$O$56,'Depletion Log'!$H$7:$H$56,"Sales Rep 03",'Depletion Log'!$P$7:$P$56,"Paid",'Depletion Log'!$R$7:$R$56,"Reorder")</x:f>
        <x:v>0</x:v>
      </x:c>
      <x:c r="C31" s="102" t="n">
        <x:f>B31*$B$25</x:f>
        <x:v>0</x:v>
      </x:c>
      <x:c r="D31" s="26"/>
      <x:c r="E31" s="26"/>
      <x:c r="F31" s="26"/>
      <x:c r="G31" s="26"/>
    </x:row>
    <x:row r="32">
      <x:c r="A32" s="26" t="str">
        <x:v>Unpaid/Pending Revenue</x:v>
      </x:c>
      <x:c r="B32" s="102" t="n">
        <x:f>SUMIFS('Depletion Log'!$O$7:$O$56,'Depletion Log'!$H$7:$H$56,"Sales Rep 03",'Depletion Log'!$P$7:$P$56,"&lt;&gt;Paid")</x:f>
        <x:v>180</x:v>
      </x:c>
      <x:c r="C32" s="102" t="str">
        <x:v>Pending until paid</x:v>
      </x:c>
      <x:c r="D32" s="26"/>
      <x:c r="E32" s="26"/>
      <x:c r="F32" s="26"/>
      <x:c r="G32" s="26"/>
    </x:row>
    <x:row r="33">
      <x:c r="A33" s="26" t="str">
        <x:v>Untagged Paid Revenue</x:v>
      </x:c>
      <x:c r="B33" s="102" t="n">
        <x:f>SUMIFS('Depletion Log'!$O$7:$O$56,'Depletion Log'!$H$7:$H$56,"Sales Rep 03",'Depletion Log'!$P$7:$P$56,"Paid",'Depletion Log'!$R$7:$R$56,"")</x:f>
        <x:v>0</x:v>
      </x:c>
      <x:c r="C33" s="102" t="str">
        <x:v>Tag as New/Reorder</x:v>
      </x:c>
      <x:c r="D33" s="26"/>
      <x:c r="E33" s="26"/>
      <x:c r="F33" s="26"/>
      <x:c r="G33" s="26"/>
    </x:row>
    <x:row r="34">
      <x:c r="A34" s="26"/>
      <x:c r="B34" s="102"/>
      <x:c r="C34" s="102"/>
      <x:c r="D34" s="26"/>
      <x:c r="E34" s="26"/>
      <x:c r="F34" s="26"/>
      <x:c r="G34" s="26"/>
    </x:row>
    <x:row r="35">
      <x:c r="A35" s="26" t="str">
        <x:v>PAID COMMISSION ELIGIBLE</x:v>
      </x:c>
      <x:c r="B35" s="102" t="str"/>
      <x:c r="C35" s="102" t="n">
        <x:f>C30+C31</x:f>
        <x:v>0</x:v>
      </x:c>
      <x:c r="D35" s="26"/>
      <x:c r="E35" s="26"/>
      <x:c r="F35" s="26"/>
      <x:c r="G35" s="26"/>
    </x:row>
    <x:row r="36">
      <x:c r="A36" s="26" t="str">
        <x:v>PENDING COMMISSION ESTIMATE</x:v>
      </x:c>
      <x:c r="B36" s="102" t="str"/>
      <x:c r="C36" s="102" t="n">
        <x:f>B32*MAX($B$24,$B$25)</x:f>
        <x:v>18</x:v>
      </x:c>
      <x:c r="D36" s="26"/>
      <x:c r="E36" s="26"/>
      <x:c r="F36" s="26"/>
      <x:c r="G36" s="26"/>
    </x:row>
    <x:row r="37">
      <x:c r="A37" s="26" t="str">
        <x:v>GROSS COMMISSION</x:v>
      </x:c>
      <x:c r="B37" s="102" t="str"/>
      <x:c r="C37" s="102" t="n">
        <x:f>IF(B30+B31&gt;$B$27,$C$35*1.03,$C$35)</x:f>
        <x:v>0</x:v>
      </x:c>
      <x:c r="D37" s="26"/>
      <x:c r="E37" s="26"/>
      <x:c r="F37" s="26"/>
      <x:c r="G37" s="26"/>
    </x:row>
    <x:row r="38">
      <x:c r="A38" s="26"/>
      <x:c r="B38" s="26"/>
      <x:c r="C38" s="26"/>
      <x:c r="D38" s="26"/>
      <x:c r="E38" s="26"/>
      <x:c r="F38" s="26"/>
      <x:c r="G38" s="26"/>
    </x:row>
    <x:row r="39">
      <x:c r="A39" s="26"/>
      <x:c r="B39" s="26"/>
      <x:c r="C39" s="26"/>
      <x:c r="D39" s="26"/>
      <x:c r="E39" s="26"/>
      <x:c r="F39" s="26"/>
      <x:c r="G39" s="26"/>
    </x:row>
    <x:row r="40">
      <x:c r="A40" s="35" t="str">
        <x:v>1099 TAX ESTIMATE — ILLUSTRATIVE</x:v>
      </x:c>
      <x:c r="B40" s="35" t="str"/>
      <x:c r="C40" s="35" t="str"/>
      <x:c r="D40" s="26"/>
      <x:c r="E40" s="26"/>
      <x:c r="F40" s="26"/>
      <x:c r="G40" s="26"/>
    </x:row>
    <x:row r="41">
      <x:c r="A41" s="26" t="str">
        <x:v>Tax Rates (adjustable)</x:v>
      </x:c>
      <x:c r="B41" s="26" t="str"/>
      <x:c r="C41" s="26"/>
      <x:c r="D41" s="26"/>
      <x:c r="E41" s="26"/>
      <x:c r="F41" s="26"/>
      <x:c r="G41" s="26"/>
    </x:row>
    <x:row r="42">
      <x:c r="A42" s="26" t="str">
        <x:v>Self-Employment Tax Rate</x:v>
      </x:c>
      <x:c r="B42" s="119" t="n">
        <x:v>0.153</x:v>
      </x:c>
      <x:c r="C42" s="26"/>
      <x:c r="D42" s="26"/>
      <x:c r="E42" s="26"/>
      <x:c r="F42" s="26"/>
      <x:c r="G42" s="26"/>
    </x:row>
    <x:row r="43">
      <x:c r="A43" s="26" t="str">
        <x:v>Federal Income Tax Rate</x:v>
      </x:c>
      <x:c r="B43" s="119" t="n">
        <x:v>0.22</x:v>
      </x:c>
      <x:c r="C43" s="26"/>
      <x:c r="D43" s="26"/>
      <x:c r="E43" s="26"/>
      <x:c r="F43" s="26"/>
      <x:c r="G43" s="26"/>
    </x:row>
    <x:row r="44">
      <x:c r="A44" s="26" t="str">
        <x:v>MN State Tax Rate</x:v>
      </x:c>
      <x:c r="B44" s="119" t="n">
        <x:v>0.0985</x:v>
      </x:c>
      <x:c r="C44" s="26"/>
      <x:c r="D44" s="26"/>
      <x:c r="E44" s="26"/>
      <x:c r="F44" s="26"/>
      <x:c r="G44" s="26"/>
    </x:row>
    <x:row r="45">
      <x:c r="A45" s="26"/>
      <x:c r="B45" s="26"/>
      <x:c r="C45" s="26"/>
      <x:c r="D45" s="26"/>
      <x:c r="E45" s="26"/>
      <x:c r="F45" s="26"/>
      <x:c r="G45" s="26"/>
    </x:row>
    <x:row r="46">
      <x:c r="A46" s="26" t="str">
        <x:v>Self-Employment Tax</x:v>
      </x:c>
      <x:c r="B46" s="102" t="n">
        <x:f>$C$37*$B$42</x:f>
        <x:v>0</x:v>
      </x:c>
      <x:c r="C46" s="26"/>
      <x:c r="D46" s="26"/>
      <x:c r="E46" s="26"/>
      <x:c r="F46" s="26"/>
      <x:c r="G46" s="26"/>
    </x:row>
    <x:row r="47">
      <x:c r="A47" s="26" t="str">
        <x:v>Deductible SE (50%)</x:v>
      </x:c>
      <x:c r="B47" s="102" t="n">
        <x:f>B46*0.5</x:f>
        <x:v>0</x:v>
      </x:c>
      <x:c r="C47" s="26"/>
      <x:c r="D47" s="26"/>
      <x:c r="E47" s="26"/>
      <x:c r="F47" s="26"/>
      <x:c r="G47" s="26"/>
    </x:row>
    <x:row r="48">
      <x:c r="A48" s="26" t="str">
        <x:v>Federal Income Tax</x:v>
      </x:c>
      <x:c r="B48" s="102" t="n">
        <x:f>MAX(0,$C$37-B47)*$B$43</x:f>
        <x:v>0</x:v>
      </x:c>
      <x:c r="C48" s="26"/>
      <x:c r="D48" s="26"/>
      <x:c r="E48" s="26"/>
      <x:c r="F48" s="26"/>
      <x:c r="G48" s="26"/>
    </x:row>
    <x:row r="49">
      <x:c r="A49" s="26" t="str">
        <x:v>MN State Income Tax</x:v>
      </x:c>
      <x:c r="B49" s="102" t="n">
        <x:f>MAX(0,$C$37-B47)*$B$44</x:f>
        <x:v>0</x:v>
      </x:c>
      <x:c r="C49" s="26"/>
      <x:c r="D49" s="26"/>
      <x:c r="E49" s="26"/>
      <x:c r="F49" s="26"/>
      <x:c r="G49" s="26"/>
    </x:row>
    <x:row r="50">
      <x:c r="A50" s="26" t="str">
        <x:v>TOTAL ESTIMATED TAX</x:v>
      </x:c>
      <x:c r="B50" s="102" t="n">
        <x:f>SUM(B46,B48,B49)</x:f>
        <x:v>0</x:v>
      </x:c>
      <x:c r="C50" s="26"/>
      <x:c r="D50" s="26"/>
      <x:c r="E50" s="26"/>
      <x:c r="F50" s="26"/>
      <x:c r="G50" s="26"/>
    </x:row>
    <x:row r="51">
      <x:c r="A51" s="26" t="str">
        <x:v>Estimated Net Payout</x:v>
      </x:c>
      <x:c r="B51" s="102" t="n">
        <x:f>$C$37-B50</x:f>
        <x:v>0</x:v>
      </x:c>
      <x:c r="C51" s="26"/>
      <x:c r="D51" s="26"/>
      <x:c r="E51" s="26"/>
      <x:c r="F51" s="26"/>
      <x:c r="G51" s="26"/>
    </x:row>
    <x:row r="52">
      <x:c r="A52" s="26"/>
      <x:c r="B52" s="26"/>
      <x:c r="C52" s="26"/>
      <x:c r="D52" s="26"/>
      <x:c r="E52" s="26"/>
      <x:c r="F52" s="26"/>
      <x:c r="G52" s="26"/>
    </x:row>
    <x:row r="53">
      <x:c r="A53" s="12" t="str">
        <x:v>Illustrative only. Replace mock rates only in a restricted internal production copy and consult a tax professional for actual obligations.</x:v>
      </x:c>
      <x:c r="B53" s="12"/>
      <x:c r="C53" s="12"/>
      <x:c r="D53" s="12"/>
      <x:c r="E53" s="12"/>
      <x:c r="F53" s="12"/>
      <x:c r="G53" s="12"/>
    </x:row>
  </x:sheetData>
  <x:mergeCells>
    <x:mergeCell ref="A1:G1"/>
    <x:mergeCell ref="A2:G2"/>
    <x:mergeCell ref="A53:G5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</x:cols>
  <x:sheetData>
    <x:row r="1" ht="28" customHeight="1">
      <x:c r="A1" s="66" t="str">
        <x:v>LAGOM NATURALS — SALES REP 04 COMMISSION DASHBOARD — SANITIZED</x:v>
      </x:c>
      <x:c r="B1" s="66"/>
      <x:c r="C1" s="66"/>
      <x:c r="D1" s="66"/>
      <x:c r="E1" s="66"/>
      <x:c r="F1" s="66"/>
      <x:c r="G1" s="66"/>
    </x:row>
    <x:row r="2">
      <x:c r="A2" s="12" t="str">
        <x:v>All values calculate from sanitized Depletion Log. Commission/mileage inputs are synthetic examples, not real compensation terms.</x:v>
      </x:c>
      <x:c r="B2" s="12"/>
      <x:c r="C2" s="12"/>
      <x:c r="D2" s="12"/>
      <x:c r="E2" s="12"/>
      <x:c r="F2" s="12"/>
      <x:c r="G2" s="12"/>
    </x:row>
    <x:row r="3">
      <x:c r="A3" s="26"/>
      <x:c r="B3" s="26"/>
      <x:c r="C3" s="26"/>
      <x:c r="D3" s="26"/>
      <x:c r="E3" s="26"/>
      <x:c r="F3" s="26"/>
      <x:c r="G3" s="26"/>
    </x:row>
    <x:row r="4">
      <x:c r="A4" s="35" t="str">
        <x:v>BI-WEEKLY PAY PERIOD VIEW</x:v>
      </x:c>
      <x:c r="B4" s="35" t="str"/>
      <x:c r="C4" s="35" t="str"/>
      <x:c r="D4" s="35" t="str"/>
      <x:c r="E4" s="35" t="str"/>
      <x:c r="F4" s="35" t="str">
        <x:v>PERIOD SUMMARY</x:v>
      </x:c>
      <x:c r="G4" s="35" t="str"/>
    </x:row>
    <x:row r="5">
      <x:c r="A5" s="26" t="str">
        <x:v>Pay Period End:</x:v>
      </x:c>
      <x:c r="B5" s="61" t="n">
        <x:v>46292</x:v>
      </x:c>
      <x:c r="C5" s="26"/>
      <x:c r="D5" s="26"/>
      <x:c r="E5" s="26"/>
      <x:c r="F5" s="26" t="str">
        <x:v>Period Start:</x:v>
      </x:c>
      <x:c r="G5" s="61" t="n">
        <x:v>46279</x:v>
      </x:c>
    </x:row>
    <x:row r="6">
      <x:c r="A6" s="26" t="str">
        <x:v>Covered Dates:</x:v>
      </x:c>
      <x:c r="B6" s="26" t="str">
        <x:v>09/14/2026 - 09/27/2026</x:v>
      </x:c>
      <x:c r="C6" s="26"/>
      <x:c r="D6" s="26"/>
      <x:c r="E6" s="26"/>
      <x:c r="F6" s="26" t="str">
        <x:v>Period End:</x:v>
      </x:c>
      <x:c r="G6" s="61" t="n">
        <x:v>46292</x:v>
      </x:c>
    </x:row>
    <x:row r="7">
      <x:c r="A7" s="20" t="str">
        <x:v>Metric</x:v>
      </x:c>
      <x:c r="B7" s="20" t="str">
        <x:v>Amount</x:v>
      </x:c>
      <x:c r="C7" s="26"/>
      <x:c r="D7" s="26"/>
      <x:c r="E7" s="26"/>
      <x:c r="F7" s="20" t="str">
        <x:v>Period Cases</x:v>
      </x:c>
      <x:c r="G7" s="20" t="n">
        <x:f>SUMIFS('Depletion Log'!$M$7:$M$56,'Depletion Log'!$H$7:$H$56,"Sales Rep 04",'Depletion Log'!$A$7:$A$56,"&gt;="&amp;$G$5,'Depletion Log'!$A$7:$A$56,"&lt;="&amp;$G$6)</x:f>
        <x:v>2</x:v>
      </x:c>
    </x:row>
    <x:row r="8">
      <x:c r="A8" s="26" t="str">
        <x:v>Gross Revenue (Invoiced in Period)</x:v>
      </x:c>
      <x:c r="B8" s="102" t="n">
        <x:f>SUMIFS('Depletion Log'!$O$7:$O$56,'Depletion Log'!$H$7:$H$56,"Sales Rep 04",'Depletion Log'!$A$7:$A$56,"&gt;="&amp;$G$5,'Depletion Log'!$A$7:$A$56,"&lt;="&amp;$G$6)</x:f>
        <x:v>194</x:v>
      </x:c>
      <x:c r="C8" s="26"/>
      <x:c r="D8" s="26"/>
      <x:c r="E8" s="26"/>
      <x:c r="F8" s="26" t="str">
        <x:v>Period New Paid Rev</x:v>
      </x:c>
      <x:c r="G8" s="102" t="n">
        <x:f>SUMIFS('Depletion Log'!$O$7:$O$56,'Depletion Log'!$H$7:$H$56,"Sales Rep 04",'Depletion Log'!$R$7:$R$56,"New",'Depletion Log'!$P$7:$P$56,"Paid",'Depletion Log'!$AI$7:$AI$56,"&gt;="&amp;$G$5,'Depletion Log'!$AI$7:$AI$56,"&lt;="&amp;$G$6)</x:f>
        <x:v>0</x:v>
      </x:c>
    </x:row>
    <x:row r="9">
      <x:c r="A9" s="26" t="str">
        <x:v>Paid Revenue Eligible (Payment Date)</x:v>
      </x:c>
      <x:c r="B9" s="102" t="n">
        <x:f>SUMIFS('Depletion Log'!$O$7:$O$56,'Depletion Log'!$H$7:$H$56,"Sales Rep 04",'Depletion Log'!$P$7:$P$56,"Paid",'Depletion Log'!$AI$7:$AI$56,"&gt;="&amp;$G$5,'Depletion Log'!$AI$7:$AI$56,"&lt;="&amp;$G$6)</x:f>
        <x:v>194</x:v>
      </x:c>
      <x:c r="C9" s="26"/>
      <x:c r="D9" s="26"/>
      <x:c r="E9" s="26"/>
      <x:c r="F9" s="26" t="str">
        <x:v>Period Reorder Paid Rev</x:v>
      </x:c>
      <x:c r="G9" s="102" t="n">
        <x:f>SUMIFS('Depletion Log'!$O$7:$O$56,'Depletion Log'!$H$7:$H$56,"Sales Rep 04",'Depletion Log'!$R$7:$R$56,"Reorder",'Depletion Log'!$P$7:$P$56,"Paid",'Depletion Log'!$AI$7:$AI$56,"&gt;="&amp;$G$5,'Depletion Log'!$AI$7:$AI$56,"&lt;="&amp;$G$6)</x:f>
        <x:v>194</x:v>
      </x:c>
    </x:row>
    <x:row r="10">
      <x:c r="A10" s="26" t="str">
        <x:v>Total AR Tied to Rep</x:v>
      </x:c>
      <x:c r="B10" s="102" t="n">
        <x:f>SUMIFS('Depletion Log'!$AC$7:$AC$56,'Depletion Log'!$H$7:$H$56,"Sales Rep 04",'Depletion Log'!$W$7:$W$56,1)</x:f>
        <x:v>0</x:v>
      </x:c>
      <x:c r="C10" s="26"/>
      <x:c r="D10" s="26"/>
      <x:c r="E10" s="26"/>
      <x:c r="F10" s="26" t="str">
        <x:v>PERIOD COMMISSION</x:v>
      </x:c>
      <x:c r="G10" s="102" t="n">
        <x:f>G8*$B$24+G9*$B$25</x:f>
        <x:v>9.700000000000001</x:v>
      </x:c>
    </x:row>
    <x:row r="11">
      <x:c r="A11" s="26" t="str">
        <x:v>Paid Commission Eligible</x:v>
      </x:c>
      <x:c r="B11" s="102" t="n">
        <x:f>SUMIFS('Depletion Log'!$O$7:$O$56,'Depletion Log'!$H$7:$H$56,"Sales Rep 04",'Depletion Log'!$P$7:$P$56,"Paid",'Depletion Log'!$AI$7:$AI$56,"&gt;="&amp;$G$5,'Depletion Log'!$AI$7:$AI$56,"&lt;="&amp;$G$6)</x:f>
        <x:v>194</x:v>
      </x:c>
      <x:c r="C11" s="26"/>
      <x:c r="D11" s="26"/>
      <x:c r="E11" s="26"/>
      <x:c r="F11" s="26" t="str"/>
      <x:c r="G11" s="26" t="str">
        <x:v>Paid invoices only by Payment Date</x:v>
      </x:c>
    </x:row>
    <x:row r="12">
      <x:c r="A12" s="26"/>
      <x:c r="B12" s="26"/>
      <x:c r="C12" s="26"/>
      <x:c r="D12" s="26"/>
      <x:c r="E12" s="26"/>
      <x:c r="F12" s="26"/>
      <x:c r="G12" s="26"/>
    </x:row>
    <x:row r="13">
      <x:c r="A13" s="20" t="str">
        <x:v>Metric</x:v>
      </x:c>
      <x:c r="B13" s="20" t="str">
        <x:v>Seltzers</x:v>
      </x:c>
      <x:c r="C13" s="20" t="str">
        <x:v>Gummies</x:v>
      </x:c>
      <x:c r="D13" s="20" t="str">
        <x:v>Total</x:v>
      </x:c>
      <x:c r="E13" s="26"/>
      <x:c r="F13" s="26"/>
      <x:c r="G13" s="26"/>
    </x:row>
    <x:row r="14">
      <x:c r="A14" s="26" t="str">
        <x:v>Total Cases</x:v>
      </x:c>
      <x:c r="B14" s="117" t="n">
        <x:f>SUMIFS('Depletion Log'!$M$7:$M$56,'Depletion Log'!$H$7:$H$56,"Sales Rep 04",'Depletion Log'!$L$7:$L$56,"Seltzer")</x:f>
        <x:v>0</x:v>
      </x:c>
      <x:c r="C14" s="117" t="n">
        <x:f>SUMIFS('Depletion Log'!$M$7:$M$56,'Depletion Log'!$H$7:$H$56,"Sales Rep 04",'Depletion Log'!$L$7:$L$56,"Gummy")</x:f>
        <x:v>2</x:v>
      </x:c>
      <x:c r="D14" s="117" t="n">
        <x:f>B14+C14</x:f>
        <x:v>2</x:v>
      </x:c>
      <x:c r="E14" s="26"/>
      <x:c r="F14" s="26"/>
      <x:c r="G14" s="26"/>
    </x:row>
    <x:row r="15">
      <x:c r="A15" s="26" t="str">
        <x:v>Total Revenue</x:v>
      </x:c>
      <x:c r="B15" s="102" t="n">
        <x:f>SUMIFS('Depletion Log'!$O$7:$O$56,'Depletion Log'!$H$7:$H$56,"Sales Rep 04",'Depletion Log'!$L$7:$L$56,"Seltzer")</x:f>
        <x:v>0</x:v>
      </x:c>
      <x:c r="C15" s="102" t="n">
        <x:f>SUMIFS('Depletion Log'!$O$7:$O$56,'Depletion Log'!$H$7:$H$56,"Sales Rep 04",'Depletion Log'!$L$7:$L$56,"Gummy")</x:f>
        <x:v>194</x:v>
      </x:c>
      <x:c r="D15" s="102" t="n">
        <x:f>B15+C15</x:f>
        <x:v>194</x:v>
      </x:c>
      <x:c r="E15" s="26"/>
      <x:c r="F15" s="26"/>
      <x:c r="G15" s="26"/>
    </x:row>
    <x:row r="16">
      <x:c r="A16" s="26" t="str">
        <x:v>Total COGS</x:v>
      </x:c>
      <x:c r="B16" s="102" t="n">
        <x:f>SUMIFS('Depletion Log'!$T$7:$T$56,'Depletion Log'!$H$7:$H$56,"Sales Rep 04",'Depletion Log'!$L$7:$L$56,"Seltzer")</x:f>
        <x:v>0</x:v>
      </x:c>
      <x:c r="C16" s="102" t="n">
        <x:f>SUMIFS('Depletion Log'!$T$7:$T$56,'Depletion Log'!$H$7:$H$56,"Sales Rep 04",'Depletion Log'!$L$7:$L$56,"Gummy")</x:f>
        <x:v>112</x:v>
      </x:c>
      <x:c r="D16" s="102" t="n">
        <x:f>B16+C16</x:f>
        <x:v>112</x:v>
      </x:c>
      <x:c r="E16" s="26"/>
      <x:c r="F16" s="26"/>
      <x:c r="G16" s="26"/>
    </x:row>
    <x:row r="17">
      <x:c r="A17" s="26" t="str">
        <x:v>Gross Profit</x:v>
      </x:c>
      <x:c r="B17" s="102" t="n">
        <x:f>SUMIFS('Depletion Log'!$U$7:$U$56,'Depletion Log'!$H$7:$H$56,"Sales Rep 04",'Depletion Log'!$L$7:$L$56,"Seltzer")</x:f>
        <x:v>0</x:v>
      </x:c>
      <x:c r="C17" s="102" t="n">
        <x:f>SUMIFS('Depletion Log'!$U$7:$U$56,'Depletion Log'!$H$7:$H$56,"Sales Rep 04",'Depletion Log'!$L$7:$L$56,"Gummy")</x:f>
        <x:v>82</x:v>
      </x:c>
      <x:c r="D17" s="102" t="n">
        <x:f>B17+C17</x:f>
        <x:v>82</x:v>
      </x:c>
      <x:c r="E17" s="26"/>
      <x:c r="F17" s="26"/>
      <x:c r="G17" s="26"/>
    </x:row>
    <x:row r="18">
      <x:c r="A18" s="26" t="str">
        <x:v>Unique Invoices</x:v>
      </x:c>
      <x:c r="B18" s="117" t="n">
        <x:f>COUNTIFS('Depletion Log'!$H$7:$H$56,"Sales Rep 04",'Depletion Log'!$L$7:$L$56,"Seltzer",'Depletion Log'!$W$7:$W$56,1)</x:f>
        <x:v>0</x:v>
      </x:c>
      <x:c r="C18" s="117" t="n">
        <x:f>COUNTIFS('Depletion Log'!$H$7:$H$56,"Sales Rep 04",'Depletion Log'!$L$7:$L$56,"Gummy",'Depletion Log'!$W$7:$W$56,1)</x:f>
        <x:v>1</x:v>
      </x:c>
      <x:c r="D18" s="117" t="n">
        <x:f>B18+C18</x:f>
        <x:v>1</x:v>
      </x:c>
      <x:c r="E18" s="26"/>
      <x:c r="F18" s="26"/>
      <x:c r="G18" s="26"/>
    </x:row>
    <x:row r="19">
      <x:c r="A19" s="26" t="str">
        <x:v>Unique Invoices (All)</x:v>
      </x:c>
      <x:c r="B19" s="117"/>
      <x:c r="C19" s="117"/>
      <x:c r="D19" s="117" t="n">
        <x:f>COUNTIFS('Depletion Log'!$H$7:$H$56,"Sales Rep 04",'Depletion Log'!$W$7:$W$56,1)</x:f>
        <x:v>1</x:v>
      </x:c>
      <x:c r="E19" s="26"/>
      <x:c r="F19" s="26"/>
      <x:c r="G19" s="26"/>
    </x:row>
    <x:row r="20">
      <x:c r="A20" s="26"/>
      <x:c r="B20" s="26"/>
      <x:c r="C20" s="26"/>
      <x:c r="D20" s="26"/>
      <x:c r="E20" s="26"/>
      <x:c r="F20" s="26"/>
      <x:c r="G20" s="26"/>
    </x:row>
    <x:row r="21">
      <x:c r="A21" s="26"/>
      <x:c r="B21" s="26"/>
      <x:c r="C21" s="26"/>
      <x:c r="D21" s="26"/>
      <x:c r="E21" s="26"/>
      <x:c r="F21" s="26"/>
      <x:c r="G21" s="26"/>
    </x:row>
    <x:row r="22">
      <x:c r="A22" s="35" t="str">
        <x:v>COMMISSION CALCULATION</x:v>
      </x:c>
      <x:c r="B22" s="35" t="str"/>
      <x:c r="C22" s="35" t="str"/>
      <x:c r="D22" s="26"/>
      <x:c r="E22" s="26"/>
      <x:c r="F22" s="26"/>
      <x:c r="G22" s="26"/>
    </x:row>
    <x:row r="23">
      <x:c r="A23" s="26" t="str">
        <x:v>Commission Rates</x:v>
      </x:c>
      <x:c r="B23" s="26" t="str"/>
      <x:c r="C23" s="26"/>
      <x:c r="D23" s="26"/>
      <x:c r="E23" s="26"/>
      <x:c r="F23" s="26"/>
      <x:c r="G23" s="26"/>
    </x:row>
    <x:row r="24">
      <x:c r="A24" s="26" t="str">
        <x:v>New Account Rate</x:v>
      </x:c>
      <x:c r="B24" s="118" t="n">
        <x:v>0.1</x:v>
      </x:c>
      <x:c r="C24" s="26"/>
      <x:c r="D24" s="26"/>
      <x:c r="E24" s="26"/>
      <x:c r="F24" s="26"/>
      <x:c r="G24" s="26"/>
    </x:row>
    <x:row r="25">
      <x:c r="A25" s="26" t="str">
        <x:v>Reorder Rate</x:v>
      </x:c>
      <x:c r="B25" s="118" t="n">
        <x:v>0.05</x:v>
      </x:c>
      <x:c r="C25" s="26"/>
      <x:c r="D25" s="26"/>
      <x:c r="E25" s="26"/>
      <x:c r="F25" s="26"/>
      <x:c r="G25" s="26"/>
    </x:row>
    <x:row r="26">
      <x:c r="A26" s="26" t="str">
        <x:v>Mileage Rate ($/mile)</x:v>
      </x:c>
      <x:c r="B26" s="60" t="n">
        <x:v>0.5</x:v>
      </x:c>
      <x:c r="C26" s="26"/>
      <x:c r="D26" s="26"/>
      <x:c r="E26" s="26"/>
      <x:c r="F26" s="26"/>
      <x:c r="G26" s="26"/>
    </x:row>
    <x:row r="27">
      <x:c r="A27" s="26" t="str">
        <x:v>Bonus Threshold</x:v>
      </x:c>
      <x:c r="B27" s="60" t="n">
        <x:v>10000</x:v>
      </x:c>
      <x:c r="C27" s="26"/>
      <x:c r="D27" s="26"/>
      <x:c r="E27" s="26"/>
      <x:c r="F27" s="26"/>
      <x:c r="G27" s="26"/>
    </x:row>
    <x:row r="28">
      <x:c r="A28" s="26"/>
      <x:c r="B28" s="26"/>
      <x:c r="C28" s="26"/>
      <x:c r="D28" s="26"/>
      <x:c r="E28" s="26"/>
      <x:c r="F28" s="26"/>
      <x:c r="G28" s="26"/>
    </x:row>
    <x:row r="29">
      <x:c r="A29" s="20" t="str">
        <x:v>Paid Revenue Breakdown (All-Time)</x:v>
      </x:c>
      <x:c r="B29" s="20" t="str">
        <x:v>Amount</x:v>
      </x:c>
      <x:c r="C29" s="20" t="str">
        <x:v>Commission</x:v>
      </x:c>
      <x:c r="D29" s="26"/>
      <x:c r="E29" s="26"/>
      <x:c r="F29" s="26"/>
      <x:c r="G29" s="26"/>
    </x:row>
    <x:row r="30">
      <x:c r="A30" s="26" t="str">
        <x:v>New Paid Revenue</x:v>
      </x:c>
      <x:c r="B30" s="102" t="n">
        <x:f>SUMIFS('Depletion Log'!$O$7:$O$56,'Depletion Log'!$H$7:$H$56,"Sales Rep 04",'Depletion Log'!$P$7:$P$56,"Paid",'Depletion Log'!$R$7:$R$56,"New")</x:f>
        <x:v>0</x:v>
      </x:c>
      <x:c r="C30" s="102" t="n">
        <x:f>B30*$B$24</x:f>
        <x:v>0</x:v>
      </x:c>
      <x:c r="D30" s="26"/>
      <x:c r="E30" s="26"/>
      <x:c r="F30" s="26"/>
      <x:c r="G30" s="26"/>
    </x:row>
    <x:row r="31">
      <x:c r="A31" s="26" t="str">
        <x:v>Reorder Paid Revenue</x:v>
      </x:c>
      <x:c r="B31" s="102" t="n">
        <x:f>SUMIFS('Depletion Log'!$O$7:$O$56,'Depletion Log'!$H$7:$H$56,"Sales Rep 04",'Depletion Log'!$P$7:$P$56,"Paid",'Depletion Log'!$R$7:$R$56,"Reorder")</x:f>
        <x:v>194</x:v>
      </x:c>
      <x:c r="C31" s="102" t="n">
        <x:f>B31*$B$25</x:f>
        <x:v>9.700000000000001</x:v>
      </x:c>
      <x:c r="D31" s="26"/>
      <x:c r="E31" s="26"/>
      <x:c r="F31" s="26"/>
      <x:c r="G31" s="26"/>
    </x:row>
    <x:row r="32">
      <x:c r="A32" s="26" t="str">
        <x:v>Unpaid/Pending Revenue</x:v>
      </x:c>
      <x:c r="B32" s="102" t="n">
        <x:f>SUMIFS('Depletion Log'!$O$7:$O$56,'Depletion Log'!$H$7:$H$56,"Sales Rep 04",'Depletion Log'!$P$7:$P$56,"&lt;&gt;Paid")</x:f>
        <x:v>0</x:v>
      </x:c>
      <x:c r="C32" s="102" t="str">
        <x:v>Pending until paid</x:v>
      </x:c>
      <x:c r="D32" s="26"/>
      <x:c r="E32" s="26"/>
      <x:c r="F32" s="26"/>
      <x:c r="G32" s="26"/>
    </x:row>
    <x:row r="33">
      <x:c r="A33" s="26" t="str">
        <x:v>Untagged Paid Revenue</x:v>
      </x:c>
      <x:c r="B33" s="102" t="n">
        <x:f>SUMIFS('Depletion Log'!$O$7:$O$56,'Depletion Log'!$H$7:$H$56,"Sales Rep 04",'Depletion Log'!$P$7:$P$56,"Paid",'Depletion Log'!$R$7:$R$56,"")</x:f>
        <x:v>0</x:v>
      </x:c>
      <x:c r="C33" s="102" t="str">
        <x:v>Tag as New/Reorder</x:v>
      </x:c>
      <x:c r="D33" s="26"/>
      <x:c r="E33" s="26"/>
      <x:c r="F33" s="26"/>
      <x:c r="G33" s="26"/>
    </x:row>
    <x:row r="34">
      <x:c r="A34" s="26"/>
      <x:c r="B34" s="102"/>
      <x:c r="C34" s="102"/>
      <x:c r="D34" s="26"/>
      <x:c r="E34" s="26"/>
      <x:c r="F34" s="26"/>
      <x:c r="G34" s="26"/>
    </x:row>
    <x:row r="35">
      <x:c r="A35" s="26" t="str">
        <x:v>PAID COMMISSION ELIGIBLE</x:v>
      </x:c>
      <x:c r="B35" s="102" t="str"/>
      <x:c r="C35" s="102" t="n">
        <x:f>C30+C31</x:f>
        <x:v>9.700000000000001</x:v>
      </x:c>
      <x:c r="D35" s="26"/>
      <x:c r="E35" s="26"/>
      <x:c r="F35" s="26"/>
      <x:c r="G35" s="26"/>
    </x:row>
    <x:row r="36">
      <x:c r="A36" s="26" t="str">
        <x:v>PENDING COMMISSION ESTIMATE</x:v>
      </x:c>
      <x:c r="B36" s="102" t="str"/>
      <x:c r="C36" s="102" t="n">
        <x:f>B32*MAX($B$24,$B$25)</x:f>
        <x:v>0</x:v>
      </x:c>
      <x:c r="D36" s="26"/>
      <x:c r="E36" s="26"/>
      <x:c r="F36" s="26"/>
      <x:c r="G36" s="26"/>
    </x:row>
    <x:row r="37">
      <x:c r="A37" s="26" t="str">
        <x:v>GROSS COMMISSION</x:v>
      </x:c>
      <x:c r="B37" s="102" t="str"/>
      <x:c r="C37" s="102" t="n">
        <x:f>IF(B30+B31&gt;$B$27,$C$35*1.03,$C$35)</x:f>
        <x:v>9.700000000000001</x:v>
      </x:c>
      <x:c r="D37" s="26"/>
      <x:c r="E37" s="26"/>
      <x:c r="F37" s="26"/>
      <x:c r="G37" s="26"/>
    </x:row>
    <x:row r="38">
      <x:c r="A38" s="26"/>
      <x:c r="B38" s="26"/>
      <x:c r="C38" s="26"/>
      <x:c r="D38" s="26"/>
      <x:c r="E38" s="26"/>
      <x:c r="F38" s="26"/>
      <x:c r="G38" s="26"/>
    </x:row>
    <x:row r="39">
      <x:c r="A39" s="26"/>
      <x:c r="B39" s="26"/>
      <x:c r="C39" s="26"/>
      <x:c r="D39" s="26"/>
      <x:c r="E39" s="26"/>
      <x:c r="F39" s="26"/>
      <x:c r="G39" s="26"/>
    </x:row>
    <x:row r="40">
      <x:c r="A40" s="35" t="str">
        <x:v>1099 TAX ESTIMATE — ILLUSTRATIVE</x:v>
      </x:c>
      <x:c r="B40" s="35" t="str"/>
      <x:c r="C40" s="35" t="str"/>
      <x:c r="D40" s="26"/>
      <x:c r="E40" s="26"/>
      <x:c r="F40" s="26"/>
      <x:c r="G40" s="26"/>
    </x:row>
    <x:row r="41">
      <x:c r="A41" s="26" t="str">
        <x:v>Tax Rates (adjustable)</x:v>
      </x:c>
      <x:c r="B41" s="26" t="str"/>
      <x:c r="C41" s="26"/>
      <x:c r="D41" s="26"/>
      <x:c r="E41" s="26"/>
      <x:c r="F41" s="26"/>
      <x:c r="G41" s="26"/>
    </x:row>
    <x:row r="42">
      <x:c r="A42" s="26" t="str">
        <x:v>Self-Employment Tax Rate</x:v>
      </x:c>
      <x:c r="B42" s="119" t="n">
        <x:v>0.153</x:v>
      </x:c>
      <x:c r="C42" s="26"/>
      <x:c r="D42" s="26"/>
      <x:c r="E42" s="26"/>
      <x:c r="F42" s="26"/>
      <x:c r="G42" s="26"/>
    </x:row>
    <x:row r="43">
      <x:c r="A43" s="26" t="str">
        <x:v>Federal Income Tax Rate</x:v>
      </x:c>
      <x:c r="B43" s="119" t="n">
        <x:v>0.22</x:v>
      </x:c>
      <x:c r="C43" s="26"/>
      <x:c r="D43" s="26"/>
      <x:c r="E43" s="26"/>
      <x:c r="F43" s="26"/>
      <x:c r="G43" s="26"/>
    </x:row>
    <x:row r="44">
      <x:c r="A44" s="26" t="str">
        <x:v>MN State Tax Rate</x:v>
      </x:c>
      <x:c r="B44" s="119" t="n">
        <x:v>0.0985</x:v>
      </x:c>
      <x:c r="C44" s="26"/>
      <x:c r="D44" s="26"/>
      <x:c r="E44" s="26"/>
      <x:c r="F44" s="26"/>
      <x:c r="G44" s="26"/>
    </x:row>
    <x:row r="45">
      <x:c r="A45" s="26"/>
      <x:c r="B45" s="26"/>
      <x:c r="C45" s="26"/>
      <x:c r="D45" s="26"/>
      <x:c r="E45" s="26"/>
      <x:c r="F45" s="26"/>
      <x:c r="G45" s="26"/>
    </x:row>
    <x:row r="46">
      <x:c r="A46" s="26" t="str">
        <x:v>Self-Employment Tax</x:v>
      </x:c>
      <x:c r="B46" s="102" t="n">
        <x:f>$C$37*$B$42</x:f>
        <x:v>1.4841000000000002</x:v>
      </x:c>
      <x:c r="C46" s="26"/>
      <x:c r="D46" s="26"/>
      <x:c r="E46" s="26"/>
      <x:c r="F46" s="26"/>
      <x:c r="G46" s="26"/>
    </x:row>
    <x:row r="47">
      <x:c r="A47" s="26" t="str">
        <x:v>Deductible SE (50%)</x:v>
      </x:c>
      <x:c r="B47" s="102" t="n">
        <x:f>B46*0.5</x:f>
        <x:v>0.7420500000000001</x:v>
      </x:c>
      <x:c r="C47" s="26"/>
      <x:c r="D47" s="26"/>
      <x:c r="E47" s="26"/>
      <x:c r="F47" s="26"/>
      <x:c r="G47" s="26"/>
    </x:row>
    <x:row r="48">
      <x:c r="A48" s="26" t="str">
        <x:v>Federal Income Tax</x:v>
      </x:c>
      <x:c r="B48" s="102" t="n">
        <x:f>MAX(0,$C$37-B47)*$B$43</x:f>
        <x:v>1.970749</x:v>
      </x:c>
      <x:c r="C48" s="26"/>
      <x:c r="D48" s="26"/>
      <x:c r="E48" s="26"/>
      <x:c r="F48" s="26"/>
      <x:c r="G48" s="26"/>
    </x:row>
    <x:row r="49">
      <x:c r="A49" s="26" t="str">
        <x:v>MN State Income Tax</x:v>
      </x:c>
      <x:c r="B49" s="102" t="n">
        <x:f>MAX(0,$C$37-B47)*$B$44</x:f>
        <x:v>0.8823580750000001</x:v>
      </x:c>
      <x:c r="C49" s="26"/>
      <x:c r="D49" s="26"/>
      <x:c r="E49" s="26"/>
      <x:c r="F49" s="26"/>
      <x:c r="G49" s="26"/>
    </x:row>
    <x:row r="50">
      <x:c r="A50" s="26" t="str">
        <x:v>TOTAL ESTIMATED TAX</x:v>
      </x:c>
      <x:c r="B50" s="102" t="n">
        <x:f>SUM(B46,B48,B49)</x:f>
        <x:v>4.337207075</x:v>
      </x:c>
      <x:c r="C50" s="26"/>
      <x:c r="D50" s="26"/>
      <x:c r="E50" s="26"/>
      <x:c r="F50" s="26"/>
      <x:c r="G50" s="26"/>
    </x:row>
    <x:row r="51">
      <x:c r="A51" s="26" t="str">
        <x:v>Estimated Net Payout</x:v>
      </x:c>
      <x:c r="B51" s="102" t="n">
        <x:f>$C$37-B50</x:f>
        <x:v>5.362792925000001</x:v>
      </x:c>
      <x:c r="C51" s="26"/>
      <x:c r="D51" s="26"/>
      <x:c r="E51" s="26"/>
      <x:c r="F51" s="26"/>
      <x:c r="G51" s="26"/>
    </x:row>
    <x:row r="52">
      <x:c r="A52" s="26"/>
      <x:c r="B52" s="26"/>
      <x:c r="C52" s="26"/>
      <x:c r="D52" s="26"/>
      <x:c r="E52" s="26"/>
      <x:c r="F52" s="26"/>
      <x:c r="G52" s="26"/>
    </x:row>
    <x:row r="53">
      <x:c r="A53" s="12" t="str">
        <x:v>Illustrative only. Replace mock rates only in a restricted internal production copy and consult a tax professional for actual obligations.</x:v>
      </x:c>
      <x:c r="B53" s="12"/>
      <x:c r="C53" s="12"/>
      <x:c r="D53" s="12"/>
      <x:c r="E53" s="12"/>
      <x:c r="F53" s="12"/>
      <x:c r="G53" s="12"/>
    </x:row>
  </x:sheetData>
  <x:mergeCells>
    <x:mergeCell ref="A1:G1"/>
    <x:mergeCell ref="A2:G2"/>
    <x:mergeCell ref="A53:G53"/>
  </x:mergeCells>
  <x:pageMargins left="0.7" right="0.7" top="0.75" bottom="0.75" header="0.3" footer="0.3"/>
</x:worksheet>
</file>