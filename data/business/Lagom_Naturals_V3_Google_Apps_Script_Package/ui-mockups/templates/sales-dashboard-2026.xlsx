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up Guide" sheetId="1" state="visible" r:id="rId3"/>
    <sheet name="Dashboard" sheetId="2" state="visible" r:id="rId4"/>
    <sheet name="Deal Pipeline" sheetId="3" state="visible" r:id="rId5"/>
    <sheet name="Rep Performance" sheetId="4" state="visible" r:id="rId6"/>
    <sheet name="Quotas" sheetId="5" state="visible" r:id="rId7"/>
    <sheet name="Historical Trends" sheetId="6" state="visible" r:id="rId8"/>
  </sheets>
  <definedNames>
    <definedName function="false" hidden="false" localSheetId="1" name="_xlnm.Print_Area" vbProcedure="false">Dashboard!$A$1:$J$27</definedName>
    <definedName function="false" hidden="false" name="DealCloseActual" vbProcedure="false">'Deal Pipeline'!$I$15:$I$64</definedName>
    <definedName function="false" hidden="false" name="DealReps" vbProcedure="false">'Deal Pipeline'!$C$15:$C$64</definedName>
    <definedName function="false" hidden="false" name="DealStages" vbProcedure="false">'Deal Pipeline'!$D$15:$D$64</definedName>
    <definedName function="false" hidden="false" name="DealValues" vbProcedure="false">'Deal Pipeline'!$E$15:$E$64</definedName>
    <definedName function="false" hidden="false" name="DealWeighted" vbProcedure="false">'Deal Pipeline'!$G$15:$G$64</definedName>
    <definedName function="false" hidden="false" name="QuotaTable" vbProcedure="false">Quotas!$B$5:$E$14</definedName>
    <definedName function="false" hidden="false" name="RepList" vbProcedure="false">Quotas!$B$5:$B$14</definedName>
    <definedName function="false" hidden="false" name="StageNames" vbProcedure="false">'Deal Pipeline'!$A$6:$A$11</definedName>
    <definedName function="false" hidden="false" name="StageProbTable" vbProcedure="false">'Deal Pipeline'!$A$6:$B$11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<sst xmlns="http://schemas.openxmlformats.org/spreadsheetml/2006/main" count="255" uniqueCount="174">
  <si>
    <t xml:space="preserve">SHEETS &amp; CELLS — SALES DASHBOARD 2026</t>
  </si>
  <si>
    <t xml:space="preserve">Free sales dashboard with pipeline funnel + rep leaderboard + quota tracking. sheetsandcells.com/templates/sales-dashboard/</t>
  </si>
  <si>
    <t xml:space="preserve">▶ QUICK START (5 minutes)</t>
  </si>
  <si>
    <t xml:space="preserve">1.</t>
  </si>
  <si>
    <t xml:space="preserve">Open QUOTAS. Update each rep's name, email, territory, and monthly quota. Add or remove rows for your team.</t>
  </si>
  <si>
    <t xml:space="preserve">2.</t>
  </si>
  <si>
    <t xml:space="preserve">Open DEAL PIPELINE. The pre-filled sample deals show how the template works. Replace with your real deals: deal name, client, rep (dropdown), stage (dropdown), value, expected close date.</t>
  </si>
  <si>
    <t xml:space="preserve">3.</t>
  </si>
  <si>
    <t xml:space="preserve">Open DASHBOARD. Four KPI cards at top, pipeline funnel in middle, rep leaderboard at bottom — all auto-calculated. Change any deal stage on the Deal Pipeline sheet to see everything update.</t>
  </si>
  <si>
    <t xml:space="preserve">4.</t>
  </si>
  <si>
    <t xml:space="preserve">Open REP PERFORMANCE for per-rep detail. Open HISTORICAL TRENDS for 12-month team view. Both feed off the Deal Pipeline sheet.</t>
  </si>
  <si>
    <t xml:space="preserve">▶ WHAT EACH SHEET DOES</t>
  </si>
  <si>
    <t xml:space="preserve">• Dashboard — 4 KPI cards (pipeline, attainment, win rate, avg deal), pipeline funnel by stage, rep leaderboard with progress bars. Print landscape for one-page reports.</t>
  </si>
  <si>
    <t xml:space="preserve">• Deal Pipeline — Every open and closed deal. Includes a small STAGE CONFIG section at the top where you customize win probabilities per stage. Stage names drive dropdowns everywhere.</t>
  </si>
  <si>
    <t xml:space="preserve">• Rep Performance — Per-rep rollup: open deals, pipeline value, won deals, revenue, attainment %. Color-coded attainment (green/yellow/red). Feeds the Dashboard leaderboard.</t>
  </si>
  <si>
    <t xml:space="preserve">• Quotas — Rep list and monthly quota assignments. Add or remove reps as your team changes.</t>
  </si>
  <si>
    <t xml:space="preserve">• Historical Trends — 12-month rolling team performance: revenue, deals won, win rate, avg deal, cycle length. Current month pulls live from Deal Pipeline.</t>
  </si>
  <si>
    <t xml:space="preserve">▶ TIPS</t>
  </si>
  <si>
    <t xml:space="preserve">• Update Deal Pipeline weekly (or after every won deal) — the dashboard is only as current as your data.</t>
  </si>
  <si>
    <t xml:space="preserve">• Change a deal stage on the Deal Pipeline sheet and watch the funnel + leaderboard update instantly.</t>
  </si>
  <si>
    <t xml:space="preserve">• Log closed-lost deals too — they're needed for accurate win-rate calculation.</t>
  </si>
  <si>
    <t xml:space="preserve">• For weekly team meetings: print the Dashboard sheet (already configured landscape, fit-to-page) or save as PDF.</t>
  </si>
  <si>
    <t xml:space="preserve">• Customize stage names on the Stage Config section (Deal Pipeline sheet, rows 5-11). The dropdowns everywhere else update automatically.</t>
  </si>
  <si>
    <t xml:space="preserve">• Import from your CRM: export deals as CSV, paste into Deal Pipeline matching the column structure.</t>
  </si>
  <si>
    <t xml:space="preserve">Built by Sheets &amp; Cells. Free for personal &amp; commercial use. sheetsandcells.com</t>
  </si>
  <si>
    <t xml:space="preserve">Q1 2026 SALES PERFORMANCE</t>
  </si>
  <si>
    <t xml:space="preserve">TOTAL PIPELINE</t>
  </si>
  <si>
    <t xml:space="preserve">MONTHLY ATTAINMENT</t>
  </si>
  <si>
    <t xml:space="preserve">WIN RATE</t>
  </si>
  <si>
    <t xml:space="preserve">AVG DEAL SIZE</t>
  </si>
  <si>
    <t xml:space="preserve">▶ PIPELINE BY STAGE</t>
  </si>
  <si>
    <t xml:space="preserve">Stage</t>
  </si>
  <si>
    <t xml:space="preserve">Deals</t>
  </si>
  <si>
    <t xml:space="preserve">Total Value</t>
  </si>
  <si>
    <t xml:space="preserve">Value Distribution (bar shows relative size)</t>
  </si>
  <si>
    <t xml:space="preserve">Weighted</t>
  </si>
  <si>
    <t xml:space="preserve">Prospecting</t>
  </si>
  <si>
    <t xml:space="preserve">Qualification</t>
  </si>
  <si>
    <t xml:space="preserve">Proposal</t>
  </si>
  <si>
    <t xml:space="preserve">Negotiation</t>
  </si>
  <si>
    <t xml:space="preserve">Closed Won</t>
  </si>
  <si>
    <t xml:space="preserve">▶ REP LEADERBOARD (Quarter to Date)</t>
  </si>
  <si>
    <t xml:space="preserve">Rep</t>
  </si>
  <si>
    <t xml:space="preserve">Rank</t>
  </si>
  <si>
    <t xml:space="preserve">Revenue</t>
  </si>
  <si>
    <t xml:space="preserve">Quota Progress</t>
  </si>
  <si>
    <t xml:space="preserve">Attainment</t>
  </si>
  <si>
    <t xml:space="preserve">💡 All numbers pull from Deal Pipeline and Quotas. Change any deal stage or quota — this dashboard updates instantly.</t>
  </si>
  <si>
    <t xml:space="preserve">DEAL PIPELINE</t>
  </si>
  <si>
    <t xml:space="preserve">Log every open and closed deal here. The Dashboard, Rep Performance, and Historical Trends sheets all read from this list.</t>
  </si>
  <si>
    <t xml:space="preserve">▶ STAGE CONFIG (customize probabilities per stage)</t>
  </si>
  <si>
    <t xml:space="preserve">Stage Name</t>
  </si>
  <si>
    <t xml:space="preserve">Default Probability</t>
  </si>
  <si>
    <t xml:space="preserve">Order</t>
  </si>
  <si>
    <t xml:space="preserve">Type</t>
  </si>
  <si>
    <t xml:space="preserve">Open</t>
  </si>
  <si>
    <t xml:space="preserve">Closed</t>
  </si>
  <si>
    <t xml:space="preserve">Closed Lost</t>
  </si>
  <si>
    <t xml:space="preserve">▶ DEALS</t>
  </si>
  <si>
    <t xml:space="preserve">Deal Name</t>
  </si>
  <si>
    <t xml:space="preserve">Client Company</t>
  </si>
  <si>
    <t xml:space="preserve">Value ($)</t>
  </si>
  <si>
    <t xml:space="preserve">Prob (%)</t>
  </si>
  <si>
    <t xml:space="preserve">Weighted ($)</t>
  </si>
  <si>
    <t xml:space="preserve">Close Est.</t>
  </si>
  <si>
    <t xml:space="preserve">Close Actual</t>
  </si>
  <si>
    <t xml:space="preserve">Notes</t>
  </si>
  <si>
    <t xml:space="preserve">Acme Corp — Enterprise renewal</t>
  </si>
  <si>
    <t xml:space="preserve">Acme Corp</t>
  </si>
  <si>
    <t xml:space="preserve">Sarah Chen</t>
  </si>
  <si>
    <t xml:space="preserve">Northline Group — Global rollout</t>
  </si>
  <si>
    <t xml:space="preserve">Northline Group</t>
  </si>
  <si>
    <t xml:space="preserve">Riverside Health — Analytics module</t>
  </si>
  <si>
    <t xml:space="preserve">Riverside Health</t>
  </si>
  <si>
    <t xml:space="preserve">Bloom Retail — Multi-store license</t>
  </si>
  <si>
    <t xml:space="preserve">Bloom Retail</t>
  </si>
  <si>
    <t xml:space="preserve">Marcus Rivera</t>
  </si>
  <si>
    <t xml:space="preserve">Vermont Bakery Co — Ops suite</t>
  </si>
  <si>
    <t xml:space="preserve">Vermont Bakery Co</t>
  </si>
  <si>
    <t xml:space="preserve">Peakstone Auto — Fleet software</t>
  </si>
  <si>
    <t xml:space="preserve">Peakstone Auto</t>
  </si>
  <si>
    <t xml:space="preserve">Chapman Legal — Practice suite</t>
  </si>
  <si>
    <t xml:space="preserve">Chapman Legal</t>
  </si>
  <si>
    <t xml:space="preserve">Priya Kumar</t>
  </si>
  <si>
    <t xml:space="preserve">Meridian Consulting — Team plan</t>
  </si>
  <si>
    <t xml:space="preserve">Meridian Consulting</t>
  </si>
  <si>
    <t xml:space="preserve">Delta Studios — Team of 24</t>
  </si>
  <si>
    <t xml:space="preserve">Delta Studios</t>
  </si>
  <si>
    <t xml:space="preserve">Jake Morris</t>
  </si>
  <si>
    <t xml:space="preserve">Foothill Ventures — Portfolio license</t>
  </si>
  <si>
    <t xml:space="preserve">Foothill Ventures</t>
  </si>
  <si>
    <t xml:space="preserve">Sunrise Community College — Suite</t>
  </si>
  <si>
    <t xml:space="preserve">Sunrise Community College</t>
  </si>
  <si>
    <t xml:space="preserve">Everest Media — Content package</t>
  </si>
  <si>
    <t xml:space="preserve">Everest Media</t>
  </si>
  <si>
    <t xml:space="preserve">Diana Lee</t>
  </si>
  <si>
    <t xml:space="preserve">Cascade Realty — CRM upgrade</t>
  </si>
  <si>
    <t xml:space="preserve">Cascade Realty</t>
  </si>
  <si>
    <t xml:space="preserve">Fairfield Bank — Compliance module</t>
  </si>
  <si>
    <t xml:space="preserve">Fairfield Bank</t>
  </si>
  <si>
    <t xml:space="preserve">Tom Baxter</t>
  </si>
  <si>
    <t xml:space="preserve">Redstone Manufacturing — Deal lost</t>
  </si>
  <si>
    <t xml:space="preserve">Redstone Manufacturing</t>
  </si>
  <si>
    <t xml:space="preserve">Blackwater Logistics — chose competitor</t>
  </si>
  <si>
    <t xml:space="preserve">Blackwater Logistics</t>
  </si>
  <si>
    <t xml:space="preserve">Ridgeway Bank — no budget</t>
  </si>
  <si>
    <t xml:space="preserve">Ridgeway Bank</t>
  </si>
  <si>
    <t xml:space="preserve">Solstice Advisors — Contract review</t>
  </si>
  <si>
    <t xml:space="preserve">Solstice Advisors</t>
  </si>
  <si>
    <t xml:space="preserve">Harbor Digital — Legal in progress</t>
  </si>
  <si>
    <t xml:space="preserve">Harbor Digital</t>
  </si>
  <si>
    <t xml:space="preserve">Ironwood Financial — Final terms</t>
  </si>
  <si>
    <t xml:space="preserve">Ironwood Financial</t>
  </si>
  <si>
    <t xml:space="preserve">Silverpeak Foods — Proposal sent</t>
  </si>
  <si>
    <t xml:space="preserve">Silverpeak Foods</t>
  </si>
  <si>
    <t xml:space="preserve">Meadowlark Media — Q1 evaluation</t>
  </si>
  <si>
    <t xml:space="preserve">Meadowlark Media</t>
  </si>
  <si>
    <t xml:space="preserve">Coastline Insurance — Pricing sent</t>
  </si>
  <si>
    <t xml:space="preserve">Coastline Insurance</t>
  </si>
  <si>
    <t xml:space="preserve">Ridgeline Marketing — Fit call scheduled</t>
  </si>
  <si>
    <t xml:space="preserve">Ridgeline Marketing</t>
  </si>
  <si>
    <t xml:space="preserve">Old Mill Coffee — Timeline discussion</t>
  </si>
  <si>
    <t xml:space="preserve">Old Mill Coffee</t>
  </si>
  <si>
    <t xml:space="preserve">Beacon Studios — Budget check</t>
  </si>
  <si>
    <t xml:space="preserve">Beacon Studios</t>
  </si>
  <si>
    <t xml:space="preserve">Cypress Consulting — POC discussion</t>
  </si>
  <si>
    <t xml:space="preserve">Cypress Consulting</t>
  </si>
  <si>
    <t xml:space="preserve">Lakeside Ventures — Cold outreach</t>
  </si>
  <si>
    <t xml:space="preserve">Lakeside Ventures</t>
  </si>
  <si>
    <t xml:space="preserve">Grandview Realty — Referral</t>
  </si>
  <si>
    <t xml:space="preserve">Grandview Realty</t>
  </si>
  <si>
    <t xml:space="preserve">Alpine Analytics — Inbound lead</t>
  </si>
  <si>
    <t xml:space="preserve">Alpine Analytics</t>
  </si>
  <si>
    <t xml:space="preserve">REP PERFORMANCE</t>
  </si>
  <si>
    <t xml:space="preserve">Per-rep rollup of deals worked, closed, revenue, and attainment. All numbers calculated from the Deal Pipeline sheet.</t>
  </si>
  <si>
    <t xml:space="preserve">#</t>
  </si>
  <si>
    <t xml:space="preserve">Rep Name</t>
  </si>
  <si>
    <t xml:space="preserve">Open Deals</t>
  </si>
  <si>
    <t xml:space="preserve">Pipeline $</t>
  </si>
  <si>
    <t xml:space="preserve">Won Deals</t>
  </si>
  <si>
    <t xml:space="preserve">Revenue $</t>
  </si>
  <si>
    <t xml:space="preserve">Monthly Quota</t>
  </si>
  <si>
    <t xml:space="preserve">TEAM TOTAL</t>
  </si>
  <si>
    <t xml:space="preserve">QUOTAS</t>
  </si>
  <si>
    <t xml:space="preserve">Set each rep's monthly quota. The Dashboard reads these values for the leaderboard progress bars and team attainment KPI.</t>
  </si>
  <si>
    <t xml:space="preserve">Email</t>
  </si>
  <si>
    <t xml:space="preserve">Territory</t>
  </si>
  <si>
    <t xml:space="preserve">Status</t>
  </si>
  <si>
    <t xml:space="preserve">sarah.chen@example.com</t>
  </si>
  <si>
    <t xml:space="preserve">West / Enterprise</t>
  </si>
  <si>
    <t xml:space="preserve">Active</t>
  </si>
  <si>
    <t xml:space="preserve">marcus.rivera@example.com</t>
  </si>
  <si>
    <t xml:space="preserve">East / Mid-market</t>
  </si>
  <si>
    <t xml:space="preserve">priya.kumar@example.com</t>
  </si>
  <si>
    <t xml:space="preserve">Central / Mid-market</t>
  </si>
  <si>
    <t xml:space="preserve">jake.morris@example.com</t>
  </si>
  <si>
    <t xml:space="preserve">West / SMB</t>
  </si>
  <si>
    <t xml:space="preserve">diana.lee@example.com</t>
  </si>
  <si>
    <t xml:space="preserve">East / SMB</t>
  </si>
  <si>
    <t xml:space="preserve">tom.baxter@example.com</t>
  </si>
  <si>
    <t xml:space="preserve">Central / SMB</t>
  </si>
  <si>
    <t xml:space="preserve">Ramping</t>
  </si>
  <si>
    <t xml:space="preserve">HISTORICAL TRENDS</t>
  </si>
  <si>
    <t xml:space="preserve">12-month rolling view of team performance. Backfill with your historical data or let this fill in as months pass.</t>
  </si>
  <si>
    <t xml:space="preserve">Month</t>
  </si>
  <si>
    <t xml:space="preserve">Deals Won</t>
  </si>
  <si>
    <t xml:space="preserve">Win Rate</t>
  </si>
  <si>
    <t xml:space="preserve">Avg Deal</t>
  </si>
  <si>
    <t xml:space="preserve">Cycle (days)</t>
  </si>
  <si>
    <t xml:space="preserve">12-MONTH SUMMARY</t>
  </si>
  <si>
    <t xml:space="preserve">Total Revenue (YTD)</t>
  </si>
  <si>
    <t xml:space="preserve">Total Deals Won</t>
  </si>
  <si>
    <t xml:space="preserve">Avg Win Rate</t>
  </si>
  <si>
    <t xml:space="preserve">Avg Deal Size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</si>
</sst>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[RED]&quot;-$&quot;#,##0"/>
    <numFmt numFmtId="166" formatCode="0%"/>
    <numFmt numFmtId="167" formatCode="0"/>
    <numFmt numFmtId="168" formatCode="mmm\ d&quot;, &quot;yyyy"/>
    <numFmt numFmtId="169" formatCode="General"/>
    <numFmt numFmtId="170" formatCode="mmm\ yyyy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5F7F44"/>
      <name val="Arial"/>
      <family val="0"/>
      <charset val="1"/>
    </font>
    <font>
      <i val="true"/>
      <sz val="9"/>
      <color rgb="FF5A6270"/>
      <name val="Arial"/>
      <family val="0"/>
      <charset val="1"/>
    </font>
    <font>
      <b val="true"/>
      <sz val="13"/>
      <color rgb="FF5F7F44"/>
      <name val="Arial"/>
      <family val="0"/>
      <charset val="1"/>
    </font>
    <font>
      <b val="true"/>
      <sz val="11"/>
      <color rgb="FF5F7F44"/>
      <name val="Arial"/>
      <family val="0"/>
      <charset val="1"/>
    </font>
    <font>
      <sz val="11"/>
      <color rgb="FF1A1F26"/>
      <name val="Arial"/>
      <family val="0"/>
      <charset val="1"/>
    </font>
    <font>
      <sz val="10"/>
      <color rgb="FF1A1F26"/>
      <name val="Arial"/>
      <family val="0"/>
      <charset val="1"/>
    </font>
    <font>
      <i val="true"/>
      <sz val="10"/>
      <color rgb="FF5A6270"/>
      <name val="Arial"/>
      <family val="0"/>
      <charset val="1"/>
    </font>
    <font>
      <b val="true"/>
      <sz val="9"/>
      <color rgb="FF5A6270"/>
      <name val="Arial"/>
      <family val="0"/>
      <charset val="1"/>
    </font>
    <font>
      <b val="true"/>
      <sz val="22"/>
      <color rgb="FF5F7F44"/>
      <name val="Georgia"/>
      <family val="0"/>
      <charset val="1"/>
    </font>
    <font>
      <sz val="9"/>
      <color rgb="FF5A627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B6BAB"/>
      <name val="Arial"/>
      <family val="0"/>
      <charset val="1"/>
    </font>
    <font>
      <b val="true"/>
      <sz val="11"/>
      <color rgb="FF1A1F26"/>
      <name val="Arial"/>
      <family val="0"/>
      <charset val="1"/>
    </font>
    <font>
      <b val="true"/>
      <sz val="10"/>
      <color rgb="FF1A1F26"/>
      <name val="Arial"/>
      <family val="0"/>
      <charset val="1"/>
    </font>
    <font>
      <sz val="9"/>
      <color rgb="FFFFFFFF"/>
      <name val="Arial"/>
      <family val="0"/>
      <charset val="1"/>
    </font>
    <font>
      <sz val="10"/>
      <color rgb="FF4A8B4A"/>
      <name val="Arial"/>
      <family val="0"/>
      <charset val="1"/>
    </font>
    <font>
      <b val="true"/>
      <sz val="10"/>
      <color rgb="FF6B4CAB"/>
      <name val="Arial"/>
      <family val="0"/>
      <charset val="1"/>
    </font>
    <font>
      <b val="true"/>
      <sz val="10"/>
      <color rgb="FF8B6914"/>
      <name val="Arial"/>
      <family val="0"/>
      <charset val="1"/>
    </font>
    <font>
      <b val="true"/>
      <sz val="10"/>
      <color rgb="FFB85F1F"/>
      <name val="Arial"/>
      <family val="0"/>
      <charset val="1"/>
    </font>
    <font>
      <b val="true"/>
      <sz val="10"/>
      <color rgb="FF5F7F44"/>
      <name val="Arial"/>
      <family val="0"/>
      <charset val="1"/>
    </font>
    <font>
      <b val="true"/>
      <sz val="11"/>
      <color rgb="FF5F7F44"/>
      <name val="Georgia"/>
      <family val="0"/>
      <charset val="1"/>
    </font>
    <font>
      <b val="true"/>
      <sz val="18"/>
      <color rgb="FF5F7F44"/>
      <name val="Arial"/>
      <family val="0"/>
      <charset val="1"/>
    </font>
    <font>
      <b val="true"/>
      <sz val="12"/>
      <color rgb="FF5F7F44"/>
      <name val="Arial"/>
      <family val="0"/>
      <charset val="1"/>
    </font>
    <font>
      <sz val="10"/>
      <color rgb="FF5A6270"/>
      <name val="Arial"/>
      <family val="0"/>
      <charset val="1"/>
    </font>
    <font>
      <b val="true"/>
      <sz val="10"/>
      <color rgb="FFC13B3B"/>
      <name val="Arial"/>
      <family val="0"/>
      <charset val="1"/>
    </font>
    <font>
      <sz val="10"/>
      <color rgb="FF5F7F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5A6270"/>
      <name val="Arial"/>
      <family val="0"/>
      <charset val="1"/>
    </font>
    <font>
      <b val="true"/>
      <sz val="10"/>
      <color rgb="FF4A8B4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7C9F5C"/>
        <bgColor rgb="FF5F7F44"/>
      </patternFill>
    </fill>
    <fill>
      <patternFill patternType="solid">
        <fgColor rgb="FFFFFFFF"/>
        <bgColor rgb="FFFBF7ED"/>
      </patternFill>
    </fill>
    <fill>
      <patternFill patternType="solid">
        <fgColor rgb="FFEDF2FA"/>
        <bgColor rgb="FFF0EDFA"/>
      </patternFill>
    </fill>
    <fill>
      <patternFill patternType="solid">
        <fgColor rgb="FFF0EDFA"/>
        <bgColor rgb="FFEDF2FA"/>
      </patternFill>
    </fill>
    <fill>
      <patternFill patternType="solid">
        <fgColor rgb="FFFEF9E7"/>
        <bgColor rgb="FFFBF7ED"/>
      </patternFill>
    </fill>
    <fill>
      <patternFill patternType="solid">
        <fgColor rgb="FFFDF0E5"/>
        <bgColor rgb="FFFBEBEB"/>
      </patternFill>
    </fill>
    <fill>
      <patternFill patternType="solid">
        <fgColor rgb="FFEDF2E5"/>
        <bgColor rgb="FFEDF2FA"/>
      </patternFill>
    </fill>
    <fill>
      <patternFill patternType="solid">
        <fgColor rgb="FFFBEBEB"/>
        <bgColor rgb="FFFDF0E5"/>
      </patternFill>
    </fill>
    <fill>
      <patternFill patternType="solid">
        <fgColor rgb="FFFBF7ED"/>
        <bgColor rgb="FFFEF9E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E5DFD1"/>
      </left>
      <right/>
      <top style="thin">
        <color rgb="FFE5DFD1"/>
      </top>
      <bottom/>
      <diagonal/>
    </border>
    <border diagonalUp="false" diagonalDown="false">
      <left style="thin">
        <color rgb="FFE5DFD1"/>
      </left>
      <right/>
      <top/>
      <bottom/>
      <diagonal/>
    </border>
    <border diagonalUp="false" diagonalDown="false">
      <left style="thin">
        <color rgb="FFE5DFD1"/>
      </left>
      <right/>
      <top/>
      <bottom style="thin">
        <color rgb="FFE5DFD1"/>
      </bottom>
      <diagonal/>
    </border>
    <border diagonalUp="false" diagonalDown="false">
      <left style="thin">
        <color rgb="FFE5DFD1"/>
      </left>
      <right style="thin">
        <color rgb="FFE5DFD1"/>
      </right>
      <top style="thin">
        <color rgb="FFE5DFD1"/>
      </top>
      <bottom style="thin">
        <color rgb="FFE5DFD1"/>
      </bottom>
      <diagonal/>
    </border>
    <border diagonalUp="false" diagonalDown="false">
      <left style="thin">
        <color rgb="FFE5DFD1"/>
      </left>
      <right/>
      <top style="thin">
        <color rgb="FFE5DFD1"/>
      </top>
      <bottom style="thin">
        <color rgb="FFE5DF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8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9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8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1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9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1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9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1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10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3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23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4A8B4A"/>
        <sz val="11"/>
      </font>
      <fill>
        <patternFill>
          <bgColor rgb="FFEDF2E5"/>
        </patternFill>
      </fill>
    </dxf>
    <dxf>
      <font>
        <name val="Arial"/>
        <charset val="1"/>
        <family val="0"/>
        <b val="1"/>
        <color rgb="FF8B6914"/>
        <sz val="11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C13B3B"/>
        <sz val="11"/>
      </font>
      <fill>
        <patternFill>
          <bgColor rgb="FFFBEB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FBF7ED"/>
      <rgbColor rgb="FF5F7F44"/>
      <rgbColor rgb="FF9999FF"/>
      <rgbColor rgb="FFC13B3B"/>
      <rgbColor rgb="FFFEF9E7"/>
      <rgbColor rgb="FFEDF2FA"/>
      <rgbColor rgb="FF660066"/>
      <rgbColor rgb="FFFF8080"/>
      <rgbColor rgb="FF0066CC"/>
      <rgbColor rgb="FFE5DF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DFA"/>
      <rgbColor rgb="FFEDF2E5"/>
      <rgbColor rgb="FFFDF0E5"/>
      <rgbColor rgb="FF99CCFF"/>
      <rgbColor rgb="FFFF99CC"/>
      <rgbColor rgb="FFCC99FF"/>
      <rgbColor rgb="FFFBEBEB"/>
      <rgbColor rgb="FF3B6BAB"/>
      <rgbColor rgb="FF33CCCC"/>
      <rgbColor rgb="FF99CC00"/>
      <rgbColor rgb="FFFFCC00"/>
      <rgbColor rgb="FFFF9900"/>
      <rgbColor rgb="FFFF6600"/>
      <rgbColor rgb="FF5A6270"/>
      <rgbColor rgb="FF7C9F5C"/>
      <rgbColor rgb="FF003366"/>
      <rgbColor rgb="FF4A8B4A"/>
      <rgbColor rgb="FF003300"/>
      <rgbColor rgb="FF333300"/>
      <rgbColor rgb="FFB85F1F"/>
      <rgbColor rgb="FF993366"/>
      <rgbColor rgb="FF6B4CAB"/>
      <rgbColor rgb="FF1A1F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3.75" hidden="false" customHeight="true" outlineLevel="0" collapsed="false">
      <c r="B1" s="1" t="s">
        <v>0</v>
      </c>
    </row>
    <row r="2" customFormat="false" ht="21.75" hidden="false" customHeight="true" outlineLevel="0" collapsed="false">
      <c r="B2" s="2" t="s">
        <v>1</v>
      </c>
    </row>
    <row r="4" customFormat="false" ht="16.15" hidden="false" customHeight="false" outlineLevel="0" collapsed="false">
      <c r="B4" s="3" t="s">
        <v>2</v>
      </c>
    </row>
    <row r="6" customFormat="false" ht="42" hidden="false" customHeight="true" outlineLevel="0" collapsed="false">
      <c r="A6" s="4" t="s">
        <v>3</v>
      </c>
      <c r="B6" s="5" t="s">
        <v>4</v>
      </c>
    </row>
    <row r="8" customFormat="false" ht="42" hidden="false" customHeight="true" outlineLevel="0" collapsed="false">
      <c r="A8" s="4" t="s">
        <v>5</v>
      </c>
      <c r="B8" s="5" t="s">
        <v>6</v>
      </c>
    </row>
    <row r="10" customFormat="false" ht="42" hidden="false" customHeight="true" outlineLevel="0" collapsed="false">
      <c r="A10" s="4" t="s">
        <v>7</v>
      </c>
      <c r="B10" s="5" t="s">
        <v>8</v>
      </c>
    </row>
    <row r="12" customFormat="false" ht="42" hidden="false" customHeight="true" outlineLevel="0" collapsed="false">
      <c r="A12" s="4" t="s">
        <v>9</v>
      </c>
      <c r="B12" s="5" t="s">
        <v>10</v>
      </c>
    </row>
    <row r="15" customFormat="false" ht="16.15" hidden="false" customHeight="false" outlineLevel="0" collapsed="false">
      <c r="B15" s="3" t="s">
        <v>11</v>
      </c>
    </row>
    <row r="17" customFormat="false" ht="36" hidden="false" customHeight="true" outlineLevel="0" collapsed="false">
      <c r="B17" s="6" t="s">
        <v>12</v>
      </c>
    </row>
    <row r="19" customFormat="false" ht="36" hidden="false" customHeight="true" outlineLevel="0" collapsed="false">
      <c r="B19" s="6" t="s">
        <v>13</v>
      </c>
    </row>
    <row r="21" customFormat="false" ht="36" hidden="false" customHeight="true" outlineLevel="0" collapsed="false">
      <c r="B21" s="6" t="s">
        <v>14</v>
      </c>
    </row>
    <row r="23" customFormat="false" ht="36" hidden="false" customHeight="true" outlineLevel="0" collapsed="false">
      <c r="B23" s="6" t="s">
        <v>15</v>
      </c>
    </row>
    <row r="25" customFormat="false" ht="36" hidden="false" customHeight="true" outlineLevel="0" collapsed="false">
      <c r="B25" s="6" t="s">
        <v>16</v>
      </c>
    </row>
    <row r="29" customFormat="false" ht="16.15" hidden="false" customHeight="false" outlineLevel="0" collapsed="false">
      <c r="B29" s="3" t="s">
        <v>17</v>
      </c>
    </row>
    <row r="31" customFormat="false" ht="25.5" hidden="false" customHeight="true" outlineLevel="0" collapsed="false">
      <c r="B31" s="6" t="s">
        <v>18</v>
      </c>
    </row>
    <row r="32" customFormat="false" ht="25.5" hidden="false" customHeight="true" outlineLevel="0" collapsed="false">
      <c r="B32" s="6" t="s">
        <v>19</v>
      </c>
    </row>
    <row r="33" customFormat="false" ht="25.5" hidden="false" customHeight="true" outlineLevel="0" collapsed="false">
      <c r="B33" s="6" t="s">
        <v>20</v>
      </c>
    </row>
    <row r="34" customFormat="false" ht="25.5" hidden="false" customHeight="true" outlineLevel="0" collapsed="false">
      <c r="B34" s="6" t="s">
        <v>21</v>
      </c>
    </row>
    <row r="35" customFormat="false" ht="25.5" hidden="false" customHeight="true" outlineLevel="0" collapsed="false">
      <c r="B35" s="6" t="s">
        <v>22</v>
      </c>
    </row>
    <row r="36" customFormat="false" ht="25.5" hidden="false" customHeight="true" outlineLevel="0" collapsed="false">
      <c r="B36" s="6" t="s">
        <v>23</v>
      </c>
    </row>
    <row r="39" customFormat="false" ht="15" hidden="false" customHeight="false" outlineLevel="0" collapsed="false">
      <c r="B3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8" min="5" style="0" width="8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33.75" hidden="false" customHeight="true" outlineLevel="0" collapsed="false">
      <c r="A1" s="7" t="s">
        <v>25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21.75" hidden="false" customHeight="true" outlineLevel="0" collapsed="false">
      <c r="A2" s="8" t="str">
        <f aca="true">"Period: " &amp; TEXT(TODAY(),"mmmm yyyy") &amp; " · Auto-updated from Deal Pipeline"</f>
        <v>Period: July 2026 · Auto-updated from Deal Pipeline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3" hidden="false" customHeight="true" outlineLevel="0" collapsed="false">
      <c r="A3" s="9"/>
      <c r="B3" s="9"/>
      <c r="C3" s="9"/>
      <c r="D3" s="9"/>
      <c r="E3" s="9"/>
      <c r="F3" s="9"/>
      <c r="G3" s="9"/>
      <c r="H3" s="9"/>
      <c r="I3" s="9"/>
      <c r="J3" s="9"/>
    </row>
    <row r="4" customFormat="false" ht="21.75" hidden="false" customHeight="true" outlineLevel="0" collapsed="false">
      <c r="B4" s="10" t="s">
        <v>26</v>
      </c>
      <c r="C4" s="10"/>
      <c r="D4" s="10" t="s">
        <v>27</v>
      </c>
      <c r="E4" s="10"/>
      <c r="F4" s="10" t="s">
        <v>28</v>
      </c>
      <c r="G4" s="10"/>
      <c r="H4" s="10" t="s">
        <v>29</v>
      </c>
      <c r="I4" s="10"/>
    </row>
    <row r="5" customFormat="false" ht="21.75" hidden="false" customHeight="true" outlineLevel="0" collapsed="false">
      <c r="B5" s="11" t="n">
        <f aca="false">SUM(DealWeighted)-SUMIFS(DealWeighted,DealStages,"Closed Won")-SUMIFS(DealWeighted,DealStages,"Closed Lost")</f>
        <v>602750</v>
      </c>
      <c r="C5" s="11"/>
      <c r="D5" s="12" t="n">
        <f aca="false">IFERROR(SUMIFS(DealValues,DealStages,"Closed Won",DealCloseActual,"&gt;="&amp;DATE(2026,1,1),DealCloseActual,"&lt;="&amp;DATE(2026,1,31))/SUM(Quotas!E5:E14),0)</f>
        <v>0.923114119922631</v>
      </c>
      <c r="E5" s="12"/>
      <c r="F5" s="12" t="n">
        <f aca="false">IFERROR(COUNTIF(DealStages,"Closed Won")/(COUNTIF(DealStages,"Closed Won")+COUNTIF(DealStages,"Closed Lost")),0)</f>
        <v>0.823529411764706</v>
      </c>
      <c r="G5" s="12"/>
      <c r="H5" s="11" t="n">
        <f aca="false">IFERROR(AVERAGEIF(DealStages,"Closed Won",DealValues),0)</f>
        <v>136357.142857143</v>
      </c>
      <c r="I5" s="11"/>
    </row>
    <row r="6" customFormat="false" ht="21.75" hidden="false" customHeight="true" outlineLevel="0" collapsed="false">
      <c r="B6" s="11"/>
      <c r="C6" s="11"/>
      <c r="D6" s="12"/>
      <c r="E6" s="12"/>
      <c r="F6" s="12"/>
      <c r="G6" s="12"/>
      <c r="H6" s="11"/>
      <c r="I6" s="11"/>
    </row>
    <row r="7" customFormat="false" ht="19.5" hidden="false" customHeight="true" outlineLevel="0" collapsed="false">
      <c r="B7" s="13" t="str">
        <f aca="false">"Weighted forecast · " &amp; COUNTIFS(DealStages,"&lt;&gt;Closed Won",DealStages,"&lt;&gt;Closed Lost",DealStages,"&lt;&gt;") &amp; " open deals"</f>
        <v>Weighted forecast · 13 open deals</v>
      </c>
      <c r="C7" s="13"/>
      <c r="D7" s="13" t="str">
        <f aca="false">TEXT(SUMIFS(DealValues,DealStages,"Closed Won",DealCloseActual,"&gt;="&amp;DATE(2026,1,1),DealCloseActual,"&lt;="&amp;DATE(2026,1,31)),"$#,##0")&amp;" of "&amp;TEXT(SUM(Quotas!E5:E14),"$#,##0")</f>
        <v>$1,909,000 of $2,068,000</v>
      </c>
      <c r="E7" s="13"/>
      <c r="F7" s="13" t="str">
        <f aca="false">COUNTIF(DealStages,"Closed Won")&amp;" won of "&amp;(COUNTIF(DealStages,"Closed Won")+COUNTIF(DealStages,"Closed Lost"))&amp;" decided"</f>
        <v>14 won of 17 decided</v>
      </c>
      <c r="G7" s="13"/>
      <c r="H7" s="13" t="str">
        <f aca="false">"Across closed-won deals"</f>
        <v>Across closed-won deals</v>
      </c>
      <c r="I7" s="13"/>
    </row>
    <row r="9" customFormat="false" ht="25.5" hidden="false" customHeight="true" outlineLevel="0" collapsed="false">
      <c r="B9" s="14" t="s">
        <v>30</v>
      </c>
      <c r="C9" s="14"/>
      <c r="D9" s="14"/>
      <c r="E9" s="14"/>
      <c r="F9" s="14"/>
      <c r="G9" s="14"/>
      <c r="H9" s="14"/>
      <c r="I9" s="14"/>
    </row>
    <row r="10" customFormat="false" ht="27.75" hidden="false" customHeight="true" outlineLevel="0" collapsed="false">
      <c r="B10" s="15" t="s">
        <v>31</v>
      </c>
      <c r="C10" s="15" t="s">
        <v>32</v>
      </c>
      <c r="D10" s="15" t="s">
        <v>33</v>
      </c>
      <c r="E10" s="15" t="s">
        <v>34</v>
      </c>
      <c r="F10" s="15"/>
      <c r="G10" s="15"/>
      <c r="H10" s="15"/>
      <c r="I10" s="15" t="s">
        <v>35</v>
      </c>
    </row>
    <row r="11" customFormat="false" ht="25.5" hidden="false" customHeight="true" outlineLevel="0" collapsed="false">
      <c r="B11" s="16" t="s">
        <v>36</v>
      </c>
      <c r="C11" s="17" t="n">
        <f aca="false">COUNTIF(DealStages,"Prospecting")</f>
        <v>3</v>
      </c>
      <c r="D11" s="18" t="n">
        <f aca="false">SUMIFS(DealValues,DealStages,"Prospecting")</f>
        <v>195000</v>
      </c>
      <c r="E11" s="19" t="n">
        <f aca="false">SUMIFS(DealValues,DealStages,"Prospecting")</f>
        <v>195000</v>
      </c>
      <c r="F11" s="19"/>
      <c r="G11" s="19"/>
      <c r="H11" s="19"/>
      <c r="I11" s="20" t="n">
        <f aca="false">SUMIFS(DealWeighted,DealStages,"Prospecting")</f>
        <v>29250</v>
      </c>
    </row>
    <row r="12" customFormat="false" ht="25.5" hidden="false" customHeight="true" outlineLevel="0" collapsed="false">
      <c r="B12" s="21" t="s">
        <v>37</v>
      </c>
      <c r="C12" s="17" t="n">
        <f aca="false">COUNTIF(DealStages,"Qualification")</f>
        <v>4</v>
      </c>
      <c r="D12" s="18" t="n">
        <f aca="false">SUMIFS(DealValues,DealStages,"Qualification")</f>
        <v>200000</v>
      </c>
      <c r="E12" s="19" t="n">
        <f aca="false">SUMIFS(DealValues,DealStages,"Qualification")</f>
        <v>200000</v>
      </c>
      <c r="F12" s="19"/>
      <c r="G12" s="19"/>
      <c r="H12" s="19"/>
      <c r="I12" s="20" t="n">
        <f aca="false">SUMIFS(DealWeighted,DealStages,"Qualification")</f>
        <v>56000</v>
      </c>
    </row>
    <row r="13" customFormat="false" ht="25.5" hidden="false" customHeight="true" outlineLevel="0" collapsed="false">
      <c r="B13" s="22" t="s">
        <v>38</v>
      </c>
      <c r="C13" s="17" t="n">
        <f aca="false">COUNTIF(DealStages,"Proposal")</f>
        <v>3</v>
      </c>
      <c r="D13" s="18" t="n">
        <f aca="false">SUMIFS(DealValues,DealStages,"Proposal")</f>
        <v>270000</v>
      </c>
      <c r="E13" s="19" t="n">
        <f aca="false">SUMIFS(DealValues,DealStages,"Proposal")</f>
        <v>270000</v>
      </c>
      <c r="F13" s="19"/>
      <c r="G13" s="19"/>
      <c r="H13" s="19"/>
      <c r="I13" s="20" t="n">
        <f aca="false">SUMIFS(DealWeighted,DealStages,"Proposal")</f>
        <v>121500</v>
      </c>
    </row>
    <row r="14" customFormat="false" ht="25.5" hidden="false" customHeight="true" outlineLevel="0" collapsed="false">
      <c r="B14" s="23" t="s">
        <v>39</v>
      </c>
      <c r="C14" s="17" t="n">
        <f aca="false">COUNTIF(DealStages,"Negotiation")</f>
        <v>3</v>
      </c>
      <c r="D14" s="18" t="n">
        <f aca="false">SUMIFS(DealValues,DealStages,"Negotiation")</f>
        <v>550000</v>
      </c>
      <c r="E14" s="19" t="n">
        <f aca="false">SUMIFS(DealValues,DealStages,"Negotiation")</f>
        <v>550000</v>
      </c>
      <c r="F14" s="19"/>
      <c r="G14" s="19"/>
      <c r="H14" s="19"/>
      <c r="I14" s="20" t="n">
        <f aca="false">SUMIFS(DealWeighted,DealStages,"Negotiation")</f>
        <v>396000</v>
      </c>
    </row>
    <row r="15" customFormat="false" ht="25.5" hidden="false" customHeight="true" outlineLevel="0" collapsed="false">
      <c r="B15" s="24" t="s">
        <v>40</v>
      </c>
      <c r="C15" s="17" t="n">
        <f aca="false">COUNTIF(DealStages,"Closed Won")</f>
        <v>14</v>
      </c>
      <c r="D15" s="18" t="n">
        <f aca="false">SUMIFS(DealValues,DealStages,"Closed Won")</f>
        <v>1909000</v>
      </c>
      <c r="E15" s="19" t="n">
        <f aca="false">SUMIFS(DealValues,DealStages,"Closed Won")</f>
        <v>1909000</v>
      </c>
      <c r="F15" s="19"/>
      <c r="G15" s="19"/>
      <c r="H15" s="19"/>
      <c r="I15" s="20" t="n">
        <f aca="false">SUMIFS(DealWeighted,DealStages,"Closed Won")</f>
        <v>1909000</v>
      </c>
    </row>
    <row r="17" customFormat="false" ht="25.5" hidden="false" customHeight="true" outlineLevel="0" collapsed="false">
      <c r="B17" s="14" t="s">
        <v>41</v>
      </c>
      <c r="C17" s="14"/>
      <c r="D17" s="14"/>
      <c r="E17" s="14"/>
      <c r="F17" s="14"/>
      <c r="G17" s="14"/>
      <c r="H17" s="14"/>
      <c r="I17" s="14"/>
    </row>
    <row r="18" customFormat="false" ht="25.5" hidden="false" customHeight="true" outlineLevel="0" collapsed="false">
      <c r="B18" s="15" t="s">
        <v>42</v>
      </c>
      <c r="C18" s="15" t="s">
        <v>43</v>
      </c>
      <c r="D18" s="15" t="s">
        <v>44</v>
      </c>
      <c r="E18" s="15" t="s">
        <v>45</v>
      </c>
      <c r="F18" s="15"/>
      <c r="G18" s="15"/>
      <c r="H18" s="15"/>
      <c r="I18" s="15" t="s">
        <v>46</v>
      </c>
    </row>
    <row r="19" customFormat="false" ht="25.5" hidden="false" customHeight="true" outlineLevel="0" collapsed="false">
      <c r="B19" s="25" t="str">
        <f aca="false">'Rep Performance'!B5</f>
        <v>Sarah Chen</v>
      </c>
      <c r="C19" s="26" t="n">
        <f aca="false">RANK(D19,$D$19:$D$24)</f>
        <v>1</v>
      </c>
      <c r="D19" s="18" t="n">
        <f aca="false">'Rep Performance'!F5</f>
        <v>486000</v>
      </c>
      <c r="E19" s="27" t="n">
        <f aca="false">'Rep Performance'!H5</f>
        <v>1.45074626865672</v>
      </c>
      <c r="F19" s="27"/>
      <c r="G19" s="27"/>
      <c r="H19" s="27"/>
      <c r="I19" s="28" t="n">
        <f aca="false">'Rep Performance'!H5</f>
        <v>1.45074626865672</v>
      </c>
    </row>
    <row r="20" customFormat="false" ht="25.5" hidden="false" customHeight="true" outlineLevel="0" collapsed="false">
      <c r="B20" s="25" t="str">
        <f aca="false">'Rep Performance'!B6</f>
        <v>Marcus Rivera</v>
      </c>
      <c r="C20" s="26" t="n">
        <f aca="false">RANK(D20,$D$19:$D$24)</f>
        <v>2</v>
      </c>
      <c r="D20" s="18" t="n">
        <f aca="false">'Rep Performance'!F6</f>
        <v>412000</v>
      </c>
      <c r="E20" s="27" t="n">
        <f aca="false">'Rep Performance'!H6</f>
        <v>1.18051575931232</v>
      </c>
      <c r="F20" s="27"/>
      <c r="G20" s="27"/>
      <c r="H20" s="27"/>
      <c r="I20" s="28" t="n">
        <f aca="false">'Rep Performance'!H6</f>
        <v>1.18051575931232</v>
      </c>
    </row>
    <row r="21" customFormat="false" ht="25.5" hidden="false" customHeight="true" outlineLevel="0" collapsed="false">
      <c r="B21" s="25" t="str">
        <f aca="false">'Rep Performance'!B7</f>
        <v>Priya Kumar</v>
      </c>
      <c r="C21" s="26" t="n">
        <f aca="false">RANK(D21,$D$19:$D$24)</f>
        <v>3</v>
      </c>
      <c r="D21" s="18" t="n">
        <f aca="false">'Rep Performance'!F7</f>
        <v>321000</v>
      </c>
      <c r="E21" s="27" t="n">
        <f aca="false">'Rep Performance'!H7</f>
        <v>0.919770773638969</v>
      </c>
      <c r="F21" s="27"/>
      <c r="G21" s="27"/>
      <c r="H21" s="27"/>
      <c r="I21" s="28" t="n">
        <f aca="false">'Rep Performance'!H7</f>
        <v>0.919770773638969</v>
      </c>
    </row>
    <row r="22" customFormat="false" ht="25.5" hidden="false" customHeight="true" outlineLevel="0" collapsed="false">
      <c r="B22" s="25" t="str">
        <f aca="false">'Rep Performance'!B8</f>
        <v>Jake Morris</v>
      </c>
      <c r="C22" s="26" t="n">
        <f aca="false">RANK(D22,$D$19:$D$24)</f>
        <v>4</v>
      </c>
      <c r="D22" s="18" t="n">
        <f aca="false">'Rep Performance'!F8</f>
        <v>291000</v>
      </c>
      <c r="E22" s="27" t="n">
        <f aca="false">'Rep Performance'!H8</f>
        <v>0.86865671641791</v>
      </c>
      <c r="F22" s="27"/>
      <c r="G22" s="27"/>
      <c r="H22" s="27"/>
      <c r="I22" s="28" t="n">
        <f aca="false">'Rep Performance'!H8</f>
        <v>0.86865671641791</v>
      </c>
    </row>
    <row r="23" customFormat="false" ht="25.5" hidden="false" customHeight="true" outlineLevel="0" collapsed="false">
      <c r="B23" s="25" t="str">
        <f aca="false">'Rep Performance'!B9</f>
        <v>Diana Lee</v>
      </c>
      <c r="C23" s="26" t="n">
        <f aca="false">RANK(D23,$D$19:$D$24)</f>
        <v>5</v>
      </c>
      <c r="D23" s="18" t="n">
        <f aca="false">'Rep Performance'!F9</f>
        <v>256000</v>
      </c>
      <c r="E23" s="27" t="n">
        <f aca="false">'Rep Performance'!H9</f>
        <v>0.729344729344729</v>
      </c>
      <c r="F23" s="27"/>
      <c r="G23" s="27"/>
      <c r="H23" s="27"/>
      <c r="I23" s="28" t="n">
        <f aca="false">'Rep Performance'!H9</f>
        <v>0.729344729344729</v>
      </c>
    </row>
    <row r="24" customFormat="false" ht="25.5" hidden="false" customHeight="true" outlineLevel="0" collapsed="false">
      <c r="B24" s="25" t="str">
        <f aca="false">'Rep Performance'!B10</f>
        <v>Tom Baxter</v>
      </c>
      <c r="C24" s="26" t="n">
        <f aca="false">RANK(D24,$D$19:$D$24)</f>
        <v>6</v>
      </c>
      <c r="D24" s="18" t="n">
        <f aca="false">'Rep Performance'!F10</f>
        <v>143000</v>
      </c>
      <c r="E24" s="27" t="n">
        <f aca="false">'Rep Performance'!H10</f>
        <v>0.40974212034384</v>
      </c>
      <c r="F24" s="27"/>
      <c r="G24" s="27"/>
      <c r="H24" s="27"/>
      <c r="I24" s="28" t="n">
        <f aca="false">'Rep Performance'!H10</f>
        <v>0.40974212034384</v>
      </c>
    </row>
    <row r="27" customFormat="false" ht="21.75" hidden="false" customHeight="true" outlineLevel="0" collapsed="false">
      <c r="B27" s="29" t="s">
        <v>47</v>
      </c>
      <c r="C27" s="29"/>
      <c r="D27" s="29"/>
      <c r="E27" s="29"/>
      <c r="F27" s="29"/>
      <c r="G27" s="29"/>
      <c r="H27" s="29"/>
      <c r="I27" s="29"/>
    </row>
  </sheetData>
  <mergeCells count="31">
    <mergeCell ref="A1:J1"/>
    <mergeCell ref="A2:J2"/>
    <mergeCell ref="A3:J3"/>
    <mergeCell ref="B4:C4"/>
    <mergeCell ref="D4:E4"/>
    <mergeCell ref="F4:G4"/>
    <mergeCell ref="H4:I4"/>
    <mergeCell ref="B5:C6"/>
    <mergeCell ref="D5:E6"/>
    <mergeCell ref="F5:G6"/>
    <mergeCell ref="H5:I6"/>
    <mergeCell ref="B7:C7"/>
    <mergeCell ref="D7:E7"/>
    <mergeCell ref="F7:G7"/>
    <mergeCell ref="H7:I7"/>
    <mergeCell ref="B9:I9"/>
    <mergeCell ref="E10:H10"/>
    <mergeCell ref="E11:H11"/>
    <mergeCell ref="E12:H12"/>
    <mergeCell ref="E13:H13"/>
    <mergeCell ref="E14:H14"/>
    <mergeCell ref="E15:H15"/>
    <mergeCell ref="B17:I17"/>
    <mergeCell ref="E18:H18"/>
    <mergeCell ref="E19:H19"/>
    <mergeCell ref="E20:H20"/>
    <mergeCell ref="E21:H21"/>
    <mergeCell ref="E22:H22"/>
    <mergeCell ref="E23:H23"/>
    <mergeCell ref="E24:H24"/>
    <mergeCell ref="B27:I27"/>
  </mergeCells>
  <conditionalFormatting sqref="E11:E15">
    <cfRule type="dataBar" priority="2">
      <dataBar showValue="0" minLength="10" maxLength="90">
        <cfvo type="min" val="0"/>
        <cfvo type="max" val="0"/>
        <color rgb="FF7C9F5C"/>
      </dataBar>
      <extLst>
        <ext xmlns:x14="http://schemas.microsoft.com/office/spreadsheetml/2009/9/main" uri="{B025F937-C7B1-47D3-B67F-A62EFF666E3E}">
          <x14:id>{D698B160-666F-46EC-9AA9-2DF89C50DCDA}</x14:id>
        </ext>
      </extLst>
    </cfRule>
  </conditionalFormatting>
  <conditionalFormatting sqref="E19:E24">
    <cfRule type="dataBar" priority="3">
      <dataBar showValue="0" minLength="0" maxLength="100">
        <cfvo type="num" val="0"/>
        <cfvo type="num" val="1.5"/>
        <color rgb="FF7C9F5C"/>
      </dataBar>
      <extLst>
        <ext xmlns:x14="http://schemas.microsoft.com/office/spreadsheetml/2009/9/main" uri="{B025F937-C7B1-47D3-B67F-A62EFF666E3E}">
          <x14:id>{F0E5C900-A63B-4D9C-B21F-3B847CB00044}</x14:id>
        </ext>
      </extLst>
    </cfRule>
  </conditionalFormatting>
  <conditionalFormatting sqref="I19:I24">
    <cfRule type="cellIs" priority="4" operator="greaterThanOrEqual" aboveAverage="0" equalAverage="0" bottom="0" percent="0" rank="0" text="" dxfId="0">
      <formula>1</formula>
    </cfRule>
    <cfRule type="cellIs" priority="5" operator="between" aboveAverage="0" equalAverage="0" bottom="0" percent="0" rank="0" text="" dxfId="1">
      <formula>0.7</formula>
      <formula>0.9999</formula>
    </cfRule>
    <cfRule type="cellIs" priority="6" operator="lessThan" aboveAverage="0" equalAverage="0" bottom="0" percent="0" rank="0" text="" dxfId="2">
      <formula>0.7</formula>
    </cfRule>
  </conditionalFormatting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98B160-666F-46EC-9AA9-2DF89C50DCDA}">
            <x14:dataBar minLength="10" maxLength="90" axisPosition="none" gradient="true">
              <x14:cfvo type="min"/>
              <x14:cfvo type="max"/>
              <x14:negativeFillColor rgb="FF7C9F5C"/>
              <x14:axisColor rgb="FF000000"/>
            </x14:dataBar>
          </x14:cfRule>
          <xm:sqref>E11:E15</xm:sqref>
        </x14:conditionalFormatting>
        <x14:conditionalFormatting xmlns:xm="http://schemas.microsoft.com/office/excel/2006/main">
          <x14:cfRule type="dataBar" id="{F0E5C900-A63B-4D9C-B21F-3B847CB00044}">
            <x14:dataBar minLength="0" maxLength="100" axisPosition="none" gradient="true">
              <x14:cfvo type="num">
                <xm:f>0</xm:f>
              </x14:cfvo>
              <x14:cfvo type="num">
                <xm:f>1.5</xm:f>
              </x14:cfvo>
              <x14:negativeFillColor rgb="FF7C9F5C"/>
              <x14:axisColor rgb="FF000000"/>
            </x14:dataBar>
          </x14:cfRule>
          <xm:sqref>E19:E24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9" min="7" style="0" width="14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30" t="s">
        <v>48</v>
      </c>
      <c r="B1" s="30"/>
      <c r="C1" s="30"/>
      <c r="D1" s="30"/>
      <c r="E1" s="30"/>
      <c r="F1" s="30"/>
      <c r="G1" s="30"/>
      <c r="H1" s="30"/>
      <c r="I1" s="30"/>
      <c r="J1" s="30"/>
    </row>
    <row r="2" customFormat="false" ht="25.5" hidden="false" customHeight="true" outlineLevel="0" collapsed="false">
      <c r="A2" s="31" t="s">
        <v>49</v>
      </c>
      <c r="B2" s="31"/>
      <c r="C2" s="31"/>
      <c r="D2" s="31"/>
      <c r="E2" s="31"/>
      <c r="F2" s="31"/>
      <c r="G2" s="31"/>
      <c r="H2" s="31"/>
      <c r="I2" s="31"/>
      <c r="J2" s="31"/>
    </row>
    <row r="4" customFormat="false" ht="24" hidden="false" customHeight="true" outlineLevel="0" collapsed="false">
      <c r="A4" s="32" t="s">
        <v>50</v>
      </c>
      <c r="B4" s="32"/>
      <c r="C4" s="32"/>
      <c r="D4" s="32"/>
      <c r="E4" s="32"/>
      <c r="F4" s="32"/>
      <c r="G4" s="32"/>
      <c r="H4" s="32"/>
      <c r="I4" s="32"/>
      <c r="J4" s="32"/>
    </row>
    <row r="5" customFormat="false" ht="21.75" hidden="false" customHeight="true" outlineLevel="0" collapsed="false">
      <c r="A5" s="15" t="s">
        <v>51</v>
      </c>
      <c r="B5" s="15" t="s">
        <v>52</v>
      </c>
      <c r="C5" s="15" t="s">
        <v>53</v>
      </c>
      <c r="D5" s="15" t="s">
        <v>54</v>
      </c>
    </row>
    <row r="6" customFormat="false" ht="15" hidden="false" customHeight="false" outlineLevel="0" collapsed="false">
      <c r="A6" s="16" t="s">
        <v>36</v>
      </c>
      <c r="B6" s="33" t="n">
        <v>0.15</v>
      </c>
      <c r="C6" s="34" t="n">
        <v>1</v>
      </c>
      <c r="D6" s="35" t="s">
        <v>55</v>
      </c>
    </row>
    <row r="7" customFormat="false" ht="15" hidden="false" customHeight="false" outlineLevel="0" collapsed="false">
      <c r="A7" s="21" t="s">
        <v>37</v>
      </c>
      <c r="B7" s="33" t="n">
        <v>0.28</v>
      </c>
      <c r="C7" s="34" t="n">
        <v>2</v>
      </c>
      <c r="D7" s="35" t="s">
        <v>55</v>
      </c>
    </row>
    <row r="8" customFormat="false" ht="15" hidden="false" customHeight="false" outlineLevel="0" collapsed="false">
      <c r="A8" s="22" t="s">
        <v>38</v>
      </c>
      <c r="B8" s="33" t="n">
        <v>0.45</v>
      </c>
      <c r="C8" s="34" t="n">
        <v>3</v>
      </c>
      <c r="D8" s="35" t="s">
        <v>55</v>
      </c>
    </row>
    <row r="9" customFormat="false" ht="15" hidden="false" customHeight="false" outlineLevel="0" collapsed="false">
      <c r="A9" s="23" t="s">
        <v>39</v>
      </c>
      <c r="B9" s="33" t="n">
        <v>0.72</v>
      </c>
      <c r="C9" s="34" t="n">
        <v>4</v>
      </c>
      <c r="D9" s="35" t="s">
        <v>55</v>
      </c>
    </row>
    <row r="10" customFormat="false" ht="15" hidden="false" customHeight="false" outlineLevel="0" collapsed="false">
      <c r="A10" s="24" t="s">
        <v>40</v>
      </c>
      <c r="B10" s="33" t="n">
        <v>1</v>
      </c>
      <c r="C10" s="34" t="n">
        <v>5</v>
      </c>
      <c r="D10" s="35" t="s">
        <v>56</v>
      </c>
    </row>
    <row r="11" customFormat="false" ht="15" hidden="false" customHeight="false" outlineLevel="0" collapsed="false">
      <c r="A11" s="36" t="s">
        <v>57</v>
      </c>
      <c r="B11" s="33" t="n">
        <v>0</v>
      </c>
      <c r="C11" s="34" t="n">
        <v>6</v>
      </c>
      <c r="D11" s="35" t="s">
        <v>56</v>
      </c>
    </row>
    <row r="13" customFormat="false" ht="24" hidden="false" customHeight="true" outlineLevel="0" collapsed="false">
      <c r="A13" s="32" t="s">
        <v>58</v>
      </c>
      <c r="B13" s="32"/>
      <c r="C13" s="32"/>
      <c r="D13" s="32"/>
      <c r="E13" s="32"/>
      <c r="F13" s="32"/>
      <c r="G13" s="32"/>
      <c r="H13" s="32"/>
      <c r="I13" s="32"/>
      <c r="J13" s="32"/>
    </row>
    <row r="14" customFormat="false" ht="25.5" hidden="false" customHeight="true" outlineLevel="0" collapsed="false">
      <c r="A14" s="15" t="s">
        <v>59</v>
      </c>
      <c r="B14" s="15" t="s">
        <v>60</v>
      </c>
      <c r="C14" s="15" t="s">
        <v>42</v>
      </c>
      <c r="D14" s="15" t="s">
        <v>31</v>
      </c>
      <c r="E14" s="15" t="s">
        <v>61</v>
      </c>
      <c r="F14" s="15" t="s">
        <v>62</v>
      </c>
      <c r="G14" s="15" t="s">
        <v>63</v>
      </c>
      <c r="H14" s="15" t="s">
        <v>64</v>
      </c>
      <c r="I14" s="15" t="s">
        <v>65</v>
      </c>
      <c r="J14" s="15" t="s">
        <v>66</v>
      </c>
    </row>
    <row r="15" customFormat="false" ht="15" hidden="false" customHeight="false" outlineLevel="0" collapsed="false">
      <c r="A15" s="37" t="s">
        <v>67</v>
      </c>
      <c r="B15" s="38" t="s">
        <v>68</v>
      </c>
      <c r="C15" s="25" t="s">
        <v>69</v>
      </c>
      <c r="D15" s="39" t="s">
        <v>40</v>
      </c>
      <c r="E15" s="40" t="n">
        <v>205000</v>
      </c>
      <c r="F15" s="41" t="n">
        <f aca="false">IFERROR(VLOOKUP(D15,StageProbTable,2,FALSE()),0)</f>
        <v>1</v>
      </c>
      <c r="G15" s="42" t="n">
        <f aca="false">E15*F15</f>
        <v>205000</v>
      </c>
      <c r="H15" s="43" t="n">
        <v>46044</v>
      </c>
      <c r="I15" s="43" t="n">
        <v>46044</v>
      </c>
      <c r="J15" s="44"/>
    </row>
    <row r="16" customFormat="false" ht="15" hidden="false" customHeight="false" outlineLevel="0" collapsed="false">
      <c r="A16" s="45" t="s">
        <v>70</v>
      </c>
      <c r="B16" s="46" t="s">
        <v>71</v>
      </c>
      <c r="C16" s="47" t="s">
        <v>69</v>
      </c>
      <c r="D16" s="39" t="s">
        <v>40</v>
      </c>
      <c r="E16" s="48" t="n">
        <v>180000</v>
      </c>
      <c r="F16" s="49" t="n">
        <f aca="false">IFERROR(VLOOKUP(D16,StageProbTable,2,FALSE()),0)</f>
        <v>1</v>
      </c>
      <c r="G16" s="50" t="n">
        <f aca="false">E16*F16</f>
        <v>180000</v>
      </c>
      <c r="H16" s="51" t="n">
        <v>46040</v>
      </c>
      <c r="I16" s="51" t="n">
        <v>46040</v>
      </c>
      <c r="J16" s="52"/>
    </row>
    <row r="17" customFormat="false" ht="15" hidden="false" customHeight="false" outlineLevel="0" collapsed="false">
      <c r="A17" s="37" t="s">
        <v>72</v>
      </c>
      <c r="B17" s="38" t="s">
        <v>73</v>
      </c>
      <c r="C17" s="25" t="s">
        <v>69</v>
      </c>
      <c r="D17" s="39" t="s">
        <v>40</v>
      </c>
      <c r="E17" s="40" t="n">
        <v>101000</v>
      </c>
      <c r="F17" s="41" t="n">
        <f aca="false">IFERROR(VLOOKUP(D17,StageProbTable,2,FALSE()),0)</f>
        <v>1</v>
      </c>
      <c r="G17" s="42" t="n">
        <f aca="false">E17*F17</f>
        <v>101000</v>
      </c>
      <c r="H17" s="43" t="n">
        <v>46030</v>
      </c>
      <c r="I17" s="43" t="n">
        <v>46030</v>
      </c>
      <c r="J17" s="44"/>
    </row>
    <row r="18" customFormat="false" ht="15" hidden="false" customHeight="false" outlineLevel="0" collapsed="false">
      <c r="A18" s="45" t="s">
        <v>74</v>
      </c>
      <c r="B18" s="46" t="s">
        <v>75</v>
      </c>
      <c r="C18" s="47" t="s">
        <v>76</v>
      </c>
      <c r="D18" s="39" t="s">
        <v>40</v>
      </c>
      <c r="E18" s="48" t="n">
        <v>175000</v>
      </c>
      <c r="F18" s="49" t="n">
        <f aca="false">IFERROR(VLOOKUP(D18,StageProbTable,2,FALSE()),0)</f>
        <v>1</v>
      </c>
      <c r="G18" s="50" t="n">
        <f aca="false">E18*F18</f>
        <v>175000</v>
      </c>
      <c r="H18" s="51" t="n">
        <v>46047</v>
      </c>
      <c r="I18" s="51" t="n">
        <v>46047</v>
      </c>
      <c r="J18" s="52"/>
    </row>
    <row r="19" customFormat="false" ht="15" hidden="false" customHeight="false" outlineLevel="0" collapsed="false">
      <c r="A19" s="37" t="s">
        <v>77</v>
      </c>
      <c r="B19" s="38" t="s">
        <v>78</v>
      </c>
      <c r="C19" s="25" t="s">
        <v>76</v>
      </c>
      <c r="D19" s="39" t="s">
        <v>40</v>
      </c>
      <c r="E19" s="40" t="n">
        <v>142000</v>
      </c>
      <c r="F19" s="41" t="n">
        <f aca="false">IFERROR(VLOOKUP(D19,StageProbTable,2,FALSE()),0)</f>
        <v>1</v>
      </c>
      <c r="G19" s="42" t="n">
        <f aca="false">E19*F19</f>
        <v>142000</v>
      </c>
      <c r="H19" s="43" t="n">
        <v>46038</v>
      </c>
      <c r="I19" s="43" t="n">
        <v>46038</v>
      </c>
      <c r="J19" s="44"/>
    </row>
    <row r="20" customFormat="false" ht="15" hidden="false" customHeight="false" outlineLevel="0" collapsed="false">
      <c r="A20" s="45" t="s">
        <v>79</v>
      </c>
      <c r="B20" s="46" t="s">
        <v>80</v>
      </c>
      <c r="C20" s="47" t="s">
        <v>76</v>
      </c>
      <c r="D20" s="39" t="s">
        <v>40</v>
      </c>
      <c r="E20" s="48" t="n">
        <v>95000</v>
      </c>
      <c r="F20" s="49" t="n">
        <f aca="false">IFERROR(VLOOKUP(D20,StageProbTable,2,FALSE()),0)</f>
        <v>1</v>
      </c>
      <c r="G20" s="50" t="n">
        <f aca="false">E20*F20</f>
        <v>95000</v>
      </c>
      <c r="H20" s="51" t="n">
        <v>46027</v>
      </c>
      <c r="I20" s="51" t="n">
        <v>46027</v>
      </c>
      <c r="J20" s="52"/>
    </row>
    <row r="21" customFormat="false" ht="15" hidden="false" customHeight="false" outlineLevel="0" collapsed="false">
      <c r="A21" s="37" t="s">
        <v>81</v>
      </c>
      <c r="B21" s="38" t="s">
        <v>82</v>
      </c>
      <c r="C21" s="25" t="s">
        <v>83</v>
      </c>
      <c r="D21" s="39" t="s">
        <v>40</v>
      </c>
      <c r="E21" s="40" t="n">
        <v>198000</v>
      </c>
      <c r="F21" s="41" t="n">
        <f aca="false">IFERROR(VLOOKUP(D21,StageProbTable,2,FALSE()),0)</f>
        <v>1</v>
      </c>
      <c r="G21" s="42" t="n">
        <f aca="false">E21*F21</f>
        <v>198000</v>
      </c>
      <c r="H21" s="43" t="n">
        <v>46049</v>
      </c>
      <c r="I21" s="43" t="n">
        <v>46049</v>
      </c>
      <c r="J21" s="44"/>
    </row>
    <row r="22" customFormat="false" ht="15" hidden="false" customHeight="false" outlineLevel="0" collapsed="false">
      <c r="A22" s="45" t="s">
        <v>84</v>
      </c>
      <c r="B22" s="46" t="s">
        <v>85</v>
      </c>
      <c r="C22" s="47" t="s">
        <v>83</v>
      </c>
      <c r="D22" s="39" t="s">
        <v>40</v>
      </c>
      <c r="E22" s="48" t="n">
        <v>123000</v>
      </c>
      <c r="F22" s="49" t="n">
        <f aca="false">IFERROR(VLOOKUP(D22,StageProbTable,2,FALSE()),0)</f>
        <v>1</v>
      </c>
      <c r="G22" s="50" t="n">
        <f aca="false">E22*F22</f>
        <v>123000</v>
      </c>
      <c r="H22" s="51" t="n">
        <v>46034</v>
      </c>
      <c r="I22" s="51" t="n">
        <v>46034</v>
      </c>
      <c r="J22" s="52"/>
    </row>
    <row r="23" customFormat="false" ht="15" hidden="false" customHeight="false" outlineLevel="0" collapsed="false">
      <c r="A23" s="37" t="s">
        <v>86</v>
      </c>
      <c r="B23" s="38" t="s">
        <v>87</v>
      </c>
      <c r="C23" s="25" t="s">
        <v>88</v>
      </c>
      <c r="D23" s="39" t="s">
        <v>40</v>
      </c>
      <c r="E23" s="40" t="n">
        <v>130000</v>
      </c>
      <c r="F23" s="41" t="n">
        <f aca="false">IFERROR(VLOOKUP(D23,StageProbTable,2,FALSE()),0)</f>
        <v>1</v>
      </c>
      <c r="G23" s="42" t="n">
        <f aca="false">E23*F23</f>
        <v>130000</v>
      </c>
      <c r="H23" s="43" t="n">
        <v>46042</v>
      </c>
      <c r="I23" s="43" t="n">
        <v>46042</v>
      </c>
      <c r="J23" s="44"/>
    </row>
    <row r="24" customFormat="false" ht="15" hidden="false" customHeight="false" outlineLevel="0" collapsed="false">
      <c r="A24" s="45" t="s">
        <v>89</v>
      </c>
      <c r="B24" s="46" t="s">
        <v>90</v>
      </c>
      <c r="C24" s="47" t="s">
        <v>88</v>
      </c>
      <c r="D24" s="39" t="s">
        <v>40</v>
      </c>
      <c r="E24" s="48" t="n">
        <v>108000</v>
      </c>
      <c r="F24" s="49" t="n">
        <f aca="false">IFERROR(VLOOKUP(D24,StageProbTable,2,FALSE()),0)</f>
        <v>1</v>
      </c>
      <c r="G24" s="50" t="n">
        <f aca="false">E24*F24</f>
        <v>108000</v>
      </c>
      <c r="H24" s="51" t="n">
        <v>46036</v>
      </c>
      <c r="I24" s="51" t="n">
        <v>46036</v>
      </c>
      <c r="J24" s="52"/>
    </row>
    <row r="25" customFormat="false" ht="15" hidden="false" customHeight="false" outlineLevel="0" collapsed="false">
      <c r="A25" s="37" t="s">
        <v>91</v>
      </c>
      <c r="B25" s="38" t="s">
        <v>92</v>
      </c>
      <c r="C25" s="25" t="s">
        <v>88</v>
      </c>
      <c r="D25" s="39" t="s">
        <v>40</v>
      </c>
      <c r="E25" s="40" t="n">
        <v>53000</v>
      </c>
      <c r="F25" s="41" t="n">
        <f aca="false">IFERROR(VLOOKUP(D25,StageProbTable,2,FALSE()),0)</f>
        <v>1</v>
      </c>
      <c r="G25" s="42" t="n">
        <f aca="false">E25*F25</f>
        <v>53000</v>
      </c>
      <c r="H25" s="43" t="n">
        <v>46029</v>
      </c>
      <c r="I25" s="43" t="n">
        <v>46029</v>
      </c>
      <c r="J25" s="44"/>
    </row>
    <row r="26" customFormat="false" ht="15" hidden="false" customHeight="false" outlineLevel="0" collapsed="false">
      <c r="A26" s="45" t="s">
        <v>93</v>
      </c>
      <c r="B26" s="46" t="s">
        <v>94</v>
      </c>
      <c r="C26" s="47" t="s">
        <v>95</v>
      </c>
      <c r="D26" s="39" t="s">
        <v>40</v>
      </c>
      <c r="E26" s="48" t="n">
        <v>155000</v>
      </c>
      <c r="F26" s="49" t="n">
        <f aca="false">IFERROR(VLOOKUP(D26,StageProbTable,2,FALSE()),0)</f>
        <v>1</v>
      </c>
      <c r="G26" s="50" t="n">
        <f aca="false">E26*F26</f>
        <v>155000</v>
      </c>
      <c r="H26" s="51" t="n">
        <v>46044</v>
      </c>
      <c r="I26" s="51" t="n">
        <v>46044</v>
      </c>
      <c r="J26" s="52"/>
    </row>
    <row r="27" customFormat="false" ht="15" hidden="false" customHeight="false" outlineLevel="0" collapsed="false">
      <c r="A27" s="37" t="s">
        <v>96</v>
      </c>
      <c r="B27" s="38" t="s">
        <v>97</v>
      </c>
      <c r="C27" s="25" t="s">
        <v>95</v>
      </c>
      <c r="D27" s="39" t="s">
        <v>40</v>
      </c>
      <c r="E27" s="40" t="n">
        <v>101000</v>
      </c>
      <c r="F27" s="41" t="n">
        <f aca="false">IFERROR(VLOOKUP(D27,StageProbTable,2,FALSE()),0)</f>
        <v>1</v>
      </c>
      <c r="G27" s="42" t="n">
        <f aca="false">E27*F27</f>
        <v>101000</v>
      </c>
      <c r="H27" s="43" t="n">
        <v>46031</v>
      </c>
      <c r="I27" s="43" t="n">
        <v>46031</v>
      </c>
      <c r="J27" s="44"/>
    </row>
    <row r="28" customFormat="false" ht="15" hidden="false" customHeight="false" outlineLevel="0" collapsed="false">
      <c r="A28" s="45" t="s">
        <v>98</v>
      </c>
      <c r="B28" s="46" t="s">
        <v>99</v>
      </c>
      <c r="C28" s="47" t="s">
        <v>100</v>
      </c>
      <c r="D28" s="39" t="s">
        <v>40</v>
      </c>
      <c r="E28" s="48" t="n">
        <v>143000</v>
      </c>
      <c r="F28" s="49" t="n">
        <f aca="false">IFERROR(VLOOKUP(D28,StageProbTable,2,FALSE()),0)</f>
        <v>1</v>
      </c>
      <c r="G28" s="50" t="n">
        <f aca="false">E28*F28</f>
        <v>143000</v>
      </c>
      <c r="H28" s="51" t="n">
        <v>46049</v>
      </c>
      <c r="I28" s="51" t="n">
        <v>46049</v>
      </c>
      <c r="J28" s="52"/>
    </row>
    <row r="29" customFormat="false" ht="15" hidden="false" customHeight="false" outlineLevel="0" collapsed="false">
      <c r="A29" s="37" t="s">
        <v>101</v>
      </c>
      <c r="B29" s="38" t="s">
        <v>102</v>
      </c>
      <c r="C29" s="25" t="s">
        <v>69</v>
      </c>
      <c r="D29" s="53" t="s">
        <v>57</v>
      </c>
      <c r="E29" s="40" t="n">
        <v>120000</v>
      </c>
      <c r="F29" s="41" t="n">
        <f aca="false">IFERROR(VLOOKUP(D29,StageProbTable,2,FALSE()),0)</f>
        <v>0</v>
      </c>
      <c r="G29" s="42" t="n">
        <f aca="false">E29*F29</f>
        <v>0</v>
      </c>
      <c r="H29" s="43" t="n">
        <v>46037</v>
      </c>
      <c r="I29" s="43" t="n">
        <v>46037</v>
      </c>
      <c r="J29" s="44"/>
    </row>
    <row r="30" customFormat="false" ht="23.85" hidden="false" customHeight="false" outlineLevel="0" collapsed="false">
      <c r="A30" s="45" t="s">
        <v>103</v>
      </c>
      <c r="B30" s="46" t="s">
        <v>104</v>
      </c>
      <c r="C30" s="47" t="s">
        <v>76</v>
      </c>
      <c r="D30" s="53" t="s">
        <v>57</v>
      </c>
      <c r="E30" s="48" t="n">
        <v>87000</v>
      </c>
      <c r="F30" s="49" t="n">
        <f aca="false">IFERROR(VLOOKUP(D30,StageProbTable,2,FALSE()),0)</f>
        <v>0</v>
      </c>
      <c r="G30" s="50" t="n">
        <f aca="false">E30*F30</f>
        <v>0</v>
      </c>
      <c r="H30" s="51" t="n">
        <v>46033</v>
      </c>
      <c r="I30" s="51" t="n">
        <v>46033</v>
      </c>
      <c r="J30" s="52"/>
    </row>
    <row r="31" customFormat="false" ht="15" hidden="false" customHeight="false" outlineLevel="0" collapsed="false">
      <c r="A31" s="37" t="s">
        <v>105</v>
      </c>
      <c r="B31" s="38" t="s">
        <v>106</v>
      </c>
      <c r="C31" s="25" t="s">
        <v>100</v>
      </c>
      <c r="D31" s="53" t="s">
        <v>57</v>
      </c>
      <c r="E31" s="40" t="n">
        <v>65000</v>
      </c>
      <c r="F31" s="41" t="n">
        <f aca="false">IFERROR(VLOOKUP(D31,StageProbTable,2,FALSE()),0)</f>
        <v>0</v>
      </c>
      <c r="G31" s="42" t="n">
        <f aca="false">E31*F31</f>
        <v>0</v>
      </c>
      <c r="H31" s="43" t="n">
        <v>46028</v>
      </c>
      <c r="I31" s="43" t="n">
        <v>46028</v>
      </c>
      <c r="J31" s="44"/>
    </row>
    <row r="32" customFormat="false" ht="15" hidden="false" customHeight="false" outlineLevel="0" collapsed="false">
      <c r="A32" s="45" t="s">
        <v>107</v>
      </c>
      <c r="B32" s="46" t="s">
        <v>108</v>
      </c>
      <c r="C32" s="47" t="s">
        <v>69</v>
      </c>
      <c r="D32" s="54" t="s">
        <v>39</v>
      </c>
      <c r="E32" s="48" t="n">
        <v>185000</v>
      </c>
      <c r="F32" s="49" t="n">
        <f aca="false">IFERROR(VLOOKUP(D32,StageProbTable,2,FALSE()),0)</f>
        <v>0.72</v>
      </c>
      <c r="G32" s="50" t="n">
        <f aca="false">E32*F32</f>
        <v>133200</v>
      </c>
      <c r="H32" s="51" t="n">
        <v>46065</v>
      </c>
      <c r="I32" s="55"/>
      <c r="J32" s="52"/>
    </row>
    <row r="33" customFormat="false" ht="15" hidden="false" customHeight="false" outlineLevel="0" collapsed="false">
      <c r="A33" s="37" t="s">
        <v>109</v>
      </c>
      <c r="B33" s="38" t="s">
        <v>110</v>
      </c>
      <c r="C33" s="25" t="s">
        <v>76</v>
      </c>
      <c r="D33" s="54" t="s">
        <v>39</v>
      </c>
      <c r="E33" s="40" t="n">
        <v>145000</v>
      </c>
      <c r="F33" s="41" t="n">
        <f aca="false">IFERROR(VLOOKUP(D33,StageProbTable,2,FALSE()),0)</f>
        <v>0.72</v>
      </c>
      <c r="G33" s="42" t="n">
        <f aca="false">E33*F33</f>
        <v>104400</v>
      </c>
      <c r="H33" s="43" t="n">
        <v>46071</v>
      </c>
      <c r="I33" s="34"/>
      <c r="J33" s="44"/>
    </row>
    <row r="34" customFormat="false" ht="15" hidden="false" customHeight="false" outlineLevel="0" collapsed="false">
      <c r="A34" s="45" t="s">
        <v>111</v>
      </c>
      <c r="B34" s="46" t="s">
        <v>112</v>
      </c>
      <c r="C34" s="47" t="s">
        <v>83</v>
      </c>
      <c r="D34" s="54" t="s">
        <v>39</v>
      </c>
      <c r="E34" s="48" t="n">
        <v>220000</v>
      </c>
      <c r="F34" s="49" t="n">
        <f aca="false">IFERROR(VLOOKUP(D34,StageProbTable,2,FALSE()),0)</f>
        <v>0.72</v>
      </c>
      <c r="G34" s="50" t="n">
        <f aca="false">E34*F34</f>
        <v>158400</v>
      </c>
      <c r="H34" s="51" t="n">
        <v>46067</v>
      </c>
      <c r="I34" s="55"/>
      <c r="J34" s="52"/>
    </row>
    <row r="35" customFormat="false" ht="15" hidden="false" customHeight="false" outlineLevel="0" collapsed="false">
      <c r="A35" s="37" t="s">
        <v>113</v>
      </c>
      <c r="B35" s="38" t="s">
        <v>114</v>
      </c>
      <c r="C35" s="25" t="s">
        <v>69</v>
      </c>
      <c r="D35" s="56" t="s">
        <v>38</v>
      </c>
      <c r="E35" s="40" t="n">
        <v>110000</v>
      </c>
      <c r="F35" s="41" t="n">
        <f aca="false">IFERROR(VLOOKUP(D35,StageProbTable,2,FALSE()),0)</f>
        <v>0.45</v>
      </c>
      <c r="G35" s="42" t="n">
        <f aca="false">E35*F35</f>
        <v>49500</v>
      </c>
      <c r="H35" s="43" t="n">
        <v>46081</v>
      </c>
      <c r="I35" s="34"/>
      <c r="J35" s="44"/>
    </row>
    <row r="36" customFormat="false" ht="15" hidden="false" customHeight="false" outlineLevel="0" collapsed="false">
      <c r="A36" s="45" t="s">
        <v>115</v>
      </c>
      <c r="B36" s="46" t="s">
        <v>116</v>
      </c>
      <c r="C36" s="47" t="s">
        <v>95</v>
      </c>
      <c r="D36" s="56" t="s">
        <v>38</v>
      </c>
      <c r="E36" s="48" t="n">
        <v>88000</v>
      </c>
      <c r="F36" s="49" t="n">
        <f aca="false">IFERROR(VLOOKUP(D36,StageProbTable,2,FALSE()),0)</f>
        <v>0.45</v>
      </c>
      <c r="G36" s="50" t="n">
        <f aca="false">E36*F36</f>
        <v>39600</v>
      </c>
      <c r="H36" s="51" t="n">
        <v>46086</v>
      </c>
      <c r="I36" s="55"/>
      <c r="J36" s="52"/>
    </row>
    <row r="37" customFormat="false" ht="15" hidden="false" customHeight="false" outlineLevel="0" collapsed="false">
      <c r="A37" s="37" t="s">
        <v>117</v>
      </c>
      <c r="B37" s="38" t="s">
        <v>118</v>
      </c>
      <c r="C37" s="25" t="s">
        <v>88</v>
      </c>
      <c r="D37" s="56" t="s">
        <v>38</v>
      </c>
      <c r="E37" s="40" t="n">
        <v>72000</v>
      </c>
      <c r="F37" s="41" t="n">
        <f aca="false">IFERROR(VLOOKUP(D37,StageProbTable,2,FALSE()),0)</f>
        <v>0.45</v>
      </c>
      <c r="G37" s="42" t="n">
        <f aca="false">E37*F37</f>
        <v>32400</v>
      </c>
      <c r="H37" s="43" t="n">
        <v>46091</v>
      </c>
      <c r="I37" s="34"/>
      <c r="J37" s="44"/>
    </row>
    <row r="38" customFormat="false" ht="23.85" hidden="false" customHeight="false" outlineLevel="0" collapsed="false">
      <c r="A38" s="45" t="s">
        <v>119</v>
      </c>
      <c r="B38" s="46" t="s">
        <v>120</v>
      </c>
      <c r="C38" s="47" t="s">
        <v>76</v>
      </c>
      <c r="D38" s="57" t="s">
        <v>37</v>
      </c>
      <c r="E38" s="48" t="n">
        <v>65000</v>
      </c>
      <c r="F38" s="49" t="n">
        <f aca="false">IFERROR(VLOOKUP(D38,StageProbTable,2,FALSE()),0)</f>
        <v>0.28</v>
      </c>
      <c r="G38" s="50" t="n">
        <f aca="false">E38*F38</f>
        <v>18200</v>
      </c>
      <c r="H38" s="51" t="n">
        <v>46096</v>
      </c>
      <c r="I38" s="55"/>
      <c r="J38" s="52"/>
    </row>
    <row r="39" customFormat="false" ht="15" hidden="false" customHeight="false" outlineLevel="0" collapsed="false">
      <c r="A39" s="37" t="s">
        <v>121</v>
      </c>
      <c r="B39" s="38" t="s">
        <v>122</v>
      </c>
      <c r="C39" s="25" t="s">
        <v>83</v>
      </c>
      <c r="D39" s="57" t="s">
        <v>37</v>
      </c>
      <c r="E39" s="40" t="n">
        <v>38000</v>
      </c>
      <c r="F39" s="41" t="n">
        <f aca="false">IFERROR(VLOOKUP(D39,StageProbTable,2,FALSE()),0)</f>
        <v>0.28</v>
      </c>
      <c r="G39" s="42" t="n">
        <f aca="false">E39*F39</f>
        <v>10640</v>
      </c>
      <c r="H39" s="43" t="n">
        <v>46101</v>
      </c>
      <c r="I39" s="34"/>
      <c r="J39" s="44"/>
    </row>
    <row r="40" customFormat="false" ht="15" hidden="false" customHeight="false" outlineLevel="0" collapsed="false">
      <c r="A40" s="45" t="s">
        <v>123</v>
      </c>
      <c r="B40" s="46" t="s">
        <v>124</v>
      </c>
      <c r="C40" s="47" t="s">
        <v>95</v>
      </c>
      <c r="D40" s="57" t="s">
        <v>37</v>
      </c>
      <c r="E40" s="48" t="n">
        <v>52000</v>
      </c>
      <c r="F40" s="49" t="n">
        <f aca="false">IFERROR(VLOOKUP(D40,StageProbTable,2,FALSE()),0)</f>
        <v>0.28</v>
      </c>
      <c r="G40" s="50" t="n">
        <f aca="false">E40*F40</f>
        <v>14560</v>
      </c>
      <c r="H40" s="51" t="n">
        <v>46103</v>
      </c>
      <c r="I40" s="55"/>
      <c r="J40" s="52"/>
    </row>
    <row r="41" customFormat="false" ht="15" hidden="false" customHeight="false" outlineLevel="0" collapsed="false">
      <c r="A41" s="37" t="s">
        <v>125</v>
      </c>
      <c r="B41" s="38" t="s">
        <v>126</v>
      </c>
      <c r="C41" s="25" t="s">
        <v>100</v>
      </c>
      <c r="D41" s="57" t="s">
        <v>37</v>
      </c>
      <c r="E41" s="40" t="n">
        <v>45000</v>
      </c>
      <c r="F41" s="41" t="n">
        <f aca="false">IFERROR(VLOOKUP(D41,StageProbTable,2,FALSE()),0)</f>
        <v>0.28</v>
      </c>
      <c r="G41" s="42" t="n">
        <f aca="false">E41*F41</f>
        <v>12600</v>
      </c>
      <c r="H41" s="43" t="n">
        <v>46106</v>
      </c>
      <c r="I41" s="34"/>
      <c r="J41" s="44"/>
    </row>
    <row r="42" customFormat="false" ht="15" hidden="false" customHeight="false" outlineLevel="0" collapsed="false">
      <c r="A42" s="45" t="s">
        <v>127</v>
      </c>
      <c r="B42" s="46" t="s">
        <v>128</v>
      </c>
      <c r="C42" s="47" t="s">
        <v>69</v>
      </c>
      <c r="D42" s="58" t="s">
        <v>36</v>
      </c>
      <c r="E42" s="48" t="n">
        <v>85000</v>
      </c>
      <c r="F42" s="49" t="n">
        <f aca="false">IFERROR(VLOOKUP(D42,StageProbTable,2,FALSE()),0)</f>
        <v>0.15</v>
      </c>
      <c r="G42" s="50" t="n">
        <f aca="false">E42*F42</f>
        <v>12750</v>
      </c>
      <c r="H42" s="51" t="n">
        <v>46111</v>
      </c>
      <c r="I42" s="55"/>
      <c r="J42" s="52"/>
    </row>
    <row r="43" customFormat="false" ht="15" hidden="false" customHeight="false" outlineLevel="0" collapsed="false">
      <c r="A43" s="37" t="s">
        <v>129</v>
      </c>
      <c r="B43" s="38" t="s">
        <v>130</v>
      </c>
      <c r="C43" s="25" t="s">
        <v>76</v>
      </c>
      <c r="D43" s="58" t="s">
        <v>36</v>
      </c>
      <c r="E43" s="40" t="n">
        <v>62000</v>
      </c>
      <c r="F43" s="41" t="n">
        <f aca="false">IFERROR(VLOOKUP(D43,StageProbTable,2,FALSE()),0)</f>
        <v>0.15</v>
      </c>
      <c r="G43" s="42" t="n">
        <f aca="false">E43*F43</f>
        <v>9300</v>
      </c>
      <c r="H43" s="43" t="n">
        <v>46111</v>
      </c>
      <c r="I43" s="34"/>
      <c r="J43" s="44"/>
    </row>
    <row r="44" customFormat="false" ht="15" hidden="false" customHeight="false" outlineLevel="0" collapsed="false">
      <c r="A44" s="45" t="s">
        <v>131</v>
      </c>
      <c r="B44" s="46" t="s">
        <v>132</v>
      </c>
      <c r="C44" s="47" t="s">
        <v>88</v>
      </c>
      <c r="D44" s="58" t="s">
        <v>36</v>
      </c>
      <c r="E44" s="48" t="n">
        <v>48000</v>
      </c>
      <c r="F44" s="49" t="n">
        <f aca="false">IFERROR(VLOOKUP(D44,StageProbTable,2,FALSE()),0)</f>
        <v>0.15</v>
      </c>
      <c r="G44" s="50" t="n">
        <f aca="false">E44*F44</f>
        <v>7200</v>
      </c>
      <c r="H44" s="51" t="n">
        <v>46117</v>
      </c>
      <c r="I44" s="55"/>
      <c r="J44" s="52"/>
    </row>
    <row r="45" customFormat="false" ht="15" hidden="false" customHeight="false" outlineLevel="0" collapsed="false">
      <c r="A45" s="44"/>
      <c r="B45" s="44"/>
      <c r="C45" s="44"/>
      <c r="D45" s="44"/>
      <c r="E45" s="44"/>
      <c r="F45" s="59" t="str">
        <f aca="false">IF(D45="","",IFERROR(VLOOKUP(D45,StageProbTable,2,FALSE()),0))</f>
        <v/>
      </c>
      <c r="G45" s="60" t="str">
        <f aca="false">IF(OR(E45="",F45=""),"",E45*F45)</f>
        <v/>
      </c>
      <c r="H45" s="44"/>
      <c r="I45" s="44"/>
      <c r="J45" s="44"/>
    </row>
    <row r="46" customFormat="false" ht="15" hidden="false" customHeight="false" outlineLevel="0" collapsed="false">
      <c r="A46" s="44"/>
      <c r="B46" s="44"/>
      <c r="C46" s="44"/>
      <c r="D46" s="44"/>
      <c r="E46" s="44"/>
      <c r="F46" s="59" t="str">
        <f aca="false">IF(D46="","",IFERROR(VLOOKUP(D46,StageProbTable,2,FALSE()),0))</f>
        <v/>
      </c>
      <c r="G46" s="60" t="str">
        <f aca="false">IF(OR(E46="",F46=""),"",E46*F46)</f>
        <v/>
      </c>
      <c r="H46" s="44"/>
      <c r="I46" s="44"/>
      <c r="J46" s="44"/>
    </row>
    <row r="47" customFormat="false" ht="15" hidden="false" customHeight="false" outlineLevel="0" collapsed="false">
      <c r="A47" s="44"/>
      <c r="B47" s="44"/>
      <c r="C47" s="44"/>
      <c r="D47" s="44"/>
      <c r="E47" s="44"/>
      <c r="F47" s="59" t="str">
        <f aca="false">IF(D47="","",IFERROR(VLOOKUP(D47,StageProbTable,2,FALSE()),0))</f>
        <v/>
      </c>
      <c r="G47" s="60" t="str">
        <f aca="false">IF(OR(E47="",F47=""),"",E47*F47)</f>
        <v/>
      </c>
      <c r="H47" s="44"/>
      <c r="I47" s="44"/>
      <c r="J47" s="44"/>
    </row>
    <row r="48" customFormat="false" ht="15" hidden="false" customHeight="false" outlineLevel="0" collapsed="false">
      <c r="A48" s="44"/>
      <c r="B48" s="44"/>
      <c r="C48" s="44"/>
      <c r="D48" s="44"/>
      <c r="E48" s="44"/>
      <c r="F48" s="59" t="str">
        <f aca="false">IF(D48="","",IFERROR(VLOOKUP(D48,StageProbTable,2,FALSE()),0))</f>
        <v/>
      </c>
      <c r="G48" s="60" t="str">
        <f aca="false">IF(OR(E48="",F48=""),"",E48*F48)</f>
        <v/>
      </c>
      <c r="H48" s="44"/>
      <c r="I48" s="44"/>
      <c r="J48" s="44"/>
    </row>
    <row r="49" customFormat="false" ht="15" hidden="false" customHeight="false" outlineLevel="0" collapsed="false">
      <c r="A49" s="44"/>
      <c r="B49" s="44"/>
      <c r="C49" s="44"/>
      <c r="D49" s="44"/>
      <c r="E49" s="44"/>
      <c r="F49" s="59" t="str">
        <f aca="false">IF(D49="","",IFERROR(VLOOKUP(D49,StageProbTable,2,FALSE()),0))</f>
        <v/>
      </c>
      <c r="G49" s="60" t="str">
        <f aca="false">IF(OR(E49="",F49=""),"",E49*F49)</f>
        <v/>
      </c>
      <c r="H49" s="44"/>
      <c r="I49" s="44"/>
      <c r="J49" s="44"/>
    </row>
    <row r="50" customFormat="false" ht="15" hidden="false" customHeight="false" outlineLevel="0" collapsed="false">
      <c r="A50" s="44"/>
      <c r="B50" s="44"/>
      <c r="C50" s="44"/>
      <c r="D50" s="44"/>
      <c r="E50" s="44"/>
      <c r="F50" s="59" t="str">
        <f aca="false">IF(D50="","",IFERROR(VLOOKUP(D50,StageProbTable,2,FALSE()),0))</f>
        <v/>
      </c>
      <c r="G50" s="60" t="str">
        <f aca="false">IF(OR(E50="",F50=""),"",E50*F50)</f>
        <v/>
      </c>
      <c r="H50" s="44"/>
      <c r="I50" s="44"/>
      <c r="J50" s="44"/>
    </row>
    <row r="51" customFormat="false" ht="15" hidden="false" customHeight="false" outlineLevel="0" collapsed="false">
      <c r="A51" s="44"/>
      <c r="B51" s="44"/>
      <c r="C51" s="44"/>
      <c r="D51" s="44"/>
      <c r="E51" s="44"/>
      <c r="F51" s="59" t="str">
        <f aca="false">IF(D51="","",IFERROR(VLOOKUP(D51,StageProbTable,2,FALSE()),0))</f>
        <v/>
      </c>
      <c r="G51" s="60" t="str">
        <f aca="false">IF(OR(E51="",F51=""),"",E51*F51)</f>
        <v/>
      </c>
      <c r="H51" s="44"/>
      <c r="I51" s="44"/>
      <c r="J51" s="44"/>
    </row>
    <row r="52" customFormat="false" ht="15" hidden="false" customHeight="false" outlineLevel="0" collapsed="false">
      <c r="A52" s="44"/>
      <c r="B52" s="44"/>
      <c r="C52" s="44"/>
      <c r="D52" s="44"/>
      <c r="E52" s="44"/>
      <c r="F52" s="59" t="str">
        <f aca="false">IF(D52="","",IFERROR(VLOOKUP(D52,StageProbTable,2,FALSE()),0))</f>
        <v/>
      </c>
      <c r="G52" s="60" t="str">
        <f aca="false">IF(OR(E52="",F52=""),"",E52*F52)</f>
        <v/>
      </c>
      <c r="H52" s="44"/>
      <c r="I52" s="44"/>
      <c r="J52" s="44"/>
    </row>
    <row r="53" customFormat="false" ht="15" hidden="false" customHeight="false" outlineLevel="0" collapsed="false">
      <c r="A53" s="44"/>
      <c r="B53" s="44"/>
      <c r="C53" s="44"/>
      <c r="D53" s="44"/>
      <c r="E53" s="44"/>
      <c r="F53" s="59" t="str">
        <f aca="false">IF(D53="","",IFERROR(VLOOKUP(D53,StageProbTable,2,FALSE()),0))</f>
        <v/>
      </c>
      <c r="G53" s="60" t="str">
        <f aca="false">IF(OR(E53="",F53=""),"",E53*F53)</f>
        <v/>
      </c>
      <c r="H53" s="44"/>
      <c r="I53" s="44"/>
      <c r="J53" s="44"/>
    </row>
    <row r="54" customFormat="false" ht="15" hidden="false" customHeight="false" outlineLevel="0" collapsed="false">
      <c r="A54" s="44"/>
      <c r="B54" s="44"/>
      <c r="C54" s="44"/>
      <c r="D54" s="44"/>
      <c r="E54" s="44"/>
      <c r="F54" s="59" t="str">
        <f aca="false">IF(D54="","",IFERROR(VLOOKUP(D54,StageProbTable,2,FALSE()),0))</f>
        <v/>
      </c>
      <c r="G54" s="60" t="str">
        <f aca="false">IF(OR(E54="",F54=""),"",E54*F54)</f>
        <v/>
      </c>
      <c r="H54" s="44"/>
      <c r="I54" s="44"/>
      <c r="J54" s="44"/>
    </row>
    <row r="55" customFormat="false" ht="15" hidden="false" customHeight="false" outlineLevel="0" collapsed="false">
      <c r="A55" s="44"/>
      <c r="B55" s="44"/>
      <c r="C55" s="44"/>
      <c r="D55" s="44"/>
      <c r="E55" s="44"/>
      <c r="F55" s="59" t="str">
        <f aca="false">IF(D55="","",IFERROR(VLOOKUP(D55,StageProbTable,2,FALSE()),0))</f>
        <v/>
      </c>
      <c r="G55" s="60" t="str">
        <f aca="false">IF(OR(E55="",F55=""),"",E55*F55)</f>
        <v/>
      </c>
      <c r="H55" s="44"/>
      <c r="I55" s="44"/>
      <c r="J55" s="44"/>
    </row>
    <row r="56" customFormat="false" ht="15" hidden="false" customHeight="false" outlineLevel="0" collapsed="false">
      <c r="A56" s="44"/>
      <c r="B56" s="44"/>
      <c r="C56" s="44"/>
      <c r="D56" s="44"/>
      <c r="E56" s="44"/>
      <c r="F56" s="59" t="str">
        <f aca="false">IF(D56="","",IFERROR(VLOOKUP(D56,StageProbTable,2,FALSE()),0))</f>
        <v/>
      </c>
      <c r="G56" s="60" t="str">
        <f aca="false">IF(OR(E56="",F56=""),"",E56*F56)</f>
        <v/>
      </c>
      <c r="H56" s="44"/>
      <c r="I56" s="44"/>
      <c r="J56" s="44"/>
    </row>
    <row r="57" customFormat="false" ht="15" hidden="false" customHeight="false" outlineLevel="0" collapsed="false">
      <c r="A57" s="44"/>
      <c r="B57" s="44"/>
      <c r="C57" s="44"/>
      <c r="D57" s="44"/>
      <c r="E57" s="44"/>
      <c r="F57" s="59" t="str">
        <f aca="false">IF(D57="","",IFERROR(VLOOKUP(D57,StageProbTable,2,FALSE()),0))</f>
        <v/>
      </c>
      <c r="G57" s="60" t="str">
        <f aca="false">IF(OR(E57="",F57=""),"",E57*F57)</f>
        <v/>
      </c>
      <c r="H57" s="44"/>
      <c r="I57" s="44"/>
      <c r="J57" s="44"/>
    </row>
    <row r="58" customFormat="false" ht="15" hidden="false" customHeight="false" outlineLevel="0" collapsed="false">
      <c r="A58" s="44"/>
      <c r="B58" s="44"/>
      <c r="C58" s="44"/>
      <c r="D58" s="44"/>
      <c r="E58" s="44"/>
      <c r="F58" s="59" t="str">
        <f aca="false">IF(D58="","",IFERROR(VLOOKUP(D58,StageProbTable,2,FALSE()),0))</f>
        <v/>
      </c>
      <c r="G58" s="60" t="str">
        <f aca="false">IF(OR(E58="",F58=""),"",E58*F58)</f>
        <v/>
      </c>
      <c r="H58" s="44"/>
      <c r="I58" s="44"/>
      <c r="J58" s="44"/>
    </row>
    <row r="59" customFormat="false" ht="15" hidden="false" customHeight="false" outlineLevel="0" collapsed="false">
      <c r="A59" s="44"/>
      <c r="B59" s="44"/>
      <c r="C59" s="44"/>
      <c r="D59" s="44"/>
      <c r="E59" s="44"/>
      <c r="F59" s="59" t="str">
        <f aca="false">IF(D59="","",IFERROR(VLOOKUP(D59,StageProbTable,2,FALSE()),0))</f>
        <v/>
      </c>
      <c r="G59" s="60" t="str">
        <f aca="false">IF(OR(E59="",F59=""),"",E59*F59)</f>
        <v/>
      </c>
      <c r="H59" s="44"/>
      <c r="I59" s="44"/>
      <c r="J59" s="44"/>
    </row>
    <row r="60" customFormat="false" ht="15" hidden="false" customHeight="false" outlineLevel="0" collapsed="false">
      <c r="A60" s="44"/>
      <c r="B60" s="44"/>
      <c r="C60" s="44"/>
      <c r="D60" s="44"/>
      <c r="E60" s="44"/>
      <c r="F60" s="59" t="str">
        <f aca="false">IF(D60="","",IFERROR(VLOOKUP(D60,StageProbTable,2,FALSE()),0))</f>
        <v/>
      </c>
      <c r="G60" s="60" t="str">
        <f aca="false">IF(OR(E60="",F60=""),"",E60*F60)</f>
        <v/>
      </c>
      <c r="H60" s="44"/>
      <c r="I60" s="44"/>
      <c r="J60" s="44"/>
    </row>
    <row r="61" customFormat="false" ht="15" hidden="false" customHeight="false" outlineLevel="0" collapsed="false">
      <c r="A61" s="44"/>
      <c r="B61" s="44"/>
      <c r="C61" s="44"/>
      <c r="D61" s="44"/>
      <c r="E61" s="44"/>
      <c r="F61" s="59" t="str">
        <f aca="false">IF(D61="","",IFERROR(VLOOKUP(D61,StageProbTable,2,FALSE()),0))</f>
        <v/>
      </c>
      <c r="G61" s="60" t="str">
        <f aca="false">IF(OR(E61="",F61=""),"",E61*F61)</f>
        <v/>
      </c>
      <c r="H61" s="44"/>
      <c r="I61" s="44"/>
      <c r="J61" s="44"/>
    </row>
    <row r="62" customFormat="false" ht="15" hidden="false" customHeight="false" outlineLevel="0" collapsed="false">
      <c r="A62" s="44"/>
      <c r="B62" s="44"/>
      <c r="C62" s="44"/>
      <c r="D62" s="44"/>
      <c r="E62" s="44"/>
      <c r="F62" s="59" t="str">
        <f aca="false">IF(D62="","",IFERROR(VLOOKUP(D62,StageProbTable,2,FALSE()),0))</f>
        <v/>
      </c>
      <c r="G62" s="60" t="str">
        <f aca="false">IF(OR(E62="",F62=""),"",E62*F62)</f>
        <v/>
      </c>
      <c r="H62" s="44"/>
      <c r="I62" s="44"/>
      <c r="J62" s="44"/>
    </row>
    <row r="63" customFormat="false" ht="15" hidden="false" customHeight="false" outlineLevel="0" collapsed="false">
      <c r="A63" s="44"/>
      <c r="B63" s="44"/>
      <c r="C63" s="44"/>
      <c r="D63" s="44"/>
      <c r="E63" s="44"/>
      <c r="F63" s="59" t="str">
        <f aca="false">IF(D63="","",IFERROR(VLOOKUP(D63,StageProbTable,2,FALSE()),0))</f>
        <v/>
      </c>
      <c r="G63" s="60" t="str">
        <f aca="false">IF(OR(E63="",F63=""),"",E63*F63)</f>
        <v/>
      </c>
      <c r="H63" s="44"/>
      <c r="I63" s="44"/>
      <c r="J63" s="44"/>
    </row>
    <row r="64" customFormat="false" ht="15" hidden="false" customHeight="false" outlineLevel="0" collapsed="false">
      <c r="A64" s="44"/>
      <c r="B64" s="44"/>
      <c r="C64" s="44"/>
      <c r="D64" s="44"/>
      <c r="E64" s="44"/>
      <c r="F64" s="59" t="str">
        <f aca="false">IF(D64="","",IFERROR(VLOOKUP(D64,StageProbTable,2,FALSE()),0))</f>
        <v/>
      </c>
      <c r="G64" s="60" t="str">
        <f aca="false">IF(OR(E64="",F64=""),"",E64*F64)</f>
        <v/>
      </c>
      <c r="H64" s="44"/>
      <c r="I64" s="44"/>
      <c r="J64" s="44"/>
    </row>
  </sheetData>
  <mergeCells count="4">
    <mergeCell ref="A1:J1"/>
    <mergeCell ref="A2:J2"/>
    <mergeCell ref="A4:J4"/>
    <mergeCell ref="A13:J13"/>
  </mergeCells>
  <dataValidations count="2">
    <dataValidation allowBlank="true" errorStyle="stop" operator="between" showDropDown="false" showErrorMessage="false" showInputMessage="false" sqref="D15:D64" type="list">
      <formula1>StageNames</formula1>
      <formula2>0</formula2>
    </dataValidation>
    <dataValidation allowBlank="true" errorStyle="stop" operator="between" showDropDown="false" showErrorMessage="false" showInputMessage="false" sqref="C15:C64" type="list">
      <formula1>RepList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7" min="3" style="0" width="15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30" t="s">
        <v>133</v>
      </c>
      <c r="B1" s="30"/>
      <c r="C1" s="30"/>
      <c r="D1" s="30"/>
      <c r="E1" s="30"/>
      <c r="F1" s="30"/>
      <c r="G1" s="30"/>
      <c r="H1" s="30"/>
    </row>
    <row r="2" customFormat="false" ht="25.5" hidden="false" customHeight="true" outlineLevel="0" collapsed="false">
      <c r="A2" s="31" t="s">
        <v>134</v>
      </c>
      <c r="B2" s="31"/>
      <c r="C2" s="31"/>
      <c r="D2" s="31"/>
      <c r="E2" s="31"/>
      <c r="F2" s="31"/>
      <c r="G2" s="31"/>
      <c r="H2" s="31"/>
    </row>
    <row r="4" customFormat="false" ht="27.75" hidden="false" customHeight="true" outlineLevel="0" collapsed="false">
      <c r="A4" s="61" t="s">
        <v>135</v>
      </c>
      <c r="B4" s="61" t="s">
        <v>136</v>
      </c>
      <c r="C4" s="61" t="s">
        <v>137</v>
      </c>
      <c r="D4" s="61" t="s">
        <v>138</v>
      </c>
      <c r="E4" s="61" t="s">
        <v>139</v>
      </c>
      <c r="F4" s="61" t="s">
        <v>140</v>
      </c>
      <c r="G4" s="61" t="s">
        <v>141</v>
      </c>
      <c r="H4" s="61" t="s">
        <v>46</v>
      </c>
    </row>
    <row r="5" customFormat="false" ht="15" hidden="false" customHeight="false" outlineLevel="0" collapsed="false">
      <c r="A5" s="62" t="n">
        <f aca="false">IF(Quotas!B5="","",Quotas!A5)</f>
        <v>1</v>
      </c>
      <c r="B5" s="25" t="str">
        <f aca="false">IF(Quotas!B5="","",Quotas!B5)</f>
        <v>Sarah Chen</v>
      </c>
      <c r="C5" s="63" t="n">
        <f aca="false">IF(B5="","",COUNTIFS(DealReps,B5)-COUNTIFS(DealReps,B5,DealStages,"Closed Won")-COUNTIFS(DealReps,B5,DealStages,"Closed Lost"))</f>
        <v>3</v>
      </c>
      <c r="D5" s="40" t="n">
        <f aca="false">IF(B5="","",SUMIFS(DealValues,DealReps,B5)-SUMIFS(DealValues,DealReps,B5,DealStages,"Closed Won")-SUMIFS(DealValues,DealReps,B5,DealStages,"Closed Lost"))</f>
        <v>380000</v>
      </c>
      <c r="E5" s="63" t="n">
        <f aca="false">IF(B5="","",COUNTIFS(DealReps,B5,DealStages,"Closed Won"))</f>
        <v>3</v>
      </c>
      <c r="F5" s="64" t="n">
        <f aca="false">IF(B5="","",SUMIFS(DealValues,DealReps,B5,DealStages,"Closed Won"))</f>
        <v>486000</v>
      </c>
      <c r="G5" s="65" t="n">
        <f aca="false">IF(B5="","",Quotas!E5)</f>
        <v>335000</v>
      </c>
      <c r="H5" s="28" t="n">
        <f aca="false">IFERROR(F5/G5,0)</f>
        <v>1.45074626865672</v>
      </c>
    </row>
    <row r="6" customFormat="false" ht="15" hidden="false" customHeight="false" outlineLevel="0" collapsed="false">
      <c r="A6" s="62" t="n">
        <f aca="false">IF(Quotas!B6="","",Quotas!A6)</f>
        <v>2</v>
      </c>
      <c r="B6" s="25" t="str">
        <f aca="false">IF(Quotas!B6="","",Quotas!B6)</f>
        <v>Marcus Rivera</v>
      </c>
      <c r="C6" s="66" t="n">
        <f aca="false">IF(B6="","",COUNTIFS(DealReps,B6)-COUNTIFS(DealReps,B6,DealStages,"Closed Won")-COUNTIFS(DealReps,B6,DealStages,"Closed Lost"))</f>
        <v>3</v>
      </c>
      <c r="D6" s="48" t="n">
        <f aca="false">IF(B6="","",SUMIFS(DealValues,DealReps,B6)-SUMIFS(DealValues,DealReps,B6,DealStages,"Closed Won")-SUMIFS(DealValues,DealReps,B6,DealStages,"Closed Lost"))</f>
        <v>272000</v>
      </c>
      <c r="E6" s="66" t="n">
        <f aca="false">IF(B6="","",COUNTIFS(DealReps,B6,DealStages,"Closed Won"))</f>
        <v>3</v>
      </c>
      <c r="F6" s="67" t="n">
        <f aca="false">IF(B6="","",SUMIFS(DealValues,DealReps,B6,DealStages,"Closed Won"))</f>
        <v>412000</v>
      </c>
      <c r="G6" s="68" t="n">
        <f aca="false">IF(B6="","",Quotas!E6)</f>
        <v>349000</v>
      </c>
      <c r="H6" s="69" t="n">
        <f aca="false">IFERROR(F6/G6,0)</f>
        <v>1.18051575931232</v>
      </c>
    </row>
    <row r="7" customFormat="false" ht="15" hidden="false" customHeight="false" outlineLevel="0" collapsed="false">
      <c r="A7" s="62" t="n">
        <f aca="false">IF(Quotas!B7="","",Quotas!A7)</f>
        <v>3</v>
      </c>
      <c r="B7" s="25" t="str">
        <f aca="false">IF(Quotas!B7="","",Quotas!B7)</f>
        <v>Priya Kumar</v>
      </c>
      <c r="C7" s="63" t="n">
        <f aca="false">IF(B7="","",COUNTIFS(DealReps,B7)-COUNTIFS(DealReps,B7,DealStages,"Closed Won")-COUNTIFS(DealReps,B7,DealStages,"Closed Lost"))</f>
        <v>2</v>
      </c>
      <c r="D7" s="40" t="n">
        <f aca="false">IF(B7="","",SUMIFS(DealValues,DealReps,B7)-SUMIFS(DealValues,DealReps,B7,DealStages,"Closed Won")-SUMIFS(DealValues,DealReps,B7,DealStages,"Closed Lost"))</f>
        <v>258000</v>
      </c>
      <c r="E7" s="63" t="n">
        <f aca="false">IF(B7="","",COUNTIFS(DealReps,B7,DealStages,"Closed Won"))</f>
        <v>2</v>
      </c>
      <c r="F7" s="64" t="n">
        <f aca="false">IF(B7="","",SUMIFS(DealValues,DealReps,B7,DealStages,"Closed Won"))</f>
        <v>321000</v>
      </c>
      <c r="G7" s="65" t="n">
        <f aca="false">IF(B7="","",Quotas!E7)</f>
        <v>349000</v>
      </c>
      <c r="H7" s="28" t="n">
        <f aca="false">IFERROR(F7/G7,0)</f>
        <v>0.919770773638969</v>
      </c>
    </row>
    <row r="8" customFormat="false" ht="15" hidden="false" customHeight="false" outlineLevel="0" collapsed="false">
      <c r="A8" s="62" t="n">
        <f aca="false">IF(Quotas!B8="","",Quotas!A8)</f>
        <v>4</v>
      </c>
      <c r="B8" s="25" t="str">
        <f aca="false">IF(Quotas!B8="","",Quotas!B8)</f>
        <v>Jake Morris</v>
      </c>
      <c r="C8" s="66" t="n">
        <f aca="false">IF(B8="","",COUNTIFS(DealReps,B8)-COUNTIFS(DealReps,B8,DealStages,"Closed Won")-COUNTIFS(DealReps,B8,DealStages,"Closed Lost"))</f>
        <v>2</v>
      </c>
      <c r="D8" s="48" t="n">
        <f aca="false">IF(B8="","",SUMIFS(DealValues,DealReps,B8)-SUMIFS(DealValues,DealReps,B8,DealStages,"Closed Won")-SUMIFS(DealValues,DealReps,B8,DealStages,"Closed Lost"))</f>
        <v>120000</v>
      </c>
      <c r="E8" s="66" t="n">
        <f aca="false">IF(B8="","",COUNTIFS(DealReps,B8,DealStages,"Closed Won"))</f>
        <v>3</v>
      </c>
      <c r="F8" s="67" t="n">
        <f aca="false">IF(B8="","",SUMIFS(DealValues,DealReps,B8,DealStages,"Closed Won"))</f>
        <v>291000</v>
      </c>
      <c r="G8" s="68" t="n">
        <f aca="false">IF(B8="","",Quotas!E8)</f>
        <v>335000</v>
      </c>
      <c r="H8" s="69" t="n">
        <f aca="false">IFERROR(F8/G8,0)</f>
        <v>0.86865671641791</v>
      </c>
    </row>
    <row r="9" customFormat="false" ht="15" hidden="false" customHeight="false" outlineLevel="0" collapsed="false">
      <c r="A9" s="62" t="n">
        <f aca="false">IF(Quotas!B9="","",Quotas!A9)</f>
        <v>5</v>
      </c>
      <c r="B9" s="25" t="str">
        <f aca="false">IF(Quotas!B9="","",Quotas!B9)</f>
        <v>Diana Lee</v>
      </c>
      <c r="C9" s="63" t="n">
        <f aca="false">IF(B9="","",COUNTIFS(DealReps,B9)-COUNTIFS(DealReps,B9,DealStages,"Closed Won")-COUNTIFS(DealReps,B9,DealStages,"Closed Lost"))</f>
        <v>2</v>
      </c>
      <c r="D9" s="40" t="n">
        <f aca="false">IF(B9="","",SUMIFS(DealValues,DealReps,B9)-SUMIFS(DealValues,DealReps,B9,DealStages,"Closed Won")-SUMIFS(DealValues,DealReps,B9,DealStages,"Closed Lost"))</f>
        <v>140000</v>
      </c>
      <c r="E9" s="63" t="n">
        <f aca="false">IF(B9="","",COUNTIFS(DealReps,B9,DealStages,"Closed Won"))</f>
        <v>2</v>
      </c>
      <c r="F9" s="64" t="n">
        <f aca="false">IF(B9="","",SUMIFS(DealValues,DealReps,B9,DealStages,"Closed Won"))</f>
        <v>256000</v>
      </c>
      <c r="G9" s="65" t="n">
        <f aca="false">IF(B9="","",Quotas!E9)</f>
        <v>351000</v>
      </c>
      <c r="H9" s="28" t="n">
        <f aca="false">IFERROR(F9/G9,0)</f>
        <v>0.729344729344729</v>
      </c>
    </row>
    <row r="10" customFormat="false" ht="15" hidden="false" customHeight="false" outlineLevel="0" collapsed="false">
      <c r="A10" s="62" t="n">
        <f aca="false">IF(Quotas!B10="","",Quotas!A10)</f>
        <v>6</v>
      </c>
      <c r="B10" s="25" t="str">
        <f aca="false">IF(Quotas!B10="","",Quotas!B10)</f>
        <v>Tom Baxter</v>
      </c>
      <c r="C10" s="66" t="n">
        <f aca="false">IF(B10="","",COUNTIFS(DealReps,B10)-COUNTIFS(DealReps,B10,DealStages,"Closed Won")-COUNTIFS(DealReps,B10,DealStages,"Closed Lost"))</f>
        <v>1</v>
      </c>
      <c r="D10" s="48" t="n">
        <f aca="false">IF(B10="","",SUMIFS(DealValues,DealReps,B10)-SUMIFS(DealValues,DealReps,B10,DealStages,"Closed Won")-SUMIFS(DealValues,DealReps,B10,DealStages,"Closed Lost"))</f>
        <v>45000</v>
      </c>
      <c r="E10" s="66" t="n">
        <f aca="false">IF(B10="","",COUNTIFS(DealReps,B10,DealStages,"Closed Won"))</f>
        <v>1</v>
      </c>
      <c r="F10" s="67" t="n">
        <f aca="false">IF(B10="","",SUMIFS(DealValues,DealReps,B10,DealStages,"Closed Won"))</f>
        <v>143000</v>
      </c>
      <c r="G10" s="68" t="n">
        <f aca="false">IF(B10="","",Quotas!E10)</f>
        <v>349000</v>
      </c>
      <c r="H10" s="69" t="n">
        <f aca="false">IFERROR(F10/G10,0)</f>
        <v>0.40974212034384</v>
      </c>
    </row>
    <row r="11" customFormat="false" ht="15" hidden="false" customHeight="false" outlineLevel="0" collapsed="false">
      <c r="A11" s="62" t="str">
        <f aca="false">IF(Quotas!B11="","",Quotas!A11)</f>
        <v/>
      </c>
      <c r="B11" s="25" t="str">
        <f aca="false">IF(Quotas!B11="","",Quotas!B11)</f>
        <v/>
      </c>
      <c r="C11" s="63" t="str">
        <f aca="false">IF(B11="","",COUNTIFS(DealReps,B11)-COUNTIFS(DealReps,B11,DealStages,"Closed Won")-COUNTIFS(DealReps,B11,DealStages,"Closed Lost"))</f>
        <v/>
      </c>
      <c r="D11" s="40" t="str">
        <f aca="false">IF(B11="","",SUMIFS(DealValues,DealReps,B11)-SUMIFS(DealValues,DealReps,B11,DealStages,"Closed Won")-SUMIFS(DealValues,DealReps,B11,DealStages,"Closed Lost"))</f>
        <v/>
      </c>
      <c r="E11" s="63" t="str">
        <f aca="false">IF(B11="","",COUNTIFS(DealReps,B11,DealStages,"Closed Won"))</f>
        <v/>
      </c>
      <c r="F11" s="64" t="str">
        <f aca="false">IF(B11="","",SUMIFS(DealValues,DealReps,B11,DealStages,"Closed Won"))</f>
        <v/>
      </c>
      <c r="G11" s="65" t="str">
        <f aca="false">IF(B11="","",Quotas!E11)</f>
        <v/>
      </c>
      <c r="H11" s="28" t="n">
        <f aca="false">IFERROR(F11/G11,0)</f>
        <v>0</v>
      </c>
    </row>
    <row r="12" customFormat="false" ht="15" hidden="false" customHeight="false" outlineLevel="0" collapsed="false">
      <c r="A12" s="62" t="str">
        <f aca="false">IF(Quotas!B12="","",Quotas!A12)</f>
        <v/>
      </c>
      <c r="B12" s="25" t="str">
        <f aca="false">IF(Quotas!B12="","",Quotas!B12)</f>
        <v/>
      </c>
      <c r="C12" s="66" t="str">
        <f aca="false">IF(B12="","",COUNTIFS(DealReps,B12)-COUNTIFS(DealReps,B12,DealStages,"Closed Won")-COUNTIFS(DealReps,B12,DealStages,"Closed Lost"))</f>
        <v/>
      </c>
      <c r="D12" s="48" t="str">
        <f aca="false">IF(B12="","",SUMIFS(DealValues,DealReps,B12)-SUMIFS(DealValues,DealReps,B12,DealStages,"Closed Won")-SUMIFS(DealValues,DealReps,B12,DealStages,"Closed Lost"))</f>
        <v/>
      </c>
      <c r="E12" s="66" t="str">
        <f aca="false">IF(B12="","",COUNTIFS(DealReps,B12,DealStages,"Closed Won"))</f>
        <v/>
      </c>
      <c r="F12" s="67" t="str">
        <f aca="false">IF(B12="","",SUMIFS(DealValues,DealReps,B12,DealStages,"Closed Won"))</f>
        <v/>
      </c>
      <c r="G12" s="68" t="str">
        <f aca="false">IF(B12="","",Quotas!E12)</f>
        <v/>
      </c>
      <c r="H12" s="69" t="n">
        <f aca="false">IFERROR(F12/G12,0)</f>
        <v>0</v>
      </c>
    </row>
    <row r="13" customFormat="false" ht="15" hidden="false" customHeight="false" outlineLevel="0" collapsed="false">
      <c r="A13" s="62" t="str">
        <f aca="false">IF(Quotas!B13="","",Quotas!A13)</f>
        <v/>
      </c>
      <c r="B13" s="25" t="str">
        <f aca="false">IF(Quotas!B13="","",Quotas!B13)</f>
        <v/>
      </c>
      <c r="C13" s="63" t="str">
        <f aca="false">IF(B13="","",COUNTIFS(DealReps,B13)-COUNTIFS(DealReps,B13,DealStages,"Closed Won")-COUNTIFS(DealReps,B13,DealStages,"Closed Lost"))</f>
        <v/>
      </c>
      <c r="D13" s="40" t="str">
        <f aca="false">IF(B13="","",SUMIFS(DealValues,DealReps,B13)-SUMIFS(DealValues,DealReps,B13,DealStages,"Closed Won")-SUMIFS(DealValues,DealReps,B13,DealStages,"Closed Lost"))</f>
        <v/>
      </c>
      <c r="E13" s="63" t="str">
        <f aca="false">IF(B13="","",COUNTIFS(DealReps,B13,DealStages,"Closed Won"))</f>
        <v/>
      </c>
      <c r="F13" s="64" t="str">
        <f aca="false">IF(B13="","",SUMIFS(DealValues,DealReps,B13,DealStages,"Closed Won"))</f>
        <v/>
      </c>
      <c r="G13" s="65" t="str">
        <f aca="false">IF(B13="","",Quotas!E13)</f>
        <v/>
      </c>
      <c r="H13" s="28" t="n">
        <f aca="false">IFERROR(F13/G13,0)</f>
        <v>0</v>
      </c>
    </row>
    <row r="14" customFormat="false" ht="15" hidden="false" customHeight="false" outlineLevel="0" collapsed="false">
      <c r="A14" s="62" t="str">
        <f aca="false">IF(Quotas!B14="","",Quotas!A14)</f>
        <v/>
      </c>
      <c r="B14" s="25" t="str">
        <f aca="false">IF(Quotas!B14="","",Quotas!B14)</f>
        <v/>
      </c>
      <c r="C14" s="66" t="str">
        <f aca="false">IF(B14="","",COUNTIFS(DealReps,B14)-COUNTIFS(DealReps,B14,DealStages,"Closed Won")-COUNTIFS(DealReps,B14,DealStages,"Closed Lost"))</f>
        <v/>
      </c>
      <c r="D14" s="48" t="str">
        <f aca="false">IF(B14="","",SUMIFS(DealValues,DealReps,B14)-SUMIFS(DealValues,DealReps,B14,DealStages,"Closed Won")-SUMIFS(DealValues,DealReps,B14,DealStages,"Closed Lost"))</f>
        <v/>
      </c>
      <c r="E14" s="66" t="str">
        <f aca="false">IF(B14="","",COUNTIFS(DealReps,B14,DealStages,"Closed Won"))</f>
        <v/>
      </c>
      <c r="F14" s="67" t="str">
        <f aca="false">IF(B14="","",SUMIFS(DealValues,DealReps,B14,DealStages,"Closed Won"))</f>
        <v/>
      </c>
      <c r="G14" s="68" t="str">
        <f aca="false">IF(B14="","",Quotas!E14)</f>
        <v/>
      </c>
      <c r="H14" s="69" t="n">
        <f aca="false">IFERROR(F14/G14,0)</f>
        <v>0</v>
      </c>
    </row>
    <row r="16" customFormat="false" ht="27.75" hidden="false" customHeight="true" outlineLevel="0" collapsed="false">
      <c r="A16" s="70"/>
      <c r="B16" s="71" t="s">
        <v>142</v>
      </c>
      <c r="C16" s="72" t="n">
        <f aca="false">SUM(C5:C14)</f>
        <v>13</v>
      </c>
      <c r="D16" s="73" t="n">
        <f aca="false">SUM(D5:D14)</f>
        <v>1215000</v>
      </c>
      <c r="E16" s="72" t="n">
        <f aca="false">SUM(E5:E14)</f>
        <v>14</v>
      </c>
      <c r="F16" s="73" t="n">
        <f aca="false">SUM(F5:F14)</f>
        <v>1909000</v>
      </c>
      <c r="G16" s="73" t="n">
        <f aca="false">SUM(G5:G14)</f>
        <v>2068000</v>
      </c>
      <c r="H16" s="74" t="n">
        <f aca="false">IFERROR(F16/G16,0)</f>
        <v>0.923114119922631</v>
      </c>
    </row>
  </sheetData>
  <mergeCells count="2">
    <mergeCell ref="A1:H1"/>
    <mergeCell ref="A2:H2"/>
  </mergeCells>
  <conditionalFormatting sqref="H5:H14">
    <cfRule type="cellIs" priority="2" operator="greaterThanOrEqual" aboveAverage="0" equalAverage="0" bottom="0" percent="0" rank="0" text="" dxfId="0">
      <formula>1</formula>
    </cfRule>
    <cfRule type="cellIs" priority="3" operator="between" aboveAverage="0" equalAverage="0" bottom="0" percent="0" rank="0" text="" dxfId="1">
      <formula>0.7</formula>
      <formula>0.9999</formula>
    </cfRule>
    <cfRule type="cellIs" priority="4" operator="lessThan" aboveAverage="0" equalAverage="0" bottom="0" percent="0" rank="0" text="" dxfId="2">
      <formula>0.7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5" min="4" style="0" width="18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30" t="s">
        <v>143</v>
      </c>
      <c r="B1" s="30"/>
      <c r="C1" s="30"/>
      <c r="D1" s="30"/>
      <c r="E1" s="30"/>
      <c r="F1" s="30"/>
    </row>
    <row r="2" customFormat="false" ht="30" hidden="false" customHeight="true" outlineLevel="0" collapsed="false">
      <c r="A2" s="31" t="s">
        <v>144</v>
      </c>
      <c r="B2" s="31"/>
      <c r="C2" s="31"/>
      <c r="D2" s="31"/>
      <c r="E2" s="31"/>
      <c r="F2" s="31"/>
    </row>
    <row r="4" customFormat="false" ht="27.75" hidden="false" customHeight="true" outlineLevel="0" collapsed="false">
      <c r="A4" s="61" t="s">
        <v>135</v>
      </c>
      <c r="B4" s="61" t="s">
        <v>136</v>
      </c>
      <c r="C4" s="61" t="s">
        <v>145</v>
      </c>
      <c r="D4" s="61" t="s">
        <v>146</v>
      </c>
      <c r="E4" s="61" t="s">
        <v>141</v>
      </c>
      <c r="F4" s="61" t="s">
        <v>147</v>
      </c>
    </row>
    <row r="5" customFormat="false" ht="15" hidden="false" customHeight="false" outlineLevel="0" collapsed="false">
      <c r="A5" s="62" t="n">
        <v>1</v>
      </c>
      <c r="B5" s="25" t="s">
        <v>69</v>
      </c>
      <c r="C5" s="75" t="s">
        <v>148</v>
      </c>
      <c r="D5" s="75" t="s">
        <v>149</v>
      </c>
      <c r="E5" s="76" t="n">
        <v>335000</v>
      </c>
      <c r="F5" s="77" t="s">
        <v>150</v>
      </c>
    </row>
    <row r="6" customFormat="false" ht="15" hidden="false" customHeight="false" outlineLevel="0" collapsed="false">
      <c r="A6" s="62" t="n">
        <v>2</v>
      </c>
      <c r="B6" s="25" t="s">
        <v>76</v>
      </c>
      <c r="C6" s="75" t="s">
        <v>151</v>
      </c>
      <c r="D6" s="75" t="s">
        <v>152</v>
      </c>
      <c r="E6" s="76" t="n">
        <v>349000</v>
      </c>
      <c r="F6" s="77" t="s">
        <v>150</v>
      </c>
    </row>
    <row r="7" customFormat="false" ht="15" hidden="false" customHeight="false" outlineLevel="0" collapsed="false">
      <c r="A7" s="62" t="n">
        <v>3</v>
      </c>
      <c r="B7" s="25" t="s">
        <v>83</v>
      </c>
      <c r="C7" s="75" t="s">
        <v>153</v>
      </c>
      <c r="D7" s="75" t="s">
        <v>154</v>
      </c>
      <c r="E7" s="76" t="n">
        <v>349000</v>
      </c>
      <c r="F7" s="77" t="s">
        <v>150</v>
      </c>
    </row>
    <row r="8" customFormat="false" ht="15" hidden="false" customHeight="false" outlineLevel="0" collapsed="false">
      <c r="A8" s="62" t="n">
        <v>4</v>
      </c>
      <c r="B8" s="25" t="s">
        <v>88</v>
      </c>
      <c r="C8" s="75" t="s">
        <v>155</v>
      </c>
      <c r="D8" s="75" t="s">
        <v>156</v>
      </c>
      <c r="E8" s="76" t="n">
        <v>335000</v>
      </c>
      <c r="F8" s="77" t="s">
        <v>150</v>
      </c>
    </row>
    <row r="9" customFormat="false" ht="15" hidden="false" customHeight="false" outlineLevel="0" collapsed="false">
      <c r="A9" s="62" t="n">
        <v>5</v>
      </c>
      <c r="B9" s="25" t="s">
        <v>95</v>
      </c>
      <c r="C9" s="75" t="s">
        <v>157</v>
      </c>
      <c r="D9" s="75" t="s">
        <v>158</v>
      </c>
      <c r="E9" s="76" t="n">
        <v>351000</v>
      </c>
      <c r="F9" s="77" t="s">
        <v>150</v>
      </c>
    </row>
    <row r="10" customFormat="false" ht="15" hidden="false" customHeight="false" outlineLevel="0" collapsed="false">
      <c r="A10" s="62" t="n">
        <v>6</v>
      </c>
      <c r="B10" s="25" t="s">
        <v>100</v>
      </c>
      <c r="C10" s="75" t="s">
        <v>159</v>
      </c>
      <c r="D10" s="75" t="s">
        <v>160</v>
      </c>
      <c r="E10" s="76" t="n">
        <v>349000</v>
      </c>
      <c r="F10" s="78" t="s">
        <v>161</v>
      </c>
    </row>
    <row r="11" customFormat="false" ht="15" hidden="false" customHeight="false" outlineLevel="0" collapsed="false">
      <c r="A11" s="44"/>
      <c r="B11" s="44"/>
      <c r="C11" s="44"/>
      <c r="D11" s="44"/>
      <c r="E11" s="44"/>
      <c r="F11" s="44"/>
    </row>
    <row r="12" customFormat="false" ht="15" hidden="false" customHeight="false" outlineLevel="0" collapsed="false">
      <c r="A12" s="44"/>
      <c r="B12" s="44"/>
      <c r="C12" s="44"/>
      <c r="D12" s="44"/>
      <c r="E12" s="44"/>
      <c r="F12" s="44"/>
    </row>
    <row r="13" customFormat="false" ht="15" hidden="false" customHeight="false" outlineLevel="0" collapsed="false">
      <c r="A13" s="44"/>
      <c r="B13" s="44"/>
      <c r="C13" s="44"/>
      <c r="D13" s="44"/>
      <c r="E13" s="44"/>
      <c r="F13" s="44"/>
    </row>
    <row r="14" customFormat="false" ht="15" hidden="false" customHeight="false" outlineLevel="0" collapsed="false">
      <c r="A14" s="44"/>
      <c r="B14" s="44"/>
      <c r="C14" s="44"/>
      <c r="D14" s="44"/>
      <c r="E14" s="44"/>
      <c r="F14" s="44"/>
    </row>
    <row r="15" customFormat="false" ht="25.5" hidden="false" customHeight="true" outlineLevel="0" collapsed="false">
      <c r="A15" s="79"/>
      <c r="B15" s="80" t="s">
        <v>142</v>
      </c>
      <c r="C15" s="79"/>
      <c r="D15" s="79"/>
      <c r="E15" s="81" t="n">
        <f aca="false">SUM(E5:E14)</f>
        <v>2068000</v>
      </c>
      <c r="F15" s="79"/>
    </row>
  </sheetData>
  <mergeCells count="3">
    <mergeCell ref="A1:F1"/>
    <mergeCell ref="A2:F2"/>
    <mergeCell ref="C15:D15"/>
  </mergeCells>
  <dataValidations count="1">
    <dataValidation allowBlank="true" errorStyle="stop" operator="between" showDropDown="false" showErrorMessage="false" showInputMessage="false" sqref="F5:F14" type="list">
      <formula1>"Active,Ramping,Inactive"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30" t="s">
        <v>162</v>
      </c>
      <c r="B1" s="30"/>
      <c r="C1" s="30"/>
      <c r="D1" s="30"/>
      <c r="E1" s="30"/>
      <c r="F1" s="30"/>
    </row>
    <row r="2" customFormat="false" ht="25.5" hidden="false" customHeight="true" outlineLevel="0" collapsed="false">
      <c r="A2" s="31" t="s">
        <v>163</v>
      </c>
      <c r="B2" s="31"/>
      <c r="C2" s="31"/>
      <c r="D2" s="31"/>
      <c r="E2" s="31"/>
      <c r="F2" s="31"/>
    </row>
    <row r="4" customFormat="false" ht="27.75" hidden="false" customHeight="true" outlineLevel="0" collapsed="false">
      <c r="A4" s="61" t="s">
        <v>164</v>
      </c>
      <c r="B4" s="61" t="s">
        <v>44</v>
      </c>
      <c r="C4" s="61" t="s">
        <v>165</v>
      </c>
      <c r="D4" s="61" t="s">
        <v>166</v>
      </c>
      <c r="E4" s="61" t="s">
        <v>167</v>
      </c>
      <c r="F4" s="61" t="s">
        <v>168</v>
      </c>
    </row>
    <row r="5" customFormat="false" ht="15" hidden="false" customHeight="false" outlineLevel="0" collapsed="false">
      <c r="A5" s="82" t="n">
        <v>45689</v>
      </c>
      <c r="B5" s="40" t="n">
        <v>1250000</v>
      </c>
      <c r="C5" s="63" t="n">
        <v>24</v>
      </c>
      <c r="D5" s="41" t="n">
        <v>0.23</v>
      </c>
      <c r="E5" s="40" t="n">
        <v>52083</v>
      </c>
      <c r="F5" s="63" t="n">
        <v>68</v>
      </c>
    </row>
    <row r="6" customFormat="false" ht="15" hidden="false" customHeight="false" outlineLevel="0" collapsed="false">
      <c r="A6" s="82" t="n">
        <v>45717</v>
      </c>
      <c r="B6" s="48" t="n">
        <v>1340000</v>
      </c>
      <c r="C6" s="66" t="n">
        <v>26</v>
      </c>
      <c r="D6" s="49" t="n">
        <v>0.24</v>
      </c>
      <c r="E6" s="48" t="n">
        <v>51538</v>
      </c>
      <c r="F6" s="66" t="n">
        <v>65</v>
      </c>
    </row>
    <row r="7" customFormat="false" ht="15" hidden="false" customHeight="false" outlineLevel="0" collapsed="false">
      <c r="A7" s="82" t="n">
        <v>45748</v>
      </c>
      <c r="B7" s="40" t="n">
        <v>1180000</v>
      </c>
      <c r="C7" s="63" t="n">
        <v>22</v>
      </c>
      <c r="D7" s="41" t="n">
        <v>0.22</v>
      </c>
      <c r="E7" s="40" t="n">
        <v>53636</v>
      </c>
      <c r="F7" s="63" t="n">
        <v>71</v>
      </c>
    </row>
    <row r="8" customFormat="false" ht="15" hidden="false" customHeight="false" outlineLevel="0" collapsed="false">
      <c r="A8" s="82" t="n">
        <v>45778</v>
      </c>
      <c r="B8" s="48" t="n">
        <v>1420000</v>
      </c>
      <c r="C8" s="66" t="n">
        <v>28</v>
      </c>
      <c r="D8" s="49" t="n">
        <v>0.25</v>
      </c>
      <c r="E8" s="48" t="n">
        <v>50714</v>
      </c>
      <c r="F8" s="66" t="n">
        <v>63</v>
      </c>
    </row>
    <row r="9" customFormat="false" ht="15" hidden="false" customHeight="false" outlineLevel="0" collapsed="false">
      <c r="A9" s="82" t="n">
        <v>45809</v>
      </c>
      <c r="B9" s="40" t="n">
        <v>1510000</v>
      </c>
      <c r="C9" s="63" t="n">
        <v>29</v>
      </c>
      <c r="D9" s="41" t="n">
        <v>0.25</v>
      </c>
      <c r="E9" s="40" t="n">
        <v>52069</v>
      </c>
      <c r="F9" s="63" t="n">
        <v>62</v>
      </c>
    </row>
    <row r="10" customFormat="false" ht="15" hidden="false" customHeight="false" outlineLevel="0" collapsed="false">
      <c r="A10" s="82" t="n">
        <v>45839</v>
      </c>
      <c r="B10" s="48" t="n">
        <v>1380000</v>
      </c>
      <c r="C10" s="66" t="n">
        <v>27</v>
      </c>
      <c r="D10" s="49" t="n">
        <v>0.24</v>
      </c>
      <c r="E10" s="48" t="n">
        <v>51111</v>
      </c>
      <c r="F10" s="66" t="n">
        <v>66</v>
      </c>
    </row>
    <row r="11" customFormat="false" ht="15" hidden="false" customHeight="false" outlineLevel="0" collapsed="false">
      <c r="A11" s="82" t="n">
        <v>45870</v>
      </c>
      <c r="B11" s="40" t="n">
        <v>1450000</v>
      </c>
      <c r="C11" s="63" t="n">
        <v>28</v>
      </c>
      <c r="D11" s="41" t="n">
        <v>0.25</v>
      </c>
      <c r="E11" s="40" t="n">
        <v>51786</v>
      </c>
      <c r="F11" s="63" t="n">
        <v>64</v>
      </c>
    </row>
    <row r="12" customFormat="false" ht="15" hidden="false" customHeight="false" outlineLevel="0" collapsed="false">
      <c r="A12" s="82" t="n">
        <v>45901</v>
      </c>
      <c r="B12" s="48" t="n">
        <v>1620000</v>
      </c>
      <c r="C12" s="66" t="n">
        <v>31</v>
      </c>
      <c r="D12" s="49" t="n">
        <v>0.26</v>
      </c>
      <c r="E12" s="48" t="n">
        <v>52258</v>
      </c>
      <c r="F12" s="66" t="n">
        <v>61</v>
      </c>
    </row>
    <row r="13" customFormat="false" ht="15" hidden="false" customHeight="false" outlineLevel="0" collapsed="false">
      <c r="A13" s="82" t="n">
        <v>45931</v>
      </c>
      <c r="B13" s="40" t="n">
        <v>1580000</v>
      </c>
      <c r="C13" s="63" t="n">
        <v>30</v>
      </c>
      <c r="D13" s="41" t="n">
        <v>0.26</v>
      </c>
      <c r="E13" s="40" t="n">
        <v>52667</v>
      </c>
      <c r="F13" s="63" t="n">
        <v>63</v>
      </c>
    </row>
    <row r="14" customFormat="false" ht="15" hidden="false" customHeight="false" outlineLevel="0" collapsed="false">
      <c r="A14" s="82" t="n">
        <v>45962</v>
      </c>
      <c r="B14" s="48" t="n">
        <v>1720000</v>
      </c>
      <c r="C14" s="66" t="n">
        <v>33</v>
      </c>
      <c r="D14" s="49" t="n">
        <v>0.27</v>
      </c>
      <c r="E14" s="48" t="n">
        <v>52121</v>
      </c>
      <c r="F14" s="66" t="n">
        <v>60</v>
      </c>
    </row>
    <row r="15" customFormat="false" ht="15" hidden="false" customHeight="false" outlineLevel="0" collapsed="false">
      <c r="A15" s="82" t="n">
        <v>45992</v>
      </c>
      <c r="B15" s="40" t="n">
        <v>1650000</v>
      </c>
      <c r="C15" s="63" t="n">
        <v>32</v>
      </c>
      <c r="D15" s="41" t="n">
        <v>0.26</v>
      </c>
      <c r="E15" s="40" t="n">
        <v>51563</v>
      </c>
      <c r="F15" s="63" t="n">
        <v>62</v>
      </c>
    </row>
    <row r="16" customFormat="false" ht="15" hidden="false" customHeight="false" outlineLevel="0" collapsed="false">
      <c r="A16" s="83" t="n">
        <v>46023</v>
      </c>
      <c r="B16" s="84" t="n">
        <f aca="false">SUMIFS(DealValues,DealStages,"Closed Won",DealCloseActual,"&gt;="&amp;DATE(2026,1,1),DealCloseActual,"&lt;="&amp;DATE(2026,1,31))</f>
        <v>1909000</v>
      </c>
      <c r="C16" s="85" t="n">
        <f aca="false">COUNTIFS(DealStages,"Closed Won",DealCloseActual,"&gt;="&amp;DATE(2026,1,1),DealCloseActual,"&lt;="&amp;DATE(2026,1,31))</f>
        <v>14</v>
      </c>
      <c r="D16" s="33" t="n">
        <f aca="false">IFERROR(C16/(C16+COUNTIFS(DealStages,"Closed Lost",DealCloseActual,"&gt;="&amp;DATE(2026,1,1),DealCloseActual,"&lt;="&amp;DATE(2026,1,31))),0)</f>
        <v>0.823529411764706</v>
      </c>
      <c r="E16" s="84" t="n">
        <f aca="false">IFERROR(B16/C16,0)</f>
        <v>136357.142857143</v>
      </c>
      <c r="F16" s="85" t="n">
        <v>58</v>
      </c>
    </row>
    <row r="18" customFormat="false" ht="24" hidden="false" customHeight="true" outlineLevel="0" collapsed="false">
      <c r="A18" s="32" t="s">
        <v>169</v>
      </c>
      <c r="B18" s="32"/>
      <c r="C18" s="32"/>
      <c r="D18" s="32"/>
      <c r="E18" s="32"/>
      <c r="F18" s="32"/>
    </row>
    <row r="19" customFormat="false" ht="15" hidden="false" customHeight="false" outlineLevel="0" collapsed="false">
      <c r="A19" s="86" t="s">
        <v>170</v>
      </c>
      <c r="B19" s="87" t="n">
        <f aca="false">SUM(B5:B16)</f>
        <v>18009000</v>
      </c>
      <c r="C19" s="87"/>
    </row>
    <row r="20" customFormat="false" ht="15" hidden="false" customHeight="false" outlineLevel="0" collapsed="false">
      <c r="A20" s="86" t="s">
        <v>171</v>
      </c>
      <c r="B20" s="88" t="n">
        <f aca="false">SUM(C5:C16)</f>
        <v>324</v>
      </c>
      <c r="C20" s="88"/>
    </row>
    <row r="21" customFormat="false" ht="15" hidden="false" customHeight="false" outlineLevel="0" collapsed="false">
      <c r="A21" s="86" t="s">
        <v>172</v>
      </c>
      <c r="B21" s="89" t="n">
        <f aca="false">AVERAGE(D5:D16)</f>
        <v>0.296127450980392</v>
      </c>
      <c r="C21" s="89"/>
    </row>
    <row r="22" customFormat="false" ht="15" hidden="false" customHeight="false" outlineLevel="0" collapsed="false">
      <c r="A22" s="86" t="s">
        <v>173</v>
      </c>
      <c r="B22" s="87" t="n">
        <f aca="false">IFERROR(B18/C19,0)</f>
        <v>0</v>
      </c>
      <c r="C22" s="87"/>
    </row>
  </sheetData>
  <mergeCells count="7">
    <mergeCell ref="A1:F1"/>
    <mergeCell ref="A2:F2"/>
    <mergeCell ref="A18:F18"/>
    <mergeCell ref="B19:C19"/>
    <mergeCell ref="B20:C20"/>
    <mergeCell ref="B21:C21"/>
    <mergeCell ref="B22:C22"/>
  </mergeCells>
  <conditionalFormatting sqref="B5:B16">
    <cfRule type="dataBar" priority="2">
      <dataBar showValue="1" minLength="0" maxLength="100">
        <cfvo type="min" val="0"/>
        <cfvo type="max" val="0"/>
        <color rgb="FF7C9F5C"/>
      </dataBar>
      <extLst>
        <ext xmlns:x14="http://schemas.microsoft.com/office/spreadsheetml/2009/9/main" uri="{B025F937-C7B1-47D3-B67F-A62EFF666E3E}">
          <x14:id>{AA598F1F-4770-4BC7-8E81-ECE48247BBE5}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598F1F-4770-4BC7-8E81-ECE48247BBE5}">
            <x14:dataBar minLength="0" maxLength="100" axisPosition="none" gradient="true">
              <x14:cfvo type="min"/>
              <x14:cfvo type="max"/>
              <x14:negativeFillColor rgb="FF7C9F5C"/>
              <x14:axisColor rgb="FF000000"/>
            </x14:dataBar>
          </x14:cfRule>
          <xm:sqref>B5:B16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2026-07-21T12:21:34Z</dcterms:created>
  <dc:creator>openpyxl</dc:creator>
  <dc:description/>
  <dc:language>en-US</dc:language>
  <cp:lastModifiedBy/>
  <dcterms:modified xsi:type="dcterms:W3CDTF">2026-07-21T12:21:34Z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