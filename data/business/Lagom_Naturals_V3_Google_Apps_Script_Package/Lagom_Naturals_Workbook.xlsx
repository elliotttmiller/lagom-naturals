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Depletion" sheetId="3" state="visible" r:id="rId3"/>
    <sheet xmlns:r="http://schemas.openxmlformats.org/officeDocument/2006/relationships" name="AR" sheetId="4" state="visible" r:id="rId4"/>
    <sheet xmlns:r="http://schemas.openxmlformats.org/officeDocument/2006/relationships" name="Reports" sheetId="5" state="visible" r:id="rId5"/>
    <sheet xmlns:r="http://schemas.openxmlformats.org/officeDocument/2006/relationships" name="Commissions" sheetId="6" state="visible" r:id="rId6"/>
    <sheet xmlns:r="http://schemas.openxmlformats.org/officeDocument/2006/relationships" name="Setup" sheetId="7" state="visible" r:id="rId7"/>
    <sheet xmlns:r="http://schemas.openxmlformats.org/officeDocument/2006/relationships" name="Guide" sheetId="8" state="visible" r:id="rId8"/>
  </sheets>
  <definedNames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0.00"/>
    <numFmt numFmtId="167" formatCode="M/D/YYYY"/>
  </numFmts>
  <fonts count="23">
    <font>
      <name val="Carlito"/>
      <sz val="11"/>
    </font>
    <font>
      <name val="Nunito"/>
      <color rgb="FF171A18"/>
      <sz val="10"/>
    </font>
    <font>
      <name val="Nunito"/>
      <b val="1"/>
      <color rgb="FF171A18"/>
      <sz val="16"/>
    </font>
    <font>
      <name val="Nunito"/>
      <b val="1"/>
      <color rgb="FF656A66"/>
      <sz val="8"/>
    </font>
    <font>
      <name val="Nunito"/>
      <b val="1"/>
      <color rgb="FF171A18"/>
      <sz val="19"/>
    </font>
    <font>
      <name val="Nunito"/>
      <color rgb="FF656A66"/>
      <sz val="9"/>
    </font>
    <font>
      <name val="Nunito"/>
      <b val="1"/>
      <color rgb="FF171A18"/>
      <sz val="11"/>
    </font>
    <font>
      <name val="Nunito"/>
      <b val="1"/>
      <color rgb="FF171A18"/>
      <sz val="9"/>
    </font>
    <font>
      <name val="Nunito"/>
      <b val="1"/>
      <color rgb="FF171A18"/>
      <sz val="20"/>
    </font>
    <font>
      <name val="Nunito"/>
      <color rgb="FF171A18"/>
      <sz val="10"/>
    </font>
    <font>
      <name val="Nunito"/>
      <b val="1"/>
      <color rgb="FF171A18"/>
      <sz val="10"/>
    </font>
    <font>
      <name val="Nunito"/>
      <b val="1"/>
      <color rgb="FF171A18"/>
      <sz val="22"/>
    </font>
    <font>
      <name val="Nunito"/>
      <b val="1"/>
      <color rgb="FF171A18"/>
      <sz val="21"/>
    </font>
    <font>
      <name val="Nunito"/>
      <b val="1"/>
      <color rgb="FF365646"/>
      <sz val="9"/>
    </font>
    <font>
      <name val="Nunito"/>
      <b val="1"/>
      <color rgb="FF656A66"/>
      <sz val="9"/>
    </font>
    <font>
      <name val="Nunito"/>
      <b val="1"/>
      <color rgb="FFFFFFFF"/>
      <sz val="11"/>
    </font>
    <font>
      <name val="Nunito"/>
      <color rgb="FF171A18"/>
      <sz val="9"/>
    </font>
    <font>
      <name val="Nunito"/>
      <b val="1"/>
      <color rgb="FF365646"/>
      <sz val="8"/>
    </font>
    <font>
      <name val="Nunito"/>
      <b val="1"/>
      <color rgb="FF171A18"/>
      <sz val="18"/>
    </font>
    <font>
      <name val="Nunito"/>
      <color rgb="00171A18"/>
    </font>
    <font>
      <name val="Nunito"/>
      <b val="1"/>
      <color rgb="00171A18"/>
      <sz val="20"/>
    </font>
    <font>
      <name val="Nunito"/>
      <color rgb="00626A64"/>
      <sz val="10"/>
    </font>
    <font>
      <name val="Nunito"/>
      <b val="1"/>
      <color rgb="00171A18"/>
      <sz val="11"/>
    </font>
  </fonts>
  <fills count="20">
    <fill>
      <patternFill/>
    </fill>
    <fill>
      <patternFill patternType="gray125"/>
    </fill>
    <fill>
      <patternFill patternType="solid">
        <fgColor rgb="FFF7F7F4"/>
      </patternFill>
    </fill>
    <fill>
      <patternFill patternType="solid">
        <fgColor rgb="FFF1F2EE"/>
      </patternFill>
    </fill>
    <fill>
      <patternFill patternType="solid">
        <fgColor rgb="FFEDEFEA"/>
      </patternFill>
    </fill>
    <fill>
      <patternFill patternType="solid">
        <fgColor rgb="FFFFF9EE"/>
      </patternFill>
    </fill>
    <fill>
      <patternFill patternType="solid">
        <fgColor rgb="FFF3F5F2"/>
      </patternFill>
    </fill>
    <fill>
      <patternFill patternType="solid">
        <fgColor rgb="FFF6ECD6"/>
      </patternFill>
    </fill>
    <fill>
      <patternFill patternType="solid">
        <fgColor rgb="FFFCFCFA"/>
      </patternFill>
    </fill>
    <fill>
      <patternFill patternType="solid">
        <fgColor rgb="FFF7F7F4"/>
      </patternFill>
    </fill>
    <fill>
      <patternFill patternType="solid">
        <fgColor rgb="FFFCFCFA"/>
      </patternFill>
    </fill>
    <fill>
      <patternFill patternType="solid">
        <fgColor rgb="FFF1F2EE"/>
      </patternFill>
    </fill>
    <fill>
      <patternFill patternType="solid">
        <fgColor rgb="FFDDEBE3"/>
      </patternFill>
    </fill>
    <fill>
      <patternFill patternType="solid">
        <fgColor rgb="FF173E31"/>
      </patternFill>
    </fill>
    <fill>
      <patternFill patternType="solid">
        <fgColor rgb="FFEDEFEA"/>
      </patternFill>
    </fill>
    <fill>
      <patternFill patternType="solid">
        <fgColor rgb="FFFFF9EE"/>
      </patternFill>
    </fill>
    <fill>
      <patternFill patternType="solid">
        <fgColor rgb="FFF3F5F2"/>
      </patternFill>
    </fill>
    <fill>
      <patternFill patternType="solid">
        <fgColor rgb="00FFFFFF"/>
      </patternFill>
    </fill>
    <fill>
      <patternFill patternType="solid">
        <fgColor rgb="00E7EEE8"/>
      </patternFill>
    </fill>
    <fill>
      <patternFill patternType="solid">
        <fgColor rgb="00E3EAE4"/>
      </patternFill>
    </fill>
  </fills>
  <borders count="21">
    <border/>
    <border/>
    <border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bottom/>
    </border>
    <border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bottom style="thin">
        <color rgb="00D8DED8"/>
      </bottom>
    </border>
  </borders>
  <cellStyleXfs count="1">
    <xf numFmtId="0" fontId="0" fillId="0" borderId="1"/>
  </cellStyleXfs>
  <cellXfs count="39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4" fontId="1" fillId="5" borderId="1" applyAlignment="1" pivotButton="0" quotePrefix="0" xfId="0">
      <alignment vertical="center"/>
    </xf>
    <xf numFmtId="165" fontId="1" fillId="5" borderId="0" applyAlignment="1" pivotButton="0" quotePrefix="0" xfId="0">
      <alignment vertical="center"/>
    </xf>
    <xf numFmtId="165" fontId="1" fillId="5" borderId="1" applyAlignment="1" pivotButton="0" quotePrefix="0" xfId="0">
      <alignment vertical="center"/>
    </xf>
    <xf numFmtId="166" fontId="1" fillId="5" borderId="0" applyAlignment="1" pivotButton="0" quotePrefix="0" xfId="0">
      <alignment vertical="center"/>
    </xf>
    <xf numFmtId="166" fontId="1" fillId="5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7" fontId="1" fillId="5" borderId="0" applyAlignment="1" pivotButton="0" quotePrefix="0" xfId="0">
      <alignment vertical="center"/>
    </xf>
    <xf numFmtId="167" fontId="1" fillId="5" borderId="1" applyAlignment="1" pivotButton="0" quotePrefix="0" xfId="0">
      <alignment vertical="center"/>
    </xf>
    <xf numFmtId="167" fontId="1" fillId="6" borderId="0" applyAlignment="1" pivotButton="0" quotePrefix="0" xfId="0">
      <alignment vertical="center"/>
    </xf>
    <xf numFmtId="167" fontId="1" fillId="6" borderId="1" applyAlignment="1" pivotButton="0" quotePrefix="0" xfId="0">
      <alignment vertical="center"/>
    </xf>
    <xf numFmtId="167" fontId="1" fillId="2" borderId="0" applyAlignment="1" pivotButton="0" quotePrefix="0" xfId="0">
      <alignment vertical="center"/>
    </xf>
    <xf numFmtId="167" fontId="1" fillId="2" borderId="1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6" borderId="1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2" fontId="1" fillId="6" borderId="0" applyAlignment="1" pivotButton="0" quotePrefix="0" xfId="0">
      <alignment vertical="center"/>
    </xf>
    <xf numFmtId="2" fontId="1" fillId="6" borderId="1" applyAlignment="1" pivotButton="0" quotePrefix="0" xfId="0">
      <alignment vertical="center"/>
    </xf>
    <xf numFmtId="2" fontId="1" fillId="5" borderId="0" applyAlignment="1" pivotButton="0" quotePrefix="0" xfId="0">
      <alignment vertical="center"/>
    </xf>
    <xf numFmtId="2" fontId="1" fillId="5" borderId="1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5" fontId="1" fillId="2" borderId="1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2" fontId="1" fillId="2" borderId="0" applyAlignment="1" pivotButton="0" quotePrefix="0" xfId="0">
      <alignment vertical="center"/>
    </xf>
    <xf numFmtId="2" fontId="1" fillId="2" borderId="1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164" fontId="8" fillId="8" borderId="0" applyAlignment="1" pivotButton="0" quotePrefix="0" xfId="0">
      <alignment vertical="center"/>
    </xf>
    <xf numFmtId="164" fontId="8" fillId="8" borderId="1" applyAlignment="1" pivotButton="0" quotePrefix="0" xfId="0">
      <alignment vertical="center"/>
    </xf>
    <xf numFmtId="165" fontId="8" fillId="8" borderId="0" applyAlignment="1" pivotButton="0" quotePrefix="0" xfId="0">
      <alignment vertical="center"/>
    </xf>
    <xf numFmtId="165" fontId="8" fillId="8" borderId="1" applyAlignment="1" pivotButton="0" quotePrefix="0" xfId="0">
      <alignment vertical="center"/>
    </xf>
    <xf numFmtId="2" fontId="8" fillId="8" borderId="0" applyAlignment="1" pivotButton="0" quotePrefix="0" xfId="0">
      <alignment vertical="center"/>
    </xf>
    <xf numFmtId="2" fontId="8" fillId="8" borderId="1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9" fillId="8" borderId="0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9" fillId="8" borderId="0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0" fillId="0" borderId="0" pivotButton="0" quotePrefix="0" xfId="0"/>
    <xf numFmtId="0" fontId="1" fillId="8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164" fontId="10" fillId="8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2" fontId="10" fillId="8" borderId="0" applyAlignment="1" pivotButton="0" quotePrefix="0" xfId="0">
      <alignment vertical="center"/>
    </xf>
    <xf numFmtId="165" fontId="10" fillId="8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0" fillId="9" borderId="0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164" fontId="10" fillId="9" borderId="0" applyAlignment="1" pivotButton="0" quotePrefix="0" xfId="0">
      <alignment vertical="center"/>
    </xf>
    <xf numFmtId="2" fontId="10" fillId="9" borderId="0" applyAlignment="1" pivotButton="0" quotePrefix="0" xfId="0">
      <alignment vertical="center"/>
    </xf>
    <xf numFmtId="165" fontId="10" fillId="9" borderId="0" applyAlignment="1" pivotButton="0" quotePrefix="0" xfId="0">
      <alignment vertical="center"/>
    </xf>
    <xf numFmtId="164" fontId="1" fillId="9" borderId="0" applyAlignment="1" pivotButton="0" quotePrefix="0" xfId="0">
      <alignment vertical="center"/>
    </xf>
    <xf numFmtId="2" fontId="1" fillId="9" borderId="0" applyAlignment="1" pivotButton="0" quotePrefix="0" xfId="0">
      <alignment vertical="center"/>
    </xf>
    <xf numFmtId="165" fontId="1" fillId="9" borderId="0" applyAlignment="1" pivotButton="0" quotePrefix="0" xfId="0">
      <alignment vertical="center"/>
    </xf>
    <xf numFmtId="0" fontId="10" fillId="10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11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0" fontId="11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10" fillId="10" borderId="0" applyAlignment="1" pivotButton="0" quotePrefix="0" xfId="0">
      <alignment vertical="center"/>
    </xf>
    <xf numFmtId="0" fontId="3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" fillId="9" borderId="2" applyAlignment="1" pivotButton="0" quotePrefix="0" xfId="0">
      <alignment vertical="center"/>
    </xf>
    <xf numFmtId="0" fontId="5" fillId="10" borderId="2" applyAlignment="1" pivotButton="0" quotePrefix="0" xfId="0">
      <alignment vertical="center"/>
    </xf>
    <xf numFmtId="0" fontId="1" fillId="10" borderId="2" applyAlignment="1" pivotButton="0" quotePrefix="0" xfId="0">
      <alignment vertical="center"/>
    </xf>
    <xf numFmtId="0" fontId="1" fillId="11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164" fontId="10" fillId="10" borderId="0" applyAlignment="1" pivotButton="0" quotePrefix="0" xfId="0">
      <alignment vertical="center"/>
    </xf>
    <xf numFmtId="0" fontId="10" fillId="10" borderId="3" applyAlignment="1" pivotButton="0" quotePrefix="0" xfId="0">
      <alignment vertical="center"/>
    </xf>
    <xf numFmtId="0" fontId="10" fillId="10" borderId="4" applyAlignment="1" pivotButton="0" quotePrefix="0" xfId="0">
      <alignment vertical="center"/>
    </xf>
    <xf numFmtId="0" fontId="10" fillId="10" borderId="5" applyAlignment="1" pivotButton="0" quotePrefix="0" xfId="0">
      <alignment vertical="center"/>
    </xf>
    <xf numFmtId="164" fontId="10" fillId="10" borderId="6" applyAlignment="1" pivotButton="0" quotePrefix="0" xfId="0">
      <alignment vertical="center"/>
    </xf>
    <xf numFmtId="0" fontId="10" fillId="10" borderId="7" applyAlignment="1" pivotButton="0" quotePrefix="0" xfId="0">
      <alignment vertical="center"/>
    </xf>
    <xf numFmtId="0" fontId="10" fillId="10" borderId="8" applyAlignment="1" pivotButton="0" quotePrefix="0" xfId="0">
      <alignment vertical="center"/>
    </xf>
    <xf numFmtId="2" fontId="10" fillId="10" borderId="0" applyAlignment="1" pivotButton="0" quotePrefix="0" xfId="0">
      <alignment vertical="center"/>
    </xf>
    <xf numFmtId="2" fontId="10" fillId="10" borderId="6" applyAlignment="1" pivotButton="0" quotePrefix="0" xfId="0">
      <alignment vertical="center"/>
    </xf>
    <xf numFmtId="165" fontId="10" fillId="10" borderId="0" applyAlignment="1" pivotButton="0" quotePrefix="0" xfId="0">
      <alignment vertical="center"/>
    </xf>
    <xf numFmtId="165" fontId="10" fillId="10" borderId="6" applyAlignment="1" pivotButton="0" quotePrefix="0" xfId="0">
      <alignment vertical="center"/>
    </xf>
    <xf numFmtId="0" fontId="10" fillId="10" borderId="6" applyAlignment="1" pivotButton="0" quotePrefix="0" xfId="0">
      <alignment vertical="center"/>
    </xf>
    <xf numFmtId="0" fontId="14" fillId="10" borderId="3" applyAlignment="1" pivotButton="0" quotePrefix="0" xfId="0">
      <alignment vertical="center"/>
    </xf>
    <xf numFmtId="164" fontId="8" fillId="10" borderId="6" applyAlignment="1" pivotButton="0" quotePrefix="0" xfId="0">
      <alignment vertical="center"/>
    </xf>
    <xf numFmtId="2" fontId="8" fillId="10" borderId="6" applyAlignment="1" pivotButton="0" quotePrefix="0" xfId="0">
      <alignment vertical="center"/>
    </xf>
    <xf numFmtId="165" fontId="8" fillId="10" borderId="6" applyAlignment="1" pivotButton="0" quotePrefix="0" xfId="0">
      <alignment vertical="center"/>
    </xf>
    <xf numFmtId="0" fontId="8" fillId="10" borderId="6" applyAlignment="1" pivotButton="0" quotePrefix="0" xfId="0">
      <alignment vertical="center"/>
    </xf>
    <xf numFmtId="0" fontId="14" fillId="12" borderId="3" applyAlignment="1" pivotButton="0" quotePrefix="0" xfId="0">
      <alignment vertical="center"/>
    </xf>
    <xf numFmtId="0" fontId="10" fillId="12" borderId="4" applyAlignment="1" pivotButton="0" quotePrefix="0" xfId="0">
      <alignment vertical="center"/>
    </xf>
    <xf numFmtId="0" fontId="10" fillId="12" borderId="5" applyAlignment="1" pivotButton="0" quotePrefix="0" xfId="0">
      <alignment vertical="center"/>
    </xf>
    <xf numFmtId="0" fontId="8" fillId="12" borderId="6" applyAlignment="1" pivotButton="0" quotePrefix="0" xfId="0">
      <alignment vertical="center"/>
    </xf>
    <xf numFmtId="0" fontId="10" fillId="12" borderId="7" applyAlignment="1" pivotButton="0" quotePrefix="0" xfId="0">
      <alignment vertical="center"/>
    </xf>
    <xf numFmtId="0" fontId="10" fillId="12" borderId="8" applyAlignment="1" pivotButton="0" quotePrefix="0" xfId="0">
      <alignment vertical="center"/>
    </xf>
    <xf numFmtId="0" fontId="10" fillId="13" borderId="0" applyAlignment="1" pivotButton="0" quotePrefix="0" xfId="0">
      <alignment vertical="center"/>
    </xf>
    <xf numFmtId="0" fontId="15" fillId="13" borderId="0" applyAlignment="1" pivotButton="0" quotePrefix="0" xfId="0">
      <alignment vertical="center"/>
    </xf>
    <xf numFmtId="0" fontId="15" fillId="13" borderId="9" applyAlignment="1" pivotButton="0" quotePrefix="0" xfId="0">
      <alignment vertical="center"/>
    </xf>
    <xf numFmtId="0" fontId="1" fillId="13" borderId="0" applyAlignment="1" pivotButton="0" quotePrefix="0" xfId="0">
      <alignment vertical="center"/>
    </xf>
    <xf numFmtId="0" fontId="10" fillId="14" borderId="0" applyAlignment="1" pivotButton="0" quotePrefix="0" xfId="0">
      <alignment vertical="center"/>
    </xf>
    <xf numFmtId="0" fontId="7" fillId="14" borderId="0" applyAlignment="1" pivotButton="0" quotePrefix="0" xfId="0">
      <alignment vertical="center"/>
    </xf>
    <xf numFmtId="0" fontId="7" fillId="14" borderId="10" applyAlignment="1" pivotButton="0" quotePrefix="0" xfId="0">
      <alignment vertical="center"/>
    </xf>
    <xf numFmtId="0" fontId="7" fillId="14" borderId="10" applyAlignment="1" pivotButton="0" quotePrefix="0" xfId="0">
      <alignment vertical="center" wrapText="1"/>
    </xf>
    <xf numFmtId="0" fontId="7" fillId="14" borderId="3" applyAlignment="1" pivotButton="0" quotePrefix="0" xfId="0">
      <alignment vertical="center" wrapText="1"/>
    </xf>
    <xf numFmtId="0" fontId="7" fillId="14" borderId="4" applyAlignment="1" pivotButton="0" quotePrefix="0" xfId="0">
      <alignment vertical="center" wrapText="1"/>
    </xf>
    <xf numFmtId="0" fontId="7" fillId="14" borderId="5" applyAlignment="1" pivotButton="0" quotePrefix="0" xfId="0">
      <alignment vertical="center" wrapText="1"/>
    </xf>
    <xf numFmtId="0" fontId="1" fillId="9" borderId="11" applyAlignment="1" pivotButton="0" quotePrefix="0" xfId="0">
      <alignment vertical="center"/>
    </xf>
    <xf numFmtId="164" fontId="1" fillId="9" borderId="12" applyAlignment="1" pivotButton="0" quotePrefix="0" xfId="0">
      <alignment vertical="center"/>
    </xf>
    <xf numFmtId="2" fontId="1" fillId="9" borderId="12" applyAlignment="1" pivotButton="0" quotePrefix="0" xfId="0">
      <alignment vertical="center"/>
    </xf>
    <xf numFmtId="165" fontId="1" fillId="9" borderId="13" applyAlignment="1" pivotButton="0" quotePrefix="0" xfId="0">
      <alignment vertical="center"/>
    </xf>
    <xf numFmtId="0" fontId="1" fillId="9" borderId="6" applyAlignment="1" pivotButton="0" quotePrefix="0" xfId="0">
      <alignment vertical="center"/>
    </xf>
    <xf numFmtId="164" fontId="1" fillId="9" borderId="7" applyAlignment="1" pivotButton="0" quotePrefix="0" xfId="0">
      <alignment vertical="center"/>
    </xf>
    <xf numFmtId="2" fontId="1" fillId="9" borderId="7" applyAlignment="1" pivotButton="0" quotePrefix="0" xfId="0">
      <alignment vertical="center"/>
    </xf>
    <xf numFmtId="165" fontId="1" fillId="9" borderId="8" applyAlignment="1" pivotButton="0" quotePrefix="0" xfId="0">
      <alignment vertical="center"/>
    </xf>
    <xf numFmtId="0" fontId="1" fillId="9" borderId="12" applyAlignment="1" pivotButton="0" quotePrefix="0" xfId="0">
      <alignment vertical="center"/>
    </xf>
    <xf numFmtId="164" fontId="1" fillId="9" borderId="13" applyAlignment="1" pivotButton="0" quotePrefix="0" xfId="0">
      <alignment vertical="center"/>
    </xf>
    <xf numFmtId="0" fontId="1" fillId="9" borderId="7" applyAlignment="1" pivotButton="0" quotePrefix="0" xfId="0">
      <alignment vertical="center"/>
    </xf>
    <xf numFmtId="164" fontId="1" fillId="9" borderId="8" applyAlignment="1" pivotButton="0" quotePrefix="0" xfId="0">
      <alignment vertical="center"/>
    </xf>
    <xf numFmtId="0" fontId="1" fillId="9" borderId="13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0" fontId="1" fillId="10" borderId="11" applyAlignment="1" pivotButton="0" quotePrefix="0" xfId="0">
      <alignment vertical="center"/>
    </xf>
    <xf numFmtId="164" fontId="1" fillId="10" borderId="12" applyAlignment="1" pivotButton="0" quotePrefix="0" xfId="0">
      <alignment vertical="center"/>
    </xf>
    <xf numFmtId="2" fontId="1" fillId="10" borderId="12" applyAlignment="1" pivotButton="0" quotePrefix="0" xfId="0">
      <alignment vertical="center"/>
    </xf>
    <xf numFmtId="165" fontId="1" fillId="10" borderId="13" applyAlignment="1" pivotButton="0" quotePrefix="0" xfId="0">
      <alignment vertical="center"/>
    </xf>
    <xf numFmtId="0" fontId="1" fillId="10" borderId="6" applyAlignment="1" pivotButton="0" quotePrefix="0" xfId="0">
      <alignment vertical="center"/>
    </xf>
    <xf numFmtId="164" fontId="1" fillId="10" borderId="7" applyAlignment="1" pivotButton="0" quotePrefix="0" xfId="0">
      <alignment vertical="center"/>
    </xf>
    <xf numFmtId="2" fontId="1" fillId="10" borderId="7" applyAlignment="1" pivotButton="0" quotePrefix="0" xfId="0">
      <alignment vertical="center"/>
    </xf>
    <xf numFmtId="165" fontId="1" fillId="10" borderId="8" applyAlignment="1" pivotButton="0" quotePrefix="0" xfId="0">
      <alignment vertical="center"/>
    </xf>
    <xf numFmtId="0" fontId="1" fillId="10" borderId="12" applyAlignment="1" pivotButton="0" quotePrefix="0" xfId="0">
      <alignment vertical="center"/>
    </xf>
    <xf numFmtId="164" fontId="1" fillId="10" borderId="13" applyAlignment="1" pivotButton="0" quotePrefix="0" xfId="0">
      <alignment vertical="center"/>
    </xf>
    <xf numFmtId="0" fontId="1" fillId="10" borderId="7" applyAlignment="1" pivotButton="0" quotePrefix="0" xfId="0">
      <alignment vertical="center"/>
    </xf>
    <xf numFmtId="164" fontId="1" fillId="10" borderId="8" applyAlignment="1" pivotButton="0" quotePrefix="0" xfId="0">
      <alignment vertical="center"/>
    </xf>
    <xf numFmtId="0" fontId="1" fillId="10" borderId="13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167" fontId="1" fillId="9" borderId="0" applyAlignment="1" pivotButton="0" quotePrefix="0" xfId="0">
      <alignment vertical="center"/>
    </xf>
    <xf numFmtId="167" fontId="1" fillId="10" borderId="0" applyAlignment="1" pivotButton="0" quotePrefix="0" xfId="0">
      <alignment vertical="center"/>
    </xf>
    <xf numFmtId="0" fontId="1" fillId="10" borderId="14" applyAlignment="1" pivotButton="0" quotePrefix="0" xfId="0">
      <alignment vertical="center"/>
    </xf>
    <xf numFmtId="0" fontId="1" fillId="10" borderId="15" applyAlignment="1" pivotButton="0" quotePrefix="0" xfId="0">
      <alignment vertical="center"/>
    </xf>
    <xf numFmtId="167" fontId="1" fillId="10" borderId="15" applyAlignment="1" pivotButton="0" quotePrefix="0" xfId="0">
      <alignment vertical="center"/>
    </xf>
    <xf numFmtId="0" fontId="1" fillId="10" borderId="16" applyAlignment="1" pivotButton="0" quotePrefix="0" xfId="0">
      <alignment vertical="center"/>
    </xf>
    <xf numFmtId="0" fontId="16" fillId="10" borderId="14" applyAlignment="1" pivotButton="0" quotePrefix="0" xfId="0">
      <alignment vertical="center"/>
    </xf>
    <xf numFmtId="0" fontId="16" fillId="10" borderId="15" applyAlignment="1" pivotButton="0" quotePrefix="0" xfId="0">
      <alignment vertical="center"/>
    </xf>
    <xf numFmtId="167" fontId="16" fillId="10" borderId="15" applyAlignment="1" pivotButton="0" quotePrefix="0" xfId="0">
      <alignment vertical="center"/>
    </xf>
    <xf numFmtId="0" fontId="16" fillId="10" borderId="16" applyAlignment="1" pivotButton="0" quotePrefix="0" xfId="0">
      <alignment vertical="center"/>
    </xf>
    <xf numFmtId="0" fontId="17" fillId="10" borderId="14" applyAlignment="1" pivotButton="0" quotePrefix="0" xfId="0">
      <alignment vertical="center"/>
    </xf>
    <xf numFmtId="0" fontId="17" fillId="10" borderId="15" applyAlignment="1" pivotButton="0" quotePrefix="0" xfId="0">
      <alignment vertical="center"/>
    </xf>
    <xf numFmtId="0" fontId="1" fillId="10" borderId="17" applyAlignment="1" pivotButton="0" quotePrefix="0" xfId="0">
      <alignment vertical="center"/>
    </xf>
    <xf numFmtId="0" fontId="1" fillId="10" borderId="18" applyAlignment="1" pivotButton="0" quotePrefix="0" xfId="0">
      <alignment vertical="center"/>
    </xf>
    <xf numFmtId="0" fontId="1" fillId="10" borderId="19" applyAlignment="1" pivotButton="0" quotePrefix="0" xfId="0">
      <alignment vertical="center"/>
    </xf>
    <xf numFmtId="0" fontId="14" fillId="10" borderId="17" applyAlignment="1" pivotButton="0" quotePrefix="0" xfId="0">
      <alignment vertical="center"/>
    </xf>
    <xf numFmtId="0" fontId="2" fillId="10" borderId="18" applyAlignment="1" pivotButton="0" quotePrefix="0" xfId="0">
      <alignment vertical="center"/>
    </xf>
    <xf numFmtId="0" fontId="1" fillId="15" borderId="0" applyAlignment="1" pivotButton="0" quotePrefix="0" xfId="0">
      <alignment vertical="center"/>
    </xf>
    <xf numFmtId="167" fontId="1" fillId="15" borderId="0" applyAlignment="1" pivotButton="0" quotePrefix="0" xfId="0">
      <alignment vertical="center"/>
    </xf>
    <xf numFmtId="164" fontId="1" fillId="15" borderId="0" applyAlignment="1" pivotButton="0" quotePrefix="0" xfId="0">
      <alignment vertical="center"/>
    </xf>
    <xf numFmtId="0" fontId="1" fillId="16" borderId="0" applyAlignment="1" pivotButton="0" quotePrefix="0" xfId="0">
      <alignment vertical="center"/>
    </xf>
    <xf numFmtId="164" fontId="1" fillId="16" borderId="0" applyAlignment="1" pivotButton="0" quotePrefix="0" xfId="0">
      <alignment vertical="center"/>
    </xf>
    <xf numFmtId="2" fontId="1" fillId="16" borderId="0" applyAlignment="1" pivotButton="0" quotePrefix="0" xfId="0">
      <alignment vertical="center"/>
    </xf>
    <xf numFmtId="165" fontId="1" fillId="16" borderId="0" applyAlignment="1" pivotButton="0" quotePrefix="0" xfId="0">
      <alignment vertical="center"/>
    </xf>
    <xf numFmtId="167" fontId="1" fillId="16" borderId="0" applyAlignment="1" pivotButton="0" quotePrefix="0" xfId="0">
      <alignment vertical="center"/>
    </xf>
    <xf numFmtId="0" fontId="1" fillId="15" borderId="11" applyAlignment="1" pivotButton="0" quotePrefix="0" xfId="0">
      <alignment vertical="center"/>
    </xf>
    <xf numFmtId="167" fontId="1" fillId="15" borderId="12" applyAlignment="1" pivotButton="0" quotePrefix="0" xfId="0">
      <alignment vertical="center"/>
    </xf>
    <xf numFmtId="0" fontId="1" fillId="15" borderId="12" applyAlignment="1" pivotButton="0" quotePrefix="0" xfId="0">
      <alignment vertical="center"/>
    </xf>
    <xf numFmtId="164" fontId="1" fillId="15" borderId="12" applyAlignment="1" pivotButton="0" quotePrefix="0" xfId="0">
      <alignment vertical="center"/>
    </xf>
    <xf numFmtId="0" fontId="1" fillId="16" borderId="12" applyAlignment="1" pivotButton="0" quotePrefix="0" xfId="0">
      <alignment vertical="center"/>
    </xf>
    <xf numFmtId="164" fontId="1" fillId="16" borderId="12" applyAlignment="1" pivotButton="0" quotePrefix="0" xfId="0">
      <alignment vertical="center"/>
    </xf>
    <xf numFmtId="2" fontId="1" fillId="16" borderId="12" applyAlignment="1" pivotButton="0" quotePrefix="0" xfId="0">
      <alignment vertical="center"/>
    </xf>
    <xf numFmtId="165" fontId="1" fillId="16" borderId="12" applyAlignment="1" pivotButton="0" quotePrefix="0" xfId="0">
      <alignment vertical="center"/>
    </xf>
    <xf numFmtId="167" fontId="1" fillId="16" borderId="12" applyAlignment="1" pivotButton="0" quotePrefix="0" xfId="0">
      <alignment vertical="center"/>
    </xf>
    <xf numFmtId="0" fontId="1" fillId="11" borderId="13" applyAlignment="1" pivotButton="0" quotePrefix="0" xfId="0">
      <alignment vertical="center"/>
    </xf>
    <xf numFmtId="0" fontId="1" fillId="15" borderId="6" applyAlignment="1" pivotButton="0" quotePrefix="0" xfId="0">
      <alignment vertical="center"/>
    </xf>
    <xf numFmtId="167" fontId="1" fillId="15" borderId="7" applyAlignment="1" pivotButton="0" quotePrefix="0" xfId="0">
      <alignment vertical="center"/>
    </xf>
    <xf numFmtId="0" fontId="1" fillId="15" borderId="7" applyAlignment="1" pivotButton="0" quotePrefix="0" xfId="0">
      <alignment vertical="center"/>
    </xf>
    <xf numFmtId="164" fontId="1" fillId="15" borderId="7" applyAlignment="1" pivotButton="0" quotePrefix="0" xfId="0">
      <alignment vertical="center"/>
    </xf>
    <xf numFmtId="0" fontId="1" fillId="16" borderId="7" applyAlignment="1" pivotButton="0" quotePrefix="0" xfId="0">
      <alignment vertical="center"/>
    </xf>
    <xf numFmtId="164" fontId="1" fillId="16" borderId="7" applyAlignment="1" pivotButton="0" quotePrefix="0" xfId="0">
      <alignment vertical="center"/>
    </xf>
    <xf numFmtId="2" fontId="1" fillId="16" borderId="7" applyAlignment="1" pivotButton="0" quotePrefix="0" xfId="0">
      <alignment vertical="center"/>
    </xf>
    <xf numFmtId="165" fontId="1" fillId="16" borderId="7" applyAlignment="1" pivotButton="0" quotePrefix="0" xfId="0">
      <alignment vertical="center"/>
    </xf>
    <xf numFmtId="167" fontId="1" fillId="16" borderId="7" applyAlignment="1" pivotButton="0" quotePrefix="0" xfId="0">
      <alignment vertical="center"/>
    </xf>
    <xf numFmtId="0" fontId="1" fillId="11" borderId="8" applyAlignment="1" pivotButton="0" quotePrefix="0" xfId="0">
      <alignment vertical="center"/>
    </xf>
    <xf numFmtId="2" fontId="1" fillId="15" borderId="0" applyAlignment="1" pivotButton="0" quotePrefix="0" xfId="0">
      <alignment vertical="center"/>
    </xf>
    <xf numFmtId="2" fontId="1" fillId="15" borderId="12" applyAlignment="1" pivotButton="0" quotePrefix="0" xfId="0">
      <alignment vertical="center"/>
    </xf>
    <xf numFmtId="2" fontId="1" fillId="15" borderId="7" applyAlignment="1" pivotButton="0" quotePrefix="0" xfId="0">
      <alignment vertical="center"/>
    </xf>
    <xf numFmtId="0" fontId="1" fillId="12" borderId="0" applyAlignment="1" pivotButton="0" quotePrefix="0" xfId="0">
      <alignment vertical="center"/>
    </xf>
    <xf numFmtId="0" fontId="13" fillId="12" borderId="0" applyAlignment="1" pivotButton="0" quotePrefix="0" xfId="0">
      <alignment vertical="center"/>
    </xf>
    <xf numFmtId="0" fontId="1" fillId="16" borderId="11" applyAlignment="1" pivotButton="0" quotePrefix="0" xfId="0">
      <alignment vertical="center"/>
    </xf>
    <xf numFmtId="0" fontId="1" fillId="16" borderId="13" applyAlignment="1" pivotButton="0" quotePrefix="0" xfId="0">
      <alignment vertical="center"/>
    </xf>
    <xf numFmtId="0" fontId="1" fillId="16" borderId="6" applyAlignment="1" pivotButton="0" quotePrefix="0" xfId="0">
      <alignment vertical="center"/>
    </xf>
    <xf numFmtId="0" fontId="1" fillId="16" borderId="8" applyAlignment="1" pivotButton="0" quotePrefix="0" xfId="0">
      <alignment vertical="center"/>
    </xf>
    <xf numFmtId="167" fontId="17" fillId="10" borderId="15" applyAlignment="1" pivotButton="0" quotePrefix="0" xfId="0">
      <alignment vertical="center"/>
    </xf>
    <xf numFmtId="2" fontId="1" fillId="10" borderId="0" applyAlignment="1" pivotButton="0" quotePrefix="0" xfId="0">
      <alignment vertical="center"/>
    </xf>
    <xf numFmtId="164" fontId="1" fillId="10" borderId="0" applyAlignment="1" pivotButton="0" quotePrefix="0" xfId="0">
      <alignment vertical="center"/>
    </xf>
    <xf numFmtId="165" fontId="1" fillId="10" borderId="0" applyAlignment="1" pivotButton="0" quotePrefix="0" xfId="0">
      <alignment vertical="center"/>
    </xf>
    <xf numFmtId="167" fontId="1" fillId="10" borderId="13" applyAlignment="1" pivotButton="0" quotePrefix="0" xfId="0">
      <alignment vertical="center"/>
    </xf>
    <xf numFmtId="167" fontId="1" fillId="10" borderId="8" applyAlignment="1" pivotButton="0" quotePrefix="0" xfId="0">
      <alignment vertical="center"/>
    </xf>
    <xf numFmtId="167" fontId="1" fillId="10" borderId="16" applyAlignment="1" pivotButton="0" quotePrefix="0" xfId="0">
      <alignment vertical="center"/>
    </xf>
    <xf numFmtId="167" fontId="16" fillId="10" borderId="16" applyAlignment="1" pivotButton="0" quotePrefix="0" xfId="0">
      <alignment vertical="center"/>
    </xf>
    <xf numFmtId="0" fontId="1" fillId="10" borderId="3" applyAlignment="1" pivotButton="0" quotePrefix="0" xfId="0">
      <alignment vertical="center"/>
    </xf>
    <xf numFmtId="0" fontId="1" fillId="10" borderId="5" applyAlignment="1" pivotButton="0" quotePrefix="0" xfId="0">
      <alignment vertical="center"/>
    </xf>
    <xf numFmtId="164" fontId="1" fillId="10" borderId="6" applyAlignment="1" pivotButton="0" quotePrefix="0" xfId="0">
      <alignment vertical="center"/>
    </xf>
    <xf numFmtId="164" fontId="18" fillId="10" borderId="6" applyAlignment="1" pivotButton="0" quotePrefix="0" xfId="0">
      <alignment vertical="center"/>
    </xf>
    <xf numFmtId="0" fontId="18" fillId="10" borderId="6" applyAlignment="1" pivotButton="0" quotePrefix="0" xfId="0">
      <alignment vertical="center"/>
    </xf>
    <xf numFmtId="165" fontId="1" fillId="10" borderId="6" applyAlignment="1" pivotButton="0" quotePrefix="0" xfId="0">
      <alignment vertical="center"/>
    </xf>
    <xf numFmtId="165" fontId="1" fillId="10" borderId="7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166" fontId="1" fillId="9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7" fillId="14" borderId="0" applyAlignment="1" pivotButton="0" quotePrefix="0" xfId="0">
      <alignment vertical="center"/>
    </xf>
    <xf numFmtId="0" fontId="7" fillId="14" borderId="10" applyAlignment="1" pivotButton="0" quotePrefix="0" xfId="0">
      <alignment vertical="center"/>
    </xf>
    <xf numFmtId="0" fontId="7" fillId="14" borderId="10" applyAlignment="1" pivotButton="0" quotePrefix="0" xfId="0">
      <alignment vertical="center" wrapText="1"/>
    </xf>
    <xf numFmtId="0" fontId="1" fillId="15" borderId="0" applyAlignment="1" pivotButton="0" quotePrefix="0" xfId="0">
      <alignment vertical="center"/>
    </xf>
    <xf numFmtId="0" fontId="1" fillId="15" borderId="3" applyAlignment="1" pivotButton="0" quotePrefix="0" xfId="0">
      <alignment vertical="center"/>
    </xf>
    <xf numFmtId="0" fontId="1" fillId="15" borderId="4" applyAlignment="1" pivotButton="0" quotePrefix="0" xfId="0">
      <alignment vertical="center"/>
    </xf>
    <xf numFmtId="164" fontId="1" fillId="15" borderId="4" applyAlignment="1" pivotButton="0" quotePrefix="0" xfId="0">
      <alignment vertical="center"/>
    </xf>
    <xf numFmtId="0" fontId="1" fillId="15" borderId="5" applyAlignment="1" pivotButton="0" quotePrefix="0" xfId="0">
      <alignment vertical="center"/>
    </xf>
    <xf numFmtId="0" fontId="1" fillId="15" borderId="13" applyAlignment="1" pivotButton="0" quotePrefix="0" xfId="0">
      <alignment vertical="center"/>
    </xf>
    <xf numFmtId="0" fontId="1" fillId="15" borderId="8" applyAlignment="1" pivotButton="0" quotePrefix="0" xfId="0">
      <alignment vertical="center"/>
    </xf>
    <xf numFmtId="0" fontId="1" fillId="15" borderId="13" applyAlignment="1" pivotButton="0" quotePrefix="0" xfId="0">
      <alignment vertical="center"/>
    </xf>
    <xf numFmtId="0" fontId="1" fillId="15" borderId="8" applyAlignment="1" pivotButton="0" quotePrefix="0" xfId="0">
      <alignment vertical="center"/>
    </xf>
    <xf numFmtId="165" fontId="1" fillId="15" borderId="0" applyAlignment="1" pivotButton="0" quotePrefix="0" xfId="0">
      <alignment vertical="center"/>
    </xf>
    <xf numFmtId="166" fontId="1" fillId="15" borderId="0" applyAlignment="1" pivotButton="0" quotePrefix="0" xfId="0">
      <alignment vertical="center"/>
    </xf>
    <xf numFmtId="165" fontId="1" fillId="15" borderId="4" applyAlignment="1" pivotButton="0" quotePrefix="0" xfId="0">
      <alignment vertical="center"/>
    </xf>
    <xf numFmtId="166" fontId="1" fillId="15" borderId="4" applyAlignment="1" pivotButton="0" quotePrefix="0" xfId="0">
      <alignment vertical="center"/>
    </xf>
    <xf numFmtId="165" fontId="1" fillId="15" borderId="12" applyAlignment="1" pivotButton="0" quotePrefix="0" xfId="0">
      <alignment vertical="center"/>
    </xf>
    <xf numFmtId="166" fontId="1" fillId="15" borderId="12" applyAlignment="1" pivotButton="0" quotePrefix="0" xfId="0">
      <alignment vertical="center"/>
    </xf>
    <xf numFmtId="165" fontId="1" fillId="15" borderId="7" applyAlignment="1" pivotButton="0" quotePrefix="0" xfId="0">
      <alignment vertical="center"/>
    </xf>
    <xf numFmtId="166" fontId="1" fillId="15" borderId="7" applyAlignment="1" pivotButton="0" quotePrefix="0" xfId="0">
      <alignment vertical="center"/>
    </xf>
    <xf numFmtId="0" fontId="1" fillId="15" borderId="5" applyAlignment="1" pivotButton="0" quotePrefix="0" xfId="0">
      <alignment vertical="center"/>
    </xf>
    <xf numFmtId="0" fontId="10" fillId="3" borderId="0" applyAlignment="1" pivotButton="0" quotePrefix="0" xfId="0">
      <alignment vertical="center" wrapText="1"/>
    </xf>
    <xf numFmtId="0" fontId="10" fillId="9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center" wrapText="1"/>
    </xf>
    <xf numFmtId="0" fontId="15" fillId="13" borderId="0" applyAlignment="1" pivotButton="0" quotePrefix="0" xfId="0">
      <alignment vertical="center" wrapText="1"/>
    </xf>
    <xf numFmtId="0" fontId="15" fillId="13" borderId="9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1" fillId="10" borderId="3" applyAlignment="1" pivotButton="0" quotePrefix="0" xfId="0">
      <alignment vertical="center" wrapText="1"/>
    </xf>
    <xf numFmtId="0" fontId="1" fillId="10" borderId="4" applyAlignment="1" pivotButton="0" quotePrefix="0" xfId="0">
      <alignment vertical="center" wrapText="1"/>
    </xf>
    <xf numFmtId="0" fontId="1" fillId="10" borderId="5" applyAlignment="1" pivotButton="0" quotePrefix="0" xfId="0">
      <alignment vertical="center" wrapText="1"/>
    </xf>
    <xf numFmtId="0" fontId="1" fillId="10" borderId="11" applyAlignment="1" pivotButton="0" quotePrefix="0" xfId="0">
      <alignment vertical="center" wrapText="1"/>
    </xf>
    <xf numFmtId="0" fontId="1" fillId="10" borderId="12" applyAlignment="1" pivotButton="0" quotePrefix="0" xfId="0">
      <alignment vertical="center" wrapText="1"/>
    </xf>
    <xf numFmtId="0" fontId="1" fillId="10" borderId="13" applyAlignment="1" pivotButton="0" quotePrefix="0" xfId="0">
      <alignment vertical="center" wrapText="1"/>
    </xf>
    <xf numFmtId="0" fontId="1" fillId="10" borderId="6" applyAlignment="1" pivotButton="0" quotePrefix="0" xfId="0">
      <alignment vertical="center" wrapText="1"/>
    </xf>
    <xf numFmtId="0" fontId="1" fillId="10" borderId="7" applyAlignment="1" pivotButton="0" quotePrefix="0" xfId="0">
      <alignment vertical="center" wrapText="1"/>
    </xf>
    <xf numFmtId="0" fontId="1" fillId="10" borderId="8" applyAlignment="1" pivotButton="0" quotePrefix="0" xfId="0">
      <alignment vertical="center" wrapText="1"/>
    </xf>
    <xf numFmtId="0" fontId="15" fillId="10" borderId="9" applyAlignment="1" pivotButton="0" quotePrefix="0" xfId="0">
      <alignment vertical="center"/>
    </xf>
    <xf numFmtId="0" fontId="15" fillId="10" borderId="2" applyAlignment="1" pivotButton="0" quotePrefix="0" xfId="0">
      <alignment vertical="center"/>
    </xf>
    <xf numFmtId="1" fontId="1" fillId="10" borderId="7" applyAlignment="1" pivotButton="0" quotePrefix="0" xfId="0">
      <alignment vertical="center"/>
    </xf>
    <xf numFmtId="0" fontId="19" fillId="17" borderId="20" applyAlignment="1" pivotButton="0" quotePrefix="0" xfId="0">
      <alignment horizontal="center" vertical="center"/>
    </xf>
    <xf numFmtId="0" fontId="20" fillId="18" borderId="20" applyAlignment="1" pivotButton="0" quotePrefix="0" xfId="0">
      <alignment horizontal="left" vertical="center"/>
    </xf>
    <xf numFmtId="0" fontId="0" fillId="18" borderId="20" pivotButton="0" quotePrefix="0" xfId="0"/>
    <xf numFmtId="0" fontId="21" fillId="18" borderId="20" applyAlignment="1" pivotButton="0" quotePrefix="0" xfId="0">
      <alignment horizontal="left" vertical="center"/>
    </xf>
    <xf numFmtId="0" fontId="5" fillId="9" borderId="1" applyAlignment="1" pivotButton="0" quotePrefix="0" xfId="0">
      <alignment vertical="center"/>
    </xf>
    <xf numFmtId="164" fontId="8" fillId="10" borderId="19" applyAlignment="1" pivotButton="0" quotePrefix="0" xfId="0">
      <alignment vertical="center"/>
    </xf>
    <xf numFmtId="2" fontId="8" fillId="10" borderId="19" applyAlignment="1" pivotButton="0" quotePrefix="0" xfId="0">
      <alignment vertical="center"/>
    </xf>
    <xf numFmtId="165" fontId="8" fillId="10" borderId="19" applyAlignment="1" pivotButton="0" quotePrefix="0" xfId="0">
      <alignment vertical="center"/>
    </xf>
    <xf numFmtId="0" fontId="8" fillId="12" borderId="19" applyAlignment="1" pivotButton="0" quotePrefix="0" xfId="0">
      <alignment vertical="center"/>
    </xf>
    <xf numFmtId="0" fontId="22" fillId="19" borderId="20" applyAlignment="1" pivotButton="0" quotePrefix="0" xfId="0">
      <alignment horizontal="left" vertical="center"/>
    </xf>
    <xf numFmtId="0" fontId="0" fillId="19" borderId="20" pivotButton="0" quotePrefix="0" xfId="0"/>
    <xf numFmtId="0" fontId="9" fillId="10" borderId="11" applyAlignment="1" pivotButton="0" quotePrefix="0" xfId="0">
      <alignment vertical="center"/>
    </xf>
    <xf numFmtId="164" fontId="9" fillId="10" borderId="12" applyAlignment="1" pivotButton="0" quotePrefix="0" xfId="0">
      <alignment vertical="center"/>
    </xf>
    <xf numFmtId="2" fontId="9" fillId="10" borderId="12" applyAlignment="1" pivotButton="0" quotePrefix="0" xfId="0">
      <alignment vertical="center"/>
    </xf>
    <xf numFmtId="165" fontId="9" fillId="10" borderId="13" applyAlignment="1" pivotButton="0" quotePrefix="0" xfId="0">
      <alignment vertical="center"/>
    </xf>
    <xf numFmtId="0" fontId="9" fillId="10" borderId="12" applyAlignment="1" pivotButton="0" quotePrefix="0" xfId="0">
      <alignment vertical="center"/>
    </xf>
    <xf numFmtId="164" fontId="9" fillId="10" borderId="13" applyAlignment="1" pivotButton="0" quotePrefix="0" xfId="0">
      <alignment vertical="center"/>
    </xf>
    <xf numFmtId="0" fontId="9" fillId="10" borderId="6" applyAlignment="1" pivotButton="0" quotePrefix="0" xfId="0">
      <alignment vertical="center"/>
    </xf>
    <xf numFmtId="0" fontId="9" fillId="10" borderId="7" applyAlignment="1" pivotButton="0" quotePrefix="0" xfId="0">
      <alignment vertical="center"/>
    </xf>
    <xf numFmtId="164" fontId="9" fillId="10" borderId="8" applyAlignment="1" pivotButton="0" quotePrefix="0" xfId="0">
      <alignment vertical="center"/>
    </xf>
    <xf numFmtId="0" fontId="9" fillId="9" borderId="0" applyAlignment="1" pivotButton="0" quotePrefix="0" xfId="0">
      <alignment vertical="center"/>
    </xf>
    <xf numFmtId="164" fontId="9" fillId="9" borderId="0" applyAlignment="1" pivotButton="0" quotePrefix="0" xfId="0">
      <alignment vertical="center"/>
    </xf>
    <xf numFmtId="0" fontId="9" fillId="10" borderId="13" applyAlignment="1" pivotButton="0" quotePrefix="0" xfId="0">
      <alignment vertical="center"/>
    </xf>
    <xf numFmtId="164" fontId="9" fillId="10" borderId="7" applyAlignment="1" pivotButton="0" quotePrefix="0" xfId="0">
      <alignment vertical="center"/>
    </xf>
    <xf numFmtId="2" fontId="9" fillId="10" borderId="7" applyAlignment="1" pivotButton="0" quotePrefix="0" xfId="0">
      <alignment vertical="center"/>
    </xf>
    <xf numFmtId="165" fontId="9" fillId="10" borderId="8" applyAlignment="1" pivotButton="0" quotePrefix="0" xfId="0">
      <alignment vertical="center"/>
    </xf>
    <xf numFmtId="0" fontId="9" fillId="10" borderId="8" applyAlignment="1" pivotButton="0" quotePrefix="0" xfId="0">
      <alignment vertical="center"/>
    </xf>
    <xf numFmtId="167" fontId="16" fillId="10" borderId="15" applyAlignment="1" pivotButton="0" quotePrefix="0" xfId="0">
      <alignment vertical="center"/>
    </xf>
    <xf numFmtId="0" fontId="9" fillId="15" borderId="11" applyAlignment="1" pivotButton="0" quotePrefix="0" xfId="0">
      <alignment vertical="center"/>
    </xf>
    <xf numFmtId="167" fontId="9" fillId="15" borderId="12" applyAlignment="1" pivotButton="0" quotePrefix="0" xfId="0">
      <alignment vertical="center"/>
    </xf>
    <xf numFmtId="0" fontId="9" fillId="15" borderId="12" applyAlignment="1" pivotButton="0" quotePrefix="0" xfId="0">
      <alignment vertical="center"/>
    </xf>
    <xf numFmtId="164" fontId="9" fillId="15" borderId="12" applyAlignment="1" pivotButton="0" quotePrefix="0" xfId="0">
      <alignment vertical="center"/>
    </xf>
    <xf numFmtId="0" fontId="9" fillId="16" borderId="12" applyAlignment="1" pivotButton="0" quotePrefix="0" xfId="0">
      <alignment vertical="center"/>
    </xf>
    <xf numFmtId="164" fontId="9" fillId="16" borderId="12" applyAlignment="1" pivotButton="0" quotePrefix="0" xfId="0">
      <alignment vertical="center"/>
    </xf>
    <xf numFmtId="2" fontId="9" fillId="16" borderId="12" applyAlignment="1" pivotButton="0" quotePrefix="0" xfId="0">
      <alignment vertical="center"/>
    </xf>
    <xf numFmtId="165" fontId="9" fillId="16" borderId="12" applyAlignment="1" pivotButton="0" quotePrefix="0" xfId="0">
      <alignment vertical="center"/>
    </xf>
    <xf numFmtId="167" fontId="9" fillId="16" borderId="12" applyAlignment="1" pivotButton="0" quotePrefix="0" xfId="0">
      <alignment vertical="center"/>
    </xf>
    <xf numFmtId="0" fontId="9" fillId="11" borderId="13" applyAlignment="1" pivotButton="0" quotePrefix="0" xfId="0">
      <alignment vertical="center"/>
    </xf>
    <xf numFmtId="167" fontId="1" fillId="15" borderId="12" applyAlignment="1" pivotButton="0" quotePrefix="0" xfId="0">
      <alignment vertical="center"/>
    </xf>
    <xf numFmtId="164" fontId="1" fillId="15" borderId="12" applyAlignment="1" pivotButton="0" quotePrefix="0" xfId="0">
      <alignment vertical="center"/>
    </xf>
    <xf numFmtId="167" fontId="1" fillId="15" borderId="7" applyAlignment="1" pivotButton="0" quotePrefix="0" xfId="0">
      <alignment vertical="center"/>
    </xf>
    <xf numFmtId="164" fontId="1" fillId="15" borderId="7" applyAlignment="1" pivotButton="0" quotePrefix="0" xfId="0">
      <alignment vertical="center"/>
    </xf>
    <xf numFmtId="0" fontId="9" fillId="16" borderId="7" applyAlignment="1" pivotButton="0" quotePrefix="0" xfId="0">
      <alignment vertical="center"/>
    </xf>
    <xf numFmtId="164" fontId="9" fillId="16" borderId="7" applyAlignment="1" pivotButton="0" quotePrefix="0" xfId="0">
      <alignment vertical="center"/>
    </xf>
    <xf numFmtId="2" fontId="9" fillId="16" borderId="7" applyAlignment="1" pivotButton="0" quotePrefix="0" xfId="0">
      <alignment vertical="center"/>
    </xf>
    <xf numFmtId="165" fontId="9" fillId="16" borderId="7" applyAlignment="1" pivotButton="0" quotePrefix="0" xfId="0">
      <alignment vertical="center"/>
    </xf>
    <xf numFmtId="167" fontId="9" fillId="16" borderId="7" applyAlignment="1" pivotButton="0" quotePrefix="0" xfId="0">
      <alignment vertical="center"/>
    </xf>
    <xf numFmtId="0" fontId="9" fillId="11" borderId="8" applyAlignment="1" pivotButton="0" quotePrefix="0" xfId="0">
      <alignment vertical="center"/>
    </xf>
    <xf numFmtId="167" fontId="1" fillId="5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2" fontId="1" fillId="6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167" fontId="1" fillId="6" borderId="0" applyAlignment="1" pivotButton="0" quotePrefix="0" xfId="0">
      <alignment vertical="center"/>
    </xf>
    <xf numFmtId="0" fontId="9" fillId="10" borderId="19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2" fontId="9" fillId="15" borderId="12" applyAlignment="1" pivotButton="0" quotePrefix="0" xfId="0">
      <alignment vertical="center"/>
    </xf>
    <xf numFmtId="2" fontId="1" fillId="15" borderId="12" applyAlignment="1" pivotButton="0" quotePrefix="0" xfId="0">
      <alignment vertical="center"/>
    </xf>
    <xf numFmtId="2" fontId="1" fillId="15" borderId="7" applyAlignment="1" pivotButton="0" quotePrefix="0" xfId="0">
      <alignment vertical="center"/>
    </xf>
    <xf numFmtId="2" fontId="1" fillId="5" borderId="0" applyAlignment="1" pivotButton="0" quotePrefix="0" xfId="0">
      <alignment vertical="center"/>
    </xf>
    <xf numFmtId="0" fontId="9" fillId="16" borderId="11" applyAlignment="1" pivotButton="0" quotePrefix="0" xfId="0">
      <alignment vertical="center"/>
    </xf>
    <xf numFmtId="0" fontId="9" fillId="16" borderId="13" applyAlignment="1" pivotButton="0" quotePrefix="0" xfId="0">
      <alignment vertical="center"/>
    </xf>
    <xf numFmtId="0" fontId="9" fillId="16" borderId="6" applyAlignment="1" pivotButton="0" quotePrefix="0" xfId="0">
      <alignment vertical="center"/>
    </xf>
    <xf numFmtId="0" fontId="9" fillId="16" borderId="8" applyAlignment="1" pivotButton="0" quotePrefix="0" xfId="0">
      <alignment vertical="center"/>
    </xf>
    <xf numFmtId="167" fontId="17" fillId="10" borderId="15" applyAlignment="1" pivotButton="0" quotePrefix="0" xfId="0">
      <alignment vertical="center"/>
    </xf>
    <xf numFmtId="167" fontId="9" fillId="10" borderId="13" applyAlignment="1" pivotButton="0" quotePrefix="0" xfId="0">
      <alignment vertical="center"/>
    </xf>
    <xf numFmtId="164" fontId="1" fillId="10" borderId="12" applyAlignment="1" pivotButton="0" quotePrefix="0" xfId="0">
      <alignment vertical="center"/>
    </xf>
    <xf numFmtId="167" fontId="1" fillId="10" borderId="13" applyAlignment="1" pivotButton="0" quotePrefix="0" xfId="0">
      <alignment vertical="center"/>
    </xf>
    <xf numFmtId="164" fontId="1" fillId="10" borderId="7" applyAlignment="1" pivotButton="0" quotePrefix="0" xfId="0">
      <alignment vertical="center"/>
    </xf>
    <xf numFmtId="167" fontId="1" fillId="10" borderId="8" applyAlignment="1" pivotButton="0" quotePrefix="0" xfId="0">
      <alignment vertical="center"/>
    </xf>
    <xf numFmtId="2" fontId="9" fillId="9" borderId="0" applyAlignment="1" pivotButton="0" quotePrefix="0" xfId="0">
      <alignment vertical="center"/>
    </xf>
    <xf numFmtId="165" fontId="9" fillId="9" borderId="0" applyAlignment="1" pivotButton="0" quotePrefix="0" xfId="0">
      <alignment vertical="center"/>
    </xf>
    <xf numFmtId="167" fontId="16" fillId="10" borderId="16" applyAlignment="1" pivotButton="0" quotePrefix="0" xfId="0">
      <alignment vertical="center"/>
    </xf>
    <xf numFmtId="164" fontId="18" fillId="10" borderId="6" applyAlignment="1" pivotButton="0" quotePrefix="0" xfId="0">
      <alignment vertical="center"/>
    </xf>
    <xf numFmtId="164" fontId="1" fillId="10" borderId="8" applyAlignment="1" pivotButton="0" quotePrefix="0" xfId="0">
      <alignment vertical="center"/>
    </xf>
    <xf numFmtId="165" fontId="9" fillId="10" borderId="6" applyAlignment="1" pivotButton="0" quotePrefix="0" xfId="0">
      <alignment vertical="center"/>
    </xf>
    <xf numFmtId="165" fontId="9" fillId="10" borderId="7" applyAlignment="1" pivotButton="0" quotePrefix="0" xfId="0">
      <alignment vertical="center"/>
    </xf>
    <xf numFmtId="1" fontId="9" fillId="10" borderId="7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9" fillId="15" borderId="3" applyAlignment="1" pivotButton="0" quotePrefix="0" xfId="0">
      <alignment vertical="center"/>
    </xf>
    <xf numFmtId="0" fontId="9" fillId="15" borderId="4" applyAlignment="1" pivotButton="0" quotePrefix="0" xfId="0">
      <alignment vertical="center"/>
    </xf>
    <xf numFmtId="164" fontId="9" fillId="15" borderId="4" applyAlignment="1" pivotButton="0" quotePrefix="0" xfId="0">
      <alignment vertical="center"/>
    </xf>
    <xf numFmtId="0" fontId="9" fillId="15" borderId="5" applyAlignment="1" pivotButton="0" quotePrefix="0" xfId="0">
      <alignment vertical="center"/>
    </xf>
    <xf numFmtId="0" fontId="9" fillId="15" borderId="13" applyAlignment="1" pivotButton="0" quotePrefix="0" xfId="0">
      <alignment vertical="center"/>
    </xf>
    <xf numFmtId="0" fontId="9" fillId="15" borderId="6" applyAlignment="1" pivotButton="0" quotePrefix="0" xfId="0">
      <alignment vertical="center"/>
    </xf>
    <xf numFmtId="0" fontId="9" fillId="15" borderId="7" applyAlignment="1" pivotButton="0" quotePrefix="0" xfId="0">
      <alignment vertical="center"/>
    </xf>
    <xf numFmtId="164" fontId="9" fillId="15" borderId="7" applyAlignment="1" pivotButton="0" quotePrefix="0" xfId="0">
      <alignment vertical="center"/>
    </xf>
    <xf numFmtId="0" fontId="9" fillId="15" borderId="8" applyAlignment="1" pivotButton="0" quotePrefix="0" xfId="0">
      <alignment vertical="center"/>
    </xf>
    <xf numFmtId="164" fontId="1" fillId="9" borderId="0" applyAlignment="1" pivotButton="0" quotePrefix="0" xfId="0">
      <alignment vertical="center"/>
    </xf>
    <xf numFmtId="165" fontId="9" fillId="15" borderId="4" applyAlignment="1" pivotButton="0" quotePrefix="0" xfId="0">
      <alignment vertical="center"/>
    </xf>
    <xf numFmtId="166" fontId="9" fillId="15" borderId="4" applyAlignment="1" pivotButton="0" quotePrefix="0" xfId="0">
      <alignment vertical="center"/>
    </xf>
    <xf numFmtId="164" fontId="1" fillId="15" borderId="4" applyAlignment="1" pivotButton="0" quotePrefix="0" xfId="0">
      <alignment vertical="center"/>
    </xf>
    <xf numFmtId="165" fontId="9" fillId="15" borderId="12" applyAlignment="1" pivotButton="0" quotePrefix="0" xfId="0">
      <alignment vertical="center"/>
    </xf>
    <xf numFmtId="166" fontId="9" fillId="15" borderId="12" applyAlignment="1" pivotButton="0" quotePrefix="0" xfId="0">
      <alignment vertical="center"/>
    </xf>
    <xf numFmtId="165" fontId="1" fillId="15" borderId="12" applyAlignment="1" pivotButton="0" quotePrefix="0" xfId="0">
      <alignment vertical="center"/>
    </xf>
    <xf numFmtId="166" fontId="1" fillId="15" borderId="12" applyAlignment="1" pivotButton="0" quotePrefix="0" xfId="0">
      <alignment vertical="center"/>
    </xf>
    <xf numFmtId="165" fontId="1" fillId="15" borderId="7" applyAlignment="1" pivotButton="0" quotePrefix="0" xfId="0">
      <alignment vertical="center"/>
    </xf>
    <xf numFmtId="166" fontId="1" fillId="15" borderId="7" applyAlignment="1" pivotButton="0" quotePrefix="0" xfId="0">
      <alignment vertical="center"/>
    </xf>
    <xf numFmtId="0" fontId="9" fillId="10" borderId="19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</cellXfs>
  <cellStyles count="1">
    <cellStyle name="Normal" xfId="0"/>
  </cellStyles>
  <dxfs count="7">
    <dxf>
      <font>
        <b val="1"/>
        <color rgb="FF7B5B20"/>
      </font>
      <fill>
        <patternFill>
          <bgColor rgb="FFF6ECD6"/>
        </patternFill>
      </fill>
    </dxf>
    <dxf>
      <font>
        <b val="1"/>
        <color rgb="FF7B5B20"/>
      </font>
      <fill>
        <patternFill>
          <bgColor rgb="FFF6ECD6"/>
        </patternFill>
      </fill>
    </dxf>
    <dxf>
      <font>
        <b val="1"/>
        <color rgb="FF326146"/>
      </font>
      <fill>
        <patternFill patternType="solid">
          <bgColor rgb="FFE4F0E8"/>
        </patternFill>
      </fill>
    </dxf>
    <dxf>
      <font>
        <b val="1"/>
        <color rgb="FF326146"/>
      </font>
      <fill>
        <patternFill patternType="solid">
          <bgColor rgb="FFE4F0E8"/>
        </patternFill>
      </fill>
    </dxf>
    <dxf>
      <font>
        <b val="1"/>
        <color rgb="FF7B5B20"/>
      </font>
      <fill>
        <patternFill patternType="solid">
          <bgColor rgb="FFF6ECD6"/>
        </patternFill>
      </fill>
    </dxf>
    <dxf>
      <font>
        <b val="1"/>
        <color rgb="FF326146"/>
      </font>
      <fill>
        <patternFill patternType="solid">
          <bgColor rgb="FFE4F0E8"/>
        </patternFill>
      </fill>
    </dxf>
    <dxf>
      <font>
        <b val="1"/>
        <color rgb="FF7B5B20"/>
      </font>
      <fill>
        <patternFill patternType="solid">
          <bgColor rgb="FFF6EC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Trend</a:t>
            </a:r>
          </a:p>
        </rich>
      </tx>
    </title>
    <plotArea>
      <lineChart>
        <grouping val="standard"/>
        <varyColors val="0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'Overview'!$A$19:$A$30</f>
              <strCache>
                <ptCount val="0"/>
              </strCache>
            </strRef>
          </cat>
          <val>
            <numRef>
              <f>'Overview'!$B$19:$B$30</f>
              <numCache>
                <formatCode>$#,##0.00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13</col>
      <colOff>0</colOff>
      <row>30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180975</colOff>
      <row>0</row>
      <rowOff>121410</rowOff>
    </from>
    <ext cx="1666875" cy="442979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85725</colOff>
      <row>0</row>
      <rowOff>149254</rowOff>
    </from>
    <ext cx="1457325" cy="38729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514350</colOff>
      <row>0</row>
      <rowOff>121410</rowOff>
    </from>
    <ext cx="1666875" cy="44297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447675</colOff>
      <row>0</row>
      <rowOff>121410</rowOff>
    </from>
    <ext cx="1666875" cy="44297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581025</colOff>
      <row>0</row>
      <rowOff>121410</rowOff>
    </from>
    <ext cx="1666875" cy="44297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414337</colOff>
      <row>0</row>
      <rowOff>121410</rowOff>
    </from>
    <ext cx="1666875" cy="44297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847725</colOff>
      <row>0</row>
      <rowOff>121410</rowOff>
    </from>
    <ext cx="1666875" cy="44297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1147762</colOff>
      <row>0</row>
      <rowOff>121410</rowOff>
    </from>
    <ext cx="1666875" cy="44297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selection activeCell="A1" sqref="A1"/>
    </sheetView>
  </sheetViews>
  <sheetFormatPr baseColWidth="8" defaultRowHeight="15"/>
  <cols>
    <col width="15" customWidth="1" style="78" min="1" max="1"/>
    <col width="14" customWidth="1" style="78" min="2" max="2"/>
    <col width="12" customWidth="1" style="78" min="3" max="3"/>
    <col width="15" customWidth="1" style="78" min="4" max="4"/>
    <col width="12" customWidth="1" style="78" min="5" max="5"/>
    <col width="3" customWidth="1" style="78" min="6" max="6"/>
    <col width="12" customWidth="1" style="78" min="7" max="7"/>
    <col width="12" customWidth="1" style="78" min="8" max="8"/>
    <col width="12" customWidth="1" style="78" min="9" max="9"/>
    <col width="12" customWidth="1" style="78" min="10" max="10"/>
    <col width="12" customWidth="1" style="78" min="11" max="11"/>
    <col width="12" customWidth="1" style="78" min="12" max="12"/>
    <col width="12" customWidth="1" style="78" min="13" max="13"/>
    <col width="15" customWidth="1" style="78" min="14" max="14"/>
    <col width="12" customWidth="1" style="78" min="15" max="15"/>
    <col width="14" customWidth="1" style="78" min="16" max="16"/>
    <col width="4" customWidth="1" style="78" min="17" max="17"/>
  </cols>
  <sheetData>
    <row r="1" ht="30" customHeight="1" s="78">
      <c r="A1" s="293" t="n"/>
      <c r="B1" s="293" t="n"/>
      <c r="C1" s="294" t="inlineStr">
        <is>
          <t>SALES &amp; OPERATIONS OVERVIEW</t>
        </is>
      </c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5" t="n"/>
      <c r="N1" s="295" t="n"/>
      <c r="O1" s="295" t="n"/>
      <c r="P1" s="295" t="n"/>
      <c r="Q1" s="1" t="n"/>
    </row>
    <row r="2" ht="24" customHeight="1" s="78">
      <c r="A2" s="293" t="n"/>
      <c r="B2" s="293" t="n"/>
      <c r="C2" s="296" t="inlineStr">
        <is>
          <t>Revenue, depletion, receivables and sales performance.</t>
        </is>
      </c>
      <c r="D2" s="295" t="n"/>
      <c r="E2" s="295" t="n"/>
      <c r="F2" s="295" t="n"/>
      <c r="G2" s="295" t="n"/>
      <c r="H2" s="295" t="n"/>
      <c r="I2" s="295" t="n"/>
      <c r="J2" s="295" t="n"/>
      <c r="K2" s="295" t="n"/>
      <c r="L2" s="295" t="n"/>
      <c r="M2" s="295" t="n"/>
      <c r="N2" s="295" t="n"/>
      <c r="O2" s="295" t="n"/>
      <c r="P2" s="295" t="n"/>
      <c r="Q2" s="1" t="n"/>
    </row>
    <row r="3" ht="8" customHeight="1" s="78">
      <c r="A3" s="249" t="n"/>
      <c r="B3" s="249" t="n"/>
      <c r="C3" s="249" t="n"/>
      <c r="D3" s="249" t="n"/>
      <c r="E3" s="249" t="n"/>
      <c r="F3" s="249" t="n"/>
      <c r="G3" s="249" t="n"/>
      <c r="H3" s="249" t="n"/>
      <c r="I3" s="249" t="n"/>
      <c r="J3" s="249" t="n"/>
      <c r="K3" s="249" t="n"/>
      <c r="L3" s="249" t="n"/>
      <c r="M3" s="249" t="n"/>
      <c r="N3" s="249" t="n"/>
      <c r="O3" s="249" t="n"/>
      <c r="P3" s="249" t="n"/>
      <c r="Q3" s="23" t="n"/>
    </row>
    <row r="4">
      <c r="A4" s="249" t="n"/>
      <c r="B4" s="249" t="n"/>
      <c r="C4" s="249" t="n"/>
      <c r="D4" s="249" t="n"/>
      <c r="E4" s="249" t="n"/>
      <c r="F4" s="249" t="n"/>
      <c r="G4" s="249" t="n"/>
      <c r="H4" s="249" t="n"/>
      <c r="I4" s="249" t="n"/>
      <c r="J4" s="249" t="n"/>
      <c r="K4" s="249" t="n"/>
      <c r="L4" s="249" t="n"/>
      <c r="M4" s="249" t="n"/>
      <c r="N4" s="249" t="n"/>
      <c r="O4" s="249" t="n"/>
      <c r="P4" s="249" t="n"/>
      <c r="Q4" s="23" t="n"/>
    </row>
    <row r="5" ht="32" customHeight="1" s="78">
      <c r="A5" s="115" t="inlineStr">
        <is>
          <t>REPORTING YEAR</t>
        </is>
      </c>
      <c r="B5" s="116" t="n">
        <v>2026</v>
      </c>
      <c r="C5" s="249" t="str"/>
      <c r="D5" s="297" t="inlineStr">
        <is>
          <t>Use Lagom → Run Check when you want a concise data-quality check.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23" t="n"/>
    </row>
    <row r="6">
      <c r="A6" s="249" t="n"/>
      <c r="B6" s="249" t="n"/>
      <c r="C6" s="249" t="n"/>
      <c r="D6" s="249" t="n"/>
      <c r="E6" s="249" t="n"/>
      <c r="F6" s="249" t="n"/>
      <c r="G6" s="249" t="n"/>
      <c r="H6" s="249" t="n"/>
      <c r="I6" s="249" t="n"/>
      <c r="J6" s="249" t="n"/>
      <c r="K6" s="249" t="n"/>
      <c r="L6" s="249" t="n"/>
      <c r="M6" s="249" t="n"/>
      <c r="N6" s="249" t="n"/>
      <c r="O6" s="249" t="n"/>
      <c r="P6" s="249" t="n"/>
      <c r="Q6" s="23" t="n"/>
    </row>
    <row r="7">
      <c r="A7" s="130" t="inlineStr">
        <is>
          <t>REVENUE</t>
        </is>
      </c>
      <c r="B7" s="120" t="n"/>
      <c r="C7" s="120" t="n"/>
      <c r="D7" s="121" t="n"/>
      <c r="E7" s="130" t="inlineStr">
        <is>
          <t>CASES</t>
        </is>
      </c>
      <c r="F7" s="120" t="n"/>
      <c r="G7" s="120" t="n"/>
      <c r="H7" s="121" t="n"/>
      <c r="I7" s="130" t="inlineStr">
        <is>
          <t>GROSS PROFIT</t>
        </is>
      </c>
      <c r="J7" s="120" t="n"/>
      <c r="K7" s="120" t="n"/>
      <c r="L7" s="121" t="n"/>
      <c r="M7" s="130" t="inlineStr">
        <is>
          <t>GROSS MARGIN</t>
        </is>
      </c>
      <c r="N7" s="120" t="n"/>
      <c r="O7" s="120" t="n"/>
      <c r="P7" s="121" t="n"/>
      <c r="Q7" s="38" t="n"/>
    </row>
    <row r="8">
      <c r="A8" s="298">
        <f>SUM(Invoices!$L$9:$L$108)</f>
        <v/>
      </c>
      <c r="E8" s="299">
        <f>SUM(Invoices!$M$9:$M$108)</f>
        <v/>
      </c>
      <c r="I8" s="298">
        <f>SUM(Invoices!$O$9:$O$108)</f>
        <v/>
      </c>
      <c r="M8" s="300">
        <f>IFERROR(SUM(Invoices!$O$9:$O$108)/SUM(Invoices!$L$9:$L$108),0)</f>
        <v/>
      </c>
    </row>
    <row r="9"/>
    <row r="10">
      <c r="A10" s="249" t="n"/>
      <c r="B10" s="249" t="n"/>
      <c r="C10" s="249" t="n"/>
      <c r="D10" s="249" t="n"/>
      <c r="E10" s="249" t="n"/>
      <c r="F10" s="249" t="n"/>
      <c r="G10" s="249" t="n"/>
      <c r="H10" s="249" t="n"/>
      <c r="I10" s="249" t="n"/>
      <c r="J10" s="249" t="n"/>
      <c r="K10" s="249" t="n"/>
      <c r="L10" s="249" t="n"/>
      <c r="M10" s="249" t="n"/>
      <c r="N10" s="249" t="n"/>
      <c r="O10" s="249" t="n"/>
      <c r="P10" s="249" t="n"/>
      <c r="Q10" s="23" t="n"/>
    </row>
    <row r="11">
      <c r="A11" s="130" t="inlineStr">
        <is>
          <t>OPEN AR</t>
        </is>
      </c>
      <c r="B11" s="120" t="n"/>
      <c r="C11" s="120" t="n"/>
      <c r="D11" s="121" t="n"/>
      <c r="E11" s="130" t="inlineStr">
        <is>
          <t>OVERDUE AR</t>
        </is>
      </c>
      <c r="F11" s="120" t="n"/>
      <c r="G11" s="120" t="n"/>
      <c r="H11" s="121" t="n"/>
      <c r="I11" s="130" t="inlineStr">
        <is>
          <t>PAID REVENUE</t>
        </is>
      </c>
      <c r="J11" s="120" t="n"/>
      <c r="K11" s="120" t="n"/>
      <c r="L11" s="121" t="n"/>
      <c r="M11" s="135" t="inlineStr">
        <is>
          <t>NEEDS ATTENTION</t>
        </is>
      </c>
      <c r="N11" s="136" t="n"/>
      <c r="O11" s="136" t="n"/>
      <c r="P11" s="137" t="n"/>
      <c r="Q11" s="38" t="n"/>
    </row>
    <row r="12">
      <c r="A12" s="298">
        <f>SUM(Invoices!$Q$9:$Q$108)</f>
        <v/>
      </c>
      <c r="E12" s="298">
        <f>SUMIFS(Invoices!$Q$9:$Q$108,Invoices!$T$9:$T$108,"&gt;0")</f>
        <v/>
      </c>
      <c r="I12" s="298">
        <f>SUMIFS(Invoices!$L$9:$L$108,Invoices!$S$9:$S$108,"Paid")</f>
        <v/>
      </c>
      <c r="M12" s="301">
        <f>COUNTIF(Invoices!$W$9:$W$108,"REVIEW")+COUNTIF(Depletion!$O$9:$O$208,"REVIEW")</f>
        <v/>
      </c>
    </row>
    <row r="13"/>
    <row r="14">
      <c r="A14" s="249" t="n"/>
      <c r="B14" s="249" t="n"/>
      <c r="C14" s="249" t="n"/>
      <c r="D14" s="249" t="n"/>
      <c r="E14" s="24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3" t="n"/>
    </row>
    <row r="15">
      <c r="A15" s="24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3" t="n"/>
    </row>
    <row r="16" ht="22" customHeight="1" s="78">
      <c r="A16" s="302" t="inlineStr">
        <is>
          <t>Monthly Performance</t>
        </is>
      </c>
      <c r="B16" s="303" t="n"/>
      <c r="C16" s="303" t="n"/>
      <c r="D16" s="303" t="n"/>
      <c r="E16" s="303" t="n"/>
      <c r="F16" s="302" t="inlineStr">
        <is>
          <t>Revenue Trend</t>
        </is>
      </c>
      <c r="G16" s="303" t="n"/>
      <c r="H16" s="303" t="n"/>
      <c r="I16" s="303" t="n"/>
      <c r="J16" s="303" t="n"/>
      <c r="K16" s="303" t="n"/>
      <c r="L16" s="303" t="n"/>
      <c r="M16" s="303" t="n"/>
      <c r="N16" s="302" t="inlineStr">
        <is>
          <t>AR Aging</t>
        </is>
      </c>
      <c r="O16" s="303" t="n"/>
      <c r="P16" s="303" t="n"/>
      <c r="Q16" s="1" t="n"/>
    </row>
    <row r="17">
      <c r="A17" s="249" t="n"/>
      <c r="B17" s="249" t="n"/>
      <c r="C17" s="249" t="n"/>
      <c r="D17" s="249" t="n"/>
      <c r="E17" s="249" t="n"/>
      <c r="F17" s="249" t="n"/>
      <c r="G17" s="249" t="n"/>
      <c r="H17" s="249" t="n"/>
      <c r="I17" s="249" t="n"/>
      <c r="J17" s="249" t="n"/>
      <c r="K17" s="249" t="n"/>
      <c r="L17" s="249" t="n"/>
      <c r="M17" s="249" t="n"/>
      <c r="N17" s="249" t="n"/>
      <c r="O17" s="249" t="n"/>
      <c r="P17" s="249" t="n"/>
      <c r="Q17" s="23" t="n"/>
    </row>
    <row r="18" ht="28" customHeight="1" s="78">
      <c r="A18" s="149" t="inlineStr">
        <is>
          <t>Month</t>
        </is>
      </c>
      <c r="B18" s="150" t="inlineStr">
        <is>
          <t>Revenue</t>
        </is>
      </c>
      <c r="C18" s="150" t="inlineStr">
        <is>
          <t>Cases</t>
        </is>
      </c>
      <c r="D18" s="150" t="inlineStr">
        <is>
          <t>Gross Profit</t>
        </is>
      </c>
      <c r="E18" s="151" t="inlineStr">
        <is>
          <t>Margin</t>
        </is>
      </c>
      <c r="F18" s="249" t="n"/>
      <c r="G18" s="249" t="n"/>
      <c r="H18" s="249" t="n"/>
      <c r="I18" s="249" t="n"/>
      <c r="J18" s="249" t="n"/>
      <c r="K18" s="249" t="n"/>
      <c r="L18" s="249" t="n"/>
      <c r="M18" s="249" t="n"/>
      <c r="N18" s="149" t="inlineStr">
        <is>
          <t>Bucket</t>
        </is>
      </c>
      <c r="O18" s="150" t="inlineStr">
        <is>
          <t>Invoices</t>
        </is>
      </c>
      <c r="P18" s="151" t="inlineStr">
        <is>
          <t>Amount Due</t>
        </is>
      </c>
      <c r="Q18" s="23" t="n"/>
    </row>
    <row r="19">
      <c r="A19" s="304" t="inlineStr">
        <is>
          <t>Jan</t>
        </is>
      </c>
      <c r="B19" s="305">
        <f>SUMIFS(Invoices!$L$9:$L$108,Invoices!$B$9:$B$108,"&gt;="&amp;DATE($B$5,1,1),Invoices!$B$9:$B$108,"&lt;"&amp;DATE($B$5,2,1))</f>
        <v/>
      </c>
      <c r="C19" s="306">
        <f>SUMIFS(Invoices!$M$9:$M$108,Invoices!$B$9:$B$108,"&gt;="&amp;DATE($B$5,1,1),Invoices!$B$9:$B$108,"&lt;"&amp;DATE($B$5,2,1))</f>
        <v/>
      </c>
      <c r="D19" s="305">
        <f>SUMIFS(Invoices!$O$9:$O$108,Invoices!$B$9:$B$108,"&gt;="&amp;DATE($B$5,1,1),Invoices!$B$9:$B$108,"&lt;"&amp;DATE($B$5,2,1))</f>
        <v/>
      </c>
      <c r="E19" s="307">
        <f>IFERROR(D19/B19,0)</f>
        <v/>
      </c>
      <c r="F19" s="249" t="n"/>
      <c r="G19" s="249" t="n"/>
      <c r="H19" s="249" t="n"/>
      <c r="I19" s="249" t="n"/>
      <c r="J19" s="249" t="n"/>
      <c r="K19" s="249" t="n"/>
      <c r="L19" s="249" t="n"/>
      <c r="M19" s="249" t="n"/>
      <c r="N19" s="304" t="inlineStr">
        <is>
          <t>Current</t>
        </is>
      </c>
      <c r="O19" s="308">
        <f>COUNTIFS(Invoices!$U$9:$U$108,N19,Invoices!$Q$9:$Q$108,"&gt;0")</f>
        <v/>
      </c>
      <c r="P19" s="309">
        <f>SUMIF(Invoices!$U$9:$U$108,N19,Invoices!$Q$9:$Q$108)</f>
        <v/>
      </c>
      <c r="Q19" s="23" t="n"/>
    </row>
    <row r="20">
      <c r="A20" s="304" t="inlineStr">
        <is>
          <t>Feb</t>
        </is>
      </c>
      <c r="B20" s="305">
        <f>SUMIFS(Invoices!$L$9:$L$108,Invoices!$B$9:$B$108,"&gt;="&amp;DATE($B$5,2,1),Invoices!$B$9:$B$108,"&lt;"&amp;DATE($B$5,3,1))</f>
        <v/>
      </c>
      <c r="C20" s="306">
        <f>SUMIFS(Invoices!$M$9:$M$108,Invoices!$B$9:$B$108,"&gt;="&amp;DATE($B$5,2,1),Invoices!$B$9:$B$108,"&lt;"&amp;DATE($B$5,3,1))</f>
        <v/>
      </c>
      <c r="D20" s="305">
        <f>SUMIFS(Invoices!$O$9:$O$108,Invoices!$B$9:$B$108,"&gt;="&amp;DATE($B$5,2,1),Invoices!$B$9:$B$108,"&lt;"&amp;DATE($B$5,3,1))</f>
        <v/>
      </c>
      <c r="E20" s="307">
        <f>IFERROR(D20/B20,0)</f>
        <v/>
      </c>
      <c r="F20" s="249" t="n"/>
      <c r="G20" s="249" t="n"/>
      <c r="H20" s="249" t="n"/>
      <c r="I20" s="249" t="n"/>
      <c r="J20" s="249" t="n"/>
      <c r="K20" s="249" t="n"/>
      <c r="L20" s="249" t="n"/>
      <c r="M20" s="249" t="n"/>
      <c r="N20" s="304" t="inlineStr">
        <is>
          <t>1-30</t>
        </is>
      </c>
      <c r="O20" s="308">
        <f>COUNTIFS(Invoices!$U$9:$U$108,N20,Invoices!$Q$9:$Q$108,"&gt;0")</f>
        <v/>
      </c>
      <c r="P20" s="309">
        <f>SUMIF(Invoices!$U$9:$U$108,N20,Invoices!$Q$9:$Q$108)</f>
        <v/>
      </c>
      <c r="Q20" s="23" t="n"/>
    </row>
    <row r="21">
      <c r="A21" s="304" t="inlineStr">
        <is>
          <t>Mar</t>
        </is>
      </c>
      <c r="B21" s="305">
        <f>SUMIFS(Invoices!$L$9:$L$108,Invoices!$B$9:$B$108,"&gt;="&amp;DATE($B$5,3,1),Invoices!$B$9:$B$108,"&lt;"&amp;DATE($B$5,4,1))</f>
        <v/>
      </c>
      <c r="C21" s="306">
        <f>SUMIFS(Invoices!$M$9:$M$108,Invoices!$B$9:$B$108,"&gt;="&amp;DATE($B$5,3,1),Invoices!$B$9:$B$108,"&lt;"&amp;DATE($B$5,4,1))</f>
        <v/>
      </c>
      <c r="D21" s="305">
        <f>SUMIFS(Invoices!$O$9:$O$108,Invoices!$B$9:$B$108,"&gt;="&amp;DATE($B$5,3,1),Invoices!$B$9:$B$108,"&lt;"&amp;DATE($B$5,4,1))</f>
        <v/>
      </c>
      <c r="E21" s="307">
        <f>IFERROR(D21/B21,0)</f>
        <v/>
      </c>
      <c r="F21" s="249" t="n"/>
      <c r="G21" s="249" t="n"/>
      <c r="H21" s="249" t="n"/>
      <c r="I21" s="249" t="n"/>
      <c r="J21" s="249" t="n"/>
      <c r="K21" s="249" t="n"/>
      <c r="L21" s="249" t="n"/>
      <c r="M21" s="249" t="n"/>
      <c r="N21" s="304" t="inlineStr">
        <is>
          <t>31-60</t>
        </is>
      </c>
      <c r="O21" s="308">
        <f>COUNTIFS(Invoices!$U$9:$U$108,N21,Invoices!$Q$9:$Q$108,"&gt;0")</f>
        <v/>
      </c>
      <c r="P21" s="309">
        <f>SUMIF(Invoices!$U$9:$U$108,N21,Invoices!$Q$9:$Q$108)</f>
        <v/>
      </c>
      <c r="Q21" s="23" t="n"/>
    </row>
    <row r="22">
      <c r="A22" s="304" t="inlineStr">
        <is>
          <t>Apr</t>
        </is>
      </c>
      <c r="B22" s="305">
        <f>SUMIFS(Invoices!$L$9:$L$108,Invoices!$B$9:$B$108,"&gt;="&amp;DATE($B$5,4,1),Invoices!$B$9:$B$108,"&lt;"&amp;DATE($B$5,5,1))</f>
        <v/>
      </c>
      <c r="C22" s="306">
        <f>SUMIFS(Invoices!$M$9:$M$108,Invoices!$B$9:$B$108,"&gt;="&amp;DATE($B$5,4,1),Invoices!$B$9:$B$108,"&lt;"&amp;DATE($B$5,5,1))</f>
        <v/>
      </c>
      <c r="D22" s="305">
        <f>SUMIFS(Invoices!$O$9:$O$108,Invoices!$B$9:$B$108,"&gt;="&amp;DATE($B$5,4,1),Invoices!$B$9:$B$108,"&lt;"&amp;DATE($B$5,5,1))</f>
        <v/>
      </c>
      <c r="E22" s="307">
        <f>IFERROR(D22/B22,0)</f>
        <v/>
      </c>
      <c r="F22" s="249" t="n"/>
      <c r="G22" s="249" t="n"/>
      <c r="H22" s="249" t="n"/>
      <c r="I22" s="249" t="n"/>
      <c r="J22" s="249" t="n"/>
      <c r="K22" s="249" t="n"/>
      <c r="L22" s="249" t="n"/>
      <c r="M22" s="249" t="n"/>
      <c r="N22" s="310" t="inlineStr">
        <is>
          <t>61-90</t>
        </is>
      </c>
      <c r="O22" s="311">
        <f>COUNTIFS(Invoices!$U$9:$U$108,N22,Invoices!$Q$9:$Q$108,"&gt;0")</f>
        <v/>
      </c>
      <c r="P22" s="312">
        <f>SUMIF(Invoices!$U$9:$U$108,N22,Invoices!$Q$9:$Q$108)</f>
        <v/>
      </c>
      <c r="Q22" s="23" t="n"/>
    </row>
    <row r="23">
      <c r="A23" s="304" t="inlineStr">
        <is>
          <t>May</t>
        </is>
      </c>
      <c r="B23" s="305">
        <f>SUMIFS(Invoices!$L$9:$L$108,Invoices!$B$9:$B$108,"&gt;="&amp;DATE($B$5,5,1),Invoices!$B$9:$B$108,"&lt;"&amp;DATE($B$5,6,1))</f>
        <v/>
      </c>
      <c r="C23" s="306">
        <f>SUMIFS(Invoices!$M$9:$M$108,Invoices!$B$9:$B$108,"&gt;="&amp;DATE($B$5,5,1),Invoices!$B$9:$B$108,"&lt;"&amp;DATE($B$5,6,1))</f>
        <v/>
      </c>
      <c r="D23" s="305">
        <f>SUMIFS(Invoices!$O$9:$O$108,Invoices!$B$9:$B$108,"&gt;="&amp;DATE($B$5,5,1),Invoices!$B$9:$B$108,"&lt;"&amp;DATE($B$5,6,1))</f>
        <v/>
      </c>
      <c r="E23" s="307">
        <f>IFERROR(D23/B23,0)</f>
        <v/>
      </c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313" t="inlineStr">
        <is>
          <t>90+</t>
        </is>
      </c>
      <c r="O23" s="313">
        <f>COUNTIFS(Invoices!$U$9:$U$108,N23,Invoices!$Q$9:$Q$108,"&gt;0")</f>
        <v/>
      </c>
      <c r="P23" s="314">
        <f>SUMIF(Invoices!$U$9:$U$108,N23,Invoices!$Q$9:$Q$108)</f>
        <v/>
      </c>
      <c r="Q23" s="23" t="n"/>
    </row>
    <row r="24">
      <c r="A24" s="304" t="inlineStr">
        <is>
          <t>Jun</t>
        </is>
      </c>
      <c r="B24" s="305">
        <f>SUMIFS(Invoices!$L$9:$L$108,Invoices!$B$9:$B$108,"&gt;="&amp;DATE($B$5,6,1),Invoices!$B$9:$B$108,"&lt;"&amp;DATE($B$5,7,1))</f>
        <v/>
      </c>
      <c r="C24" s="306">
        <f>SUMIFS(Invoices!$M$9:$M$108,Invoices!$B$9:$B$108,"&gt;="&amp;DATE($B$5,6,1),Invoices!$B$9:$B$108,"&lt;"&amp;DATE($B$5,7,1))</f>
        <v/>
      </c>
      <c r="D24" s="305">
        <f>SUMIFS(Invoices!$O$9:$O$108,Invoices!$B$9:$B$108,"&gt;="&amp;DATE($B$5,6,1),Invoices!$B$9:$B$108,"&lt;"&amp;DATE($B$5,7,1))</f>
        <v/>
      </c>
      <c r="E24" s="307">
        <f>IFERROR(D24/B24,0)</f>
        <v/>
      </c>
      <c r="F24" s="249" t="n"/>
      <c r="G24" s="249" t="n"/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3" t="n"/>
    </row>
    <row r="25" ht="22" customHeight="1" s="78">
      <c r="A25" s="304" t="inlineStr">
        <is>
          <t>Jul</t>
        </is>
      </c>
      <c r="B25" s="305">
        <f>SUMIFS(Invoices!$L$9:$L$108,Invoices!$B$9:$B$108,"&gt;="&amp;DATE($B$5,7,1),Invoices!$B$9:$B$108,"&lt;"&amp;DATE($B$5,8,1))</f>
        <v/>
      </c>
      <c r="C25" s="306">
        <f>SUMIFS(Invoices!$M$9:$M$108,Invoices!$B$9:$B$108,"&gt;="&amp;DATE($B$5,7,1),Invoices!$B$9:$B$108,"&lt;"&amp;DATE($B$5,8,1))</f>
        <v/>
      </c>
      <c r="D25" s="305">
        <f>SUMIFS(Invoices!$O$9:$O$108,Invoices!$B$9:$B$108,"&gt;="&amp;DATE($B$5,7,1),Invoices!$B$9:$B$108,"&lt;"&amp;DATE($B$5,8,1))</f>
        <v/>
      </c>
      <c r="E25" s="307">
        <f>IFERROR(D25/B25,0)</f>
        <v/>
      </c>
      <c r="F25" s="249" t="n"/>
      <c r="G25" s="249" t="n"/>
      <c r="H25" s="249" t="n"/>
      <c r="I25" s="249" t="n"/>
      <c r="J25" s="249" t="n"/>
      <c r="K25" s="249" t="n"/>
      <c r="L25" s="249" t="n"/>
      <c r="M25" s="249" t="n"/>
      <c r="N25" s="302" t="inlineStr">
        <is>
          <t>Needs Attention</t>
        </is>
      </c>
      <c r="O25" s="303" t="n"/>
      <c r="P25" s="303" t="n"/>
      <c r="Q25" s="1" t="n"/>
    </row>
    <row r="26">
      <c r="A26" s="304" t="inlineStr">
        <is>
          <t>Aug</t>
        </is>
      </c>
      <c r="B26" s="305">
        <f>SUMIFS(Invoices!$L$9:$L$108,Invoices!$B$9:$B$108,"&gt;="&amp;DATE($B$5,8,1),Invoices!$B$9:$B$108,"&lt;"&amp;DATE($B$5,9,1))</f>
        <v/>
      </c>
      <c r="C26" s="306">
        <f>SUMIFS(Invoices!$M$9:$M$108,Invoices!$B$9:$B$108,"&gt;="&amp;DATE($B$5,8,1),Invoices!$B$9:$B$108,"&lt;"&amp;DATE($B$5,9,1))</f>
        <v/>
      </c>
      <c r="D26" s="305">
        <f>SUMIFS(Invoices!$O$9:$O$108,Invoices!$B$9:$B$108,"&gt;="&amp;DATE($B$5,8,1),Invoices!$B$9:$B$108,"&lt;"&amp;DATE($B$5,9,1))</f>
        <v/>
      </c>
      <c r="E26" s="307">
        <f>IFERROR(D26/B26,0)</f>
        <v/>
      </c>
      <c r="F26" s="249" t="n"/>
      <c r="G26" s="249" t="n"/>
      <c r="H26" s="249" t="n"/>
      <c r="I26" s="249" t="n"/>
      <c r="J26" s="249" t="n"/>
      <c r="K26" s="249" t="n"/>
      <c r="L26" s="249" t="n"/>
      <c r="M26" s="249" t="n"/>
      <c r="N26" s="249" t="n"/>
      <c r="O26" s="249" t="n"/>
      <c r="P26" s="249" t="n"/>
      <c r="Q26" s="23" t="n"/>
    </row>
    <row r="27" ht="28" customHeight="1" s="78">
      <c r="A27" s="304" t="inlineStr">
        <is>
          <t>Sep</t>
        </is>
      </c>
      <c r="B27" s="305">
        <f>SUMIFS(Invoices!$L$9:$L$108,Invoices!$B$9:$B$108,"&gt;="&amp;DATE($B$5,9,1),Invoices!$B$9:$B$108,"&lt;"&amp;DATE($B$5,10,1))</f>
        <v/>
      </c>
      <c r="C27" s="306">
        <f>SUMIFS(Invoices!$M$9:$M$108,Invoices!$B$9:$B$108,"&gt;="&amp;DATE($B$5,9,1),Invoices!$B$9:$B$108,"&lt;"&amp;DATE($B$5,10,1))</f>
        <v/>
      </c>
      <c r="D27" s="305">
        <f>SUMIFS(Invoices!$O$9:$O$108,Invoices!$B$9:$B$108,"&gt;="&amp;DATE($B$5,9,1),Invoices!$B$9:$B$108,"&lt;"&amp;DATE($B$5,10,1))</f>
        <v/>
      </c>
      <c r="E27" s="307">
        <f>IFERROR(D27/B27,0)</f>
        <v/>
      </c>
      <c r="F27" s="249" t="n"/>
      <c r="G27" s="249" t="n"/>
      <c r="H27" s="249" t="n"/>
      <c r="I27" s="249" t="n"/>
      <c r="J27" s="249" t="n"/>
      <c r="K27" s="249" t="n"/>
      <c r="L27" s="249" t="n"/>
      <c r="M27" s="249" t="n"/>
      <c r="N27" s="149" t="inlineStr">
        <is>
          <t>Signal</t>
        </is>
      </c>
      <c r="O27" s="150" t="inlineStr">
        <is>
          <t>Count</t>
        </is>
      </c>
      <c r="P27" s="151" t="inlineStr">
        <is>
          <t>Status</t>
        </is>
      </c>
      <c r="Q27" s="23" t="n"/>
    </row>
    <row r="28">
      <c r="A28" s="304" t="inlineStr">
        <is>
          <t>Oct</t>
        </is>
      </c>
      <c r="B28" s="305">
        <f>SUMIFS(Invoices!$L$9:$L$108,Invoices!$B$9:$B$108,"&gt;="&amp;DATE($B$5,10,1),Invoices!$B$9:$B$108,"&lt;"&amp;DATE($B$5,11,1))</f>
        <v/>
      </c>
      <c r="C28" s="306">
        <f>SUMIFS(Invoices!$M$9:$M$108,Invoices!$B$9:$B$108,"&gt;="&amp;DATE($B$5,10,1),Invoices!$B$9:$B$108,"&lt;"&amp;DATE($B$5,11,1))</f>
        <v/>
      </c>
      <c r="D28" s="305">
        <f>SUMIFS(Invoices!$O$9:$O$108,Invoices!$B$9:$B$108,"&gt;="&amp;DATE($B$5,10,1),Invoices!$B$9:$B$108,"&lt;"&amp;DATE($B$5,11,1))</f>
        <v/>
      </c>
      <c r="E28" s="307">
        <f>IFERROR(D28/B28,0)</f>
        <v/>
      </c>
      <c r="F28" s="249" t="n"/>
      <c r="G28" s="249" t="n"/>
      <c r="H28" s="249" t="n"/>
      <c r="I28" s="249" t="n"/>
      <c r="J28" s="249" t="n"/>
      <c r="K28" s="249" t="n"/>
      <c r="L28" s="249" t="n"/>
      <c r="M28" s="249" t="n"/>
      <c r="N28" s="304" t="inlineStr">
        <is>
          <t>Invoice Review</t>
        </is>
      </c>
      <c r="O28" s="308">
        <f>COUNTIF(Invoices!$W$9:$W$108,"REVIEW")</f>
        <v/>
      </c>
      <c r="P28" s="315">
        <f>IF(O28=0,"Clear","Review")</f>
        <v/>
      </c>
      <c r="Q28" s="23" t="n"/>
    </row>
    <row r="29">
      <c r="A29" s="304" t="inlineStr">
        <is>
          <t>Nov</t>
        </is>
      </c>
      <c r="B29" s="305">
        <f>SUMIFS(Invoices!$L$9:$L$108,Invoices!$B$9:$B$108,"&gt;="&amp;DATE($B$5,11,1),Invoices!$B$9:$B$108,"&lt;"&amp;DATE($B$5,12,1))</f>
        <v/>
      </c>
      <c r="C29" s="306">
        <f>SUMIFS(Invoices!$M$9:$M$108,Invoices!$B$9:$B$108,"&gt;="&amp;DATE($B$5,11,1),Invoices!$B$9:$B$108,"&lt;"&amp;DATE($B$5,12,1))</f>
        <v/>
      </c>
      <c r="D29" s="305">
        <f>SUMIFS(Invoices!$O$9:$O$108,Invoices!$B$9:$B$108,"&gt;="&amp;DATE($B$5,11,1),Invoices!$B$9:$B$108,"&lt;"&amp;DATE($B$5,12,1))</f>
        <v/>
      </c>
      <c r="E29" s="307">
        <f>IFERROR(D29/B29,0)</f>
        <v/>
      </c>
      <c r="F29" s="249" t="n"/>
      <c r="G29" s="249" t="n"/>
      <c r="H29" s="249" t="n"/>
      <c r="I29" s="249" t="n"/>
      <c r="J29" s="249" t="n"/>
      <c r="K29" s="249" t="n"/>
      <c r="L29" s="249" t="n"/>
      <c r="M29" s="249" t="n"/>
      <c r="N29" s="304" t="inlineStr">
        <is>
          <t>Depletion Review</t>
        </is>
      </c>
      <c r="O29" s="308">
        <f>COUNTIF(Depletion!$O$9:$O$208,"REVIEW")</f>
        <v/>
      </c>
      <c r="P29" s="315">
        <f>IF(O29=0,"Clear","Review")</f>
        <v/>
      </c>
      <c r="Q29" s="23" t="n"/>
    </row>
    <row r="30">
      <c r="A30" s="310" t="inlineStr">
        <is>
          <t>Dec</t>
        </is>
      </c>
      <c r="B30" s="316">
        <f>SUMIFS(Invoices!$L$9:$L$108,Invoices!$B$9:$B$108,"&gt;="&amp;DATE($B$5,12,1),Invoices!$B$9:$B$108,"&lt;"&amp;DATE($B$5+1,1,1))</f>
        <v/>
      </c>
      <c r="C30" s="317">
        <f>SUMIFS(Invoices!$M$9:$M$108,Invoices!$B$9:$B$108,"&gt;="&amp;DATE($B$5,12,1),Invoices!$B$9:$B$108,"&lt;"&amp;DATE($B$5+1,1,1))</f>
        <v/>
      </c>
      <c r="D30" s="316">
        <f>SUMIFS(Invoices!$O$9:$O$108,Invoices!$B$9:$B$108,"&gt;="&amp;DATE($B$5,12,1),Invoices!$B$9:$B$108,"&lt;"&amp;DATE($B$5+1,1,1))</f>
        <v/>
      </c>
      <c r="E30" s="318">
        <f>IFERROR(D30/B30,0)</f>
        <v/>
      </c>
      <c r="F30" s="249" t="n"/>
      <c r="G30" s="249" t="n"/>
      <c r="H30" s="249" t="n"/>
      <c r="I30" s="249" t="n"/>
      <c r="J30" s="249" t="n"/>
      <c r="K30" s="249" t="n"/>
      <c r="L30" s="249" t="n"/>
      <c r="M30" s="249" t="n"/>
      <c r="N30" s="304" t="inlineStr">
        <is>
          <t>31+ day AR</t>
        </is>
      </c>
      <c r="O30" s="308">
        <f>COUNTIFS(Invoices!$T$9:$T$108,"&gt;30",Invoices!$Q$9:$Q$108,"&gt;0")</f>
        <v/>
      </c>
      <c r="P30" s="315">
        <f>IF(O30=0,"Clear","Review")</f>
        <v/>
      </c>
      <c r="Q30" s="23" t="n"/>
    </row>
    <row r="31">
      <c r="A31" s="249" t="n"/>
      <c r="B31" s="249" t="n"/>
      <c r="C31" s="249" t="n"/>
      <c r="D31" s="249" t="n"/>
      <c r="E31" s="249" t="n"/>
      <c r="F31" s="249" t="n"/>
      <c r="G31" s="249" t="n"/>
      <c r="H31" s="249" t="n"/>
      <c r="I31" s="249" t="n"/>
      <c r="J31" s="249" t="n"/>
      <c r="K31" s="249" t="n"/>
      <c r="L31" s="249" t="n"/>
      <c r="M31" s="249" t="n"/>
      <c r="N31" s="310" t="inlineStr">
        <is>
          <t>Open invoices</t>
        </is>
      </c>
      <c r="O31" s="311">
        <f>COUNTIF(Invoices!$Q$9:$Q$108,"&gt;0")</f>
        <v/>
      </c>
      <c r="P31" s="319">
        <f>IF(O31=0,"Clear","Review")</f>
        <v/>
      </c>
      <c r="Q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</row>
  </sheetData>
  <mergeCells count="16">
    <mergeCell ref="M12:Q13"/>
    <mergeCell ref="E8:H9"/>
    <mergeCell ref="F16:M16"/>
    <mergeCell ref="M8:Q9"/>
    <mergeCell ref="D5:P5"/>
    <mergeCell ref="A16:E16"/>
    <mergeCell ref="A12:D13"/>
    <mergeCell ref="I12:L13"/>
    <mergeCell ref="C1:P1"/>
    <mergeCell ref="I8:L9"/>
    <mergeCell ref="A8:D9"/>
    <mergeCell ref="C2:P2"/>
    <mergeCell ref="A1:B2"/>
    <mergeCell ref="N25:P25"/>
    <mergeCell ref="N16:P16"/>
    <mergeCell ref="E12:H13"/>
  </mergeCells>
  <conditionalFormatting sqref="P28:P31">
    <cfRule type="expression" priority="1" dxfId="2">
      <formula>P28="Clear"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style="78" min="1" max="1"/>
    <col width="12" customWidth="1" style="78" min="2" max="2"/>
    <col width="25" customWidth="1" style="78" min="3" max="3"/>
    <col width="14" customWidth="1" style="78" min="4" max="4"/>
    <col width="14" customWidth="1" style="78" min="5" max="5"/>
    <col width="15" customWidth="1" style="78" min="6" max="6"/>
    <col width="13" customWidth="1" style="78" min="7" max="7"/>
    <col width="13" customWidth="1" style="78" min="8" max="8"/>
    <col width="22" customWidth="1" style="78" min="9" max="9"/>
    <col width="15" customWidth="1" style="78" min="10" max="10"/>
    <col width="14" customWidth="1" style="78" min="11" max="11"/>
    <col width="14" customWidth="1" style="78" min="12" max="12"/>
    <col width="9" customWidth="1" style="78" min="13" max="13"/>
    <col width="12" customWidth="1" style="78" min="14" max="14"/>
    <col width="12" customWidth="1" style="78" min="15" max="15"/>
    <col width="11" customWidth="1" style="78" min="16" max="16"/>
    <col width="12" customWidth="1" style="78" min="17" max="17"/>
    <col width="12" customWidth="1" style="78" min="18" max="18"/>
    <col width="14" customWidth="1" style="78" min="19" max="19"/>
    <col width="11" customWidth="1" style="78" min="20" max="20"/>
    <col width="12" customWidth="1" style="78" min="21" max="21"/>
    <col width="16" customWidth="1" style="78" min="22" max="22"/>
    <col width="11" customWidth="1" style="78" min="23" max="23"/>
    <col width="28" customWidth="1" style="78" min="24" max="24"/>
  </cols>
  <sheetData>
    <row r="1" ht="30" customHeight="1" s="78">
      <c r="A1" s="293" t="n"/>
      <c r="B1" s="293" t="n"/>
      <c r="C1" s="294" t="inlineStr">
        <is>
          <t>INVOICES</t>
        </is>
      </c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5" t="n"/>
      <c r="N1" s="295" t="n"/>
      <c r="O1" s="295" t="n"/>
      <c r="P1" s="295" t="n"/>
      <c r="Q1" s="295" t="n"/>
      <c r="R1" s="295" t="n"/>
      <c r="S1" s="295" t="n"/>
      <c r="T1" s="295" t="n"/>
      <c r="U1" s="295" t="n"/>
      <c r="V1" s="295" t="n"/>
      <c r="W1" s="295" t="n"/>
      <c r="X1" s="295" t="n"/>
    </row>
    <row r="2" ht="24" customHeight="1" s="78">
      <c r="A2" s="293" t="n"/>
      <c r="B2" s="293" t="n"/>
      <c r="C2" s="296" t="inlineStr">
        <is>
          <t>Authoritative invoice and payment ledger. Cream cells are editable; neutral cells calculate automatically.</t>
        </is>
      </c>
      <c r="D2" s="295" t="n"/>
      <c r="E2" s="295" t="n"/>
      <c r="F2" s="295" t="n"/>
      <c r="G2" s="295" t="n"/>
      <c r="H2" s="295" t="n"/>
      <c r="I2" s="295" t="n"/>
      <c r="J2" s="295" t="n"/>
      <c r="K2" s="295" t="n"/>
      <c r="L2" s="29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</row>
    <row r="3" ht="8" customHeight="1" s="78">
      <c r="A3" s="249" t="n"/>
      <c r="B3" s="249" t="n"/>
      <c r="C3" s="249" t="n"/>
      <c r="D3" s="249" t="n"/>
      <c r="E3" s="249" t="n"/>
      <c r="F3" s="249" t="n"/>
      <c r="G3" s="249" t="n"/>
      <c r="H3" s="249" t="n"/>
      <c r="I3" s="249" t="n"/>
      <c r="J3" s="249" t="n"/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49" t="n"/>
    </row>
    <row r="4">
      <c r="A4" s="249" t="n"/>
      <c r="B4" s="249" t="n"/>
      <c r="C4" s="249" t="n"/>
      <c r="D4" s="249" t="n"/>
      <c r="E4" s="249" t="n"/>
      <c r="F4" s="249" t="n"/>
      <c r="G4" s="249" t="n"/>
      <c r="H4" s="249" t="n"/>
      <c r="I4" s="249" t="n"/>
      <c r="J4" s="249" t="n"/>
      <c r="K4" s="249" t="n"/>
      <c r="L4" s="249" t="n"/>
      <c r="M4" s="249" t="n"/>
      <c r="N4" s="249" t="n"/>
      <c r="O4" s="249" t="n"/>
      <c r="P4" s="249" t="n"/>
      <c r="Q4" s="249" t="n"/>
      <c r="R4" s="249" t="n"/>
      <c r="S4" s="249" t="n"/>
      <c r="T4" s="249" t="n"/>
      <c r="U4" s="249" t="n"/>
      <c r="V4" s="249" t="n"/>
      <c r="W4" s="249" t="n"/>
      <c r="X4" s="249" t="n"/>
    </row>
    <row r="5" ht="30" customHeight="1" s="78">
      <c r="A5" s="190" t="inlineStr">
        <is>
          <t>SEARCH</t>
        </is>
      </c>
      <c r="B5" s="187" t="str"/>
      <c r="E5" s="1" t="n"/>
      <c r="F5" s="187" t="str"/>
      <c r="G5" s="191" t="inlineStr">
        <is>
          <t>STATUS</t>
        </is>
      </c>
      <c r="H5" s="187" t="inlineStr">
        <is>
          <t>All</t>
        </is>
      </c>
      <c r="I5" s="187" t="str"/>
      <c r="J5" s="191" t="inlineStr">
        <is>
          <t>REP</t>
        </is>
      </c>
      <c r="K5" s="187" t="inlineStr">
        <is>
          <t>All</t>
        </is>
      </c>
      <c r="L5" s="187" t="str"/>
      <c r="M5" s="191" t="inlineStr">
        <is>
          <t>AGING</t>
        </is>
      </c>
      <c r="N5" s="187" t="inlineStr">
        <is>
          <t>All</t>
        </is>
      </c>
      <c r="O5" s="187" t="str"/>
      <c r="P5" s="191" t="inlineStr">
        <is>
          <t>START DATE</t>
        </is>
      </c>
      <c r="Q5" s="320" t="str"/>
      <c r="R5" s="187" t="str"/>
      <c r="S5" s="191" t="inlineStr">
        <is>
          <t>END DATE</t>
        </is>
      </c>
      <c r="T5" s="320" t="str"/>
      <c r="U5" s="187" t="n"/>
      <c r="V5" s="187" t="n"/>
      <c r="W5" s="187" t="n"/>
      <c r="X5" s="189" t="n"/>
    </row>
    <row r="6">
      <c r="A6" s="195" t="inlineStr">
        <is>
          <t>RECORDS</t>
        </is>
      </c>
      <c r="B6" s="196">
        <f>COUNTIF($A$9:$A$108,"&lt;&gt;")</f>
        <v/>
      </c>
      <c r="C6" s="194" t="str"/>
      <c r="D6" s="195" t="inlineStr">
        <is>
          <t>REVENUE</t>
        </is>
      </c>
      <c r="E6" s="196">
        <f>SUM($L$9:$L$108)</f>
        <v/>
      </c>
      <c r="F6" s="194" t="str"/>
      <c r="G6" s="195" t="inlineStr">
        <is>
          <t>OPEN AR</t>
        </is>
      </c>
      <c r="H6" s="196">
        <f>SUM($Q$9:$Q$108)</f>
        <v/>
      </c>
      <c r="I6" s="194" t="str"/>
      <c r="J6" s="195" t="inlineStr">
        <is>
          <t>NEEDS REVIEW</t>
        </is>
      </c>
      <c r="K6" s="196">
        <f>COUNTIF($W$9:$W$108,"REVIEW")</f>
        <v/>
      </c>
      <c r="L6" s="194" t="str"/>
      <c r="M6" s="297" t="inlineStr">
        <is>
          <t>Use the Lagom menu for New Invoice, Record Payment and Reset Filters</t>
        </is>
      </c>
      <c r="N6" s="1" t="n"/>
      <c r="O6" s="1" t="n"/>
      <c r="P6" s="1" t="n"/>
      <c r="Q6" s="1" t="n"/>
      <c r="R6" s="1" t="n"/>
      <c r="S6" s="1" t="n"/>
      <c r="T6" s="1" t="n"/>
      <c r="U6" s="117" t="n"/>
      <c r="V6" s="117" t="n"/>
      <c r="W6" s="117" t="n"/>
      <c r="X6" s="117" t="n"/>
    </row>
    <row r="7" ht="22" customHeight="1" s="78">
      <c r="A7" s="302" t="inlineStr">
        <is>
          <t>INVOICE INPUT</t>
        </is>
      </c>
      <c r="B7" s="303" t="n"/>
      <c r="C7" s="303" t="n"/>
      <c r="D7" s="303" t="n"/>
      <c r="E7" s="303" t="n"/>
      <c r="F7" s="303" t="n"/>
      <c r="G7" s="303" t="n"/>
      <c r="H7" s="303" t="n"/>
      <c r="I7" s="303" t="n"/>
      <c r="J7" s="302" t="inlineStr">
        <is>
          <t>ACCOUNT CONTEXT</t>
        </is>
      </c>
      <c r="K7" s="303" t="n"/>
      <c r="L7" s="302" t="inlineStr">
        <is>
          <t>FINANCIALS</t>
        </is>
      </c>
      <c r="M7" s="303" t="n"/>
      <c r="N7" s="303" t="n"/>
      <c r="O7" s="303" t="n"/>
      <c r="P7" s="303" t="n"/>
      <c r="Q7" s="302" t="inlineStr">
        <is>
          <t>AR / STATUS</t>
        </is>
      </c>
      <c r="R7" s="303" t="n"/>
      <c r="S7" s="303" t="n"/>
      <c r="T7" s="303" t="n"/>
      <c r="U7" s="303" t="n"/>
      <c r="V7" s="303" t="n"/>
      <c r="W7" s="302" t="inlineStr">
        <is>
          <t>QA</t>
        </is>
      </c>
      <c r="X7" s="303" t="n"/>
    </row>
    <row r="8" ht="28" customHeight="1" s="78">
      <c r="A8" s="149" t="inlineStr">
        <is>
          <t>Invoice #</t>
        </is>
      </c>
      <c r="B8" s="150" t="inlineStr">
        <is>
          <t>Invoice Date</t>
        </is>
      </c>
      <c r="C8" s="150" t="inlineStr">
        <is>
          <t>Account</t>
        </is>
      </c>
      <c r="D8" s="150" t="inlineStr">
        <is>
          <t>Sales Rep</t>
        </is>
      </c>
      <c r="E8" s="150" t="inlineStr">
        <is>
          <t>Account Type</t>
        </is>
      </c>
      <c r="F8" s="150" t="inlineStr">
        <is>
          <t>Terms</t>
        </is>
      </c>
      <c r="G8" s="150" t="inlineStr">
        <is>
          <t>Amount Paid</t>
        </is>
      </c>
      <c r="H8" s="150" t="inlineStr">
        <is>
          <t>Payment Date</t>
        </is>
      </c>
      <c r="I8" s="150" t="inlineStr">
        <is>
          <t>Notes</t>
        </is>
      </c>
      <c r="J8" s="150" t="inlineStr">
        <is>
          <t>City</t>
        </is>
      </c>
      <c r="K8" s="150" t="inlineStr">
        <is>
          <t>Channel</t>
        </is>
      </c>
      <c r="L8" s="150" t="inlineStr">
        <is>
          <t>Invoice Revenue</t>
        </is>
      </c>
      <c r="M8" s="150" t="inlineStr">
        <is>
          <t>Cases</t>
        </is>
      </c>
      <c r="N8" s="150" t="inlineStr">
        <is>
          <t>Total COGS</t>
        </is>
      </c>
      <c r="O8" s="150" t="inlineStr">
        <is>
          <t>Gross Profit</t>
        </is>
      </c>
      <c r="P8" s="150" t="inlineStr">
        <is>
          <t>Gross Margin</t>
        </is>
      </c>
      <c r="Q8" s="150" t="inlineStr">
        <is>
          <t>Balance Due</t>
        </is>
      </c>
      <c r="R8" s="150" t="inlineStr">
        <is>
          <t>Due Date</t>
        </is>
      </c>
      <c r="S8" s="150" t="inlineStr">
        <is>
          <t>Payment Status</t>
        </is>
      </c>
      <c r="T8" s="150" t="inlineStr">
        <is>
          <t>Days Past Due</t>
        </is>
      </c>
      <c r="U8" s="150" t="inlineStr">
        <is>
          <t>Aging</t>
        </is>
      </c>
      <c r="V8" s="150" t="inlineStr">
        <is>
          <t>Commission Eligible Date</t>
        </is>
      </c>
      <c r="W8" s="150" t="inlineStr">
        <is>
          <t>QA Status</t>
        </is>
      </c>
      <c r="X8" s="151" t="inlineStr">
        <is>
          <t>Search Key</t>
        </is>
      </c>
    </row>
    <row r="9">
      <c r="A9" s="321" t="inlineStr">
        <is>
          <t>1088</t>
        </is>
      </c>
      <c r="B9" s="322" t="n">
        <v>46064</v>
      </c>
      <c r="C9" s="323" t="inlineStr">
        <is>
          <t>Wayzata Smoke Shop &amp; Vape</t>
        </is>
      </c>
      <c r="D9" s="323" t="inlineStr">
        <is>
          <t>Tito</t>
        </is>
      </c>
      <c r="E9" s="323" t="inlineStr">
        <is>
          <t>Reorder</t>
        </is>
      </c>
      <c r="F9" s="323" t="inlineStr">
        <is>
          <t>Due on receipt</t>
        </is>
      </c>
      <c r="G9" s="324" t="n">
        <v>291.96</v>
      </c>
      <c r="H9" s="322" t="n">
        <v>46064</v>
      </c>
      <c r="I9" s="207" t="n"/>
      <c r="J9" s="325">
        <f>IF($A9="","",IFERROR(VLOOKUP($C9,Setup!$A$36:$D$50,2,FALSE),""))</f>
        <v/>
      </c>
      <c r="K9" s="325">
        <f>IF($A9="","",IFERROR(VLOOKUP($C9,Setup!$A$36:$D$50,3,FALSE),""))</f>
        <v/>
      </c>
      <c r="L9" s="326">
        <f>IF($A9="","",SUMIF(Depletion!$A$9:$A$208,$A9,Depletion!$E$9:$E$208))</f>
        <v/>
      </c>
      <c r="M9" s="327">
        <f>IF($A9="","",SUMIF(Depletion!$A$9:$A$208,$A9,Depletion!$C$9:$C$208))</f>
        <v/>
      </c>
      <c r="N9" s="326">
        <f>IF($A9="","",SUMIF(Depletion!$A$9:$A$208,$A9,Depletion!$I$9:$I$208))</f>
        <v/>
      </c>
      <c r="O9" s="326">
        <f>IF($A9="","",$L9-$N9)</f>
        <v/>
      </c>
      <c r="P9" s="328">
        <f>IF($A9="","",IFERROR($O9/$L9,0))</f>
        <v/>
      </c>
      <c r="Q9" s="326">
        <f>IF($A9="","",MAX($L9-$G9,0))</f>
        <v/>
      </c>
      <c r="R9" s="329">
        <f>IF($A9="","",IFERROR($B9+VLOOKUP($F9,Setup!$A$82:$B$88,2,FALSE),""))</f>
        <v/>
      </c>
      <c r="S9" s="325">
        <f>IF($A9="","",IF($L9=0,"Draft",IF($Q9&lt;=0,"Paid",IF($G9&gt;0,"Partial","Unpaid"))))</f>
        <v/>
      </c>
      <c r="T9" s="325">
        <f>IF($A9="","",IF($Q9&lt;=0,0,IF($R9="","",MAX(TODAY()-$R9,0))))</f>
        <v/>
      </c>
      <c r="U9" s="325">
        <f>IF($A9="","",IF($S9="Paid","Closed",IF($R9="","Review",IF(TODAY()&lt;=$R9,"Current",IF($T9&lt;=30,"1-30",IF($T9&lt;=60,"31-60",IF($T9&lt;=90,"61-90","90+")))))))</f>
        <v/>
      </c>
      <c r="V9" s="329">
        <f>IF($A9="","",IF(AND($S9="Paid",$H9&lt;&gt;""),$H9,""))</f>
        <v/>
      </c>
      <c r="W9" s="325">
        <f>IF($A9="","",IF(OR(COUNTIF($A$9:$A$108,$A9)&gt;1,$B9="",$C9="",$D9="",$E9="",$F9="",$J9="",$K9="",$L9&lt;=0,$G9&lt;0,$G9&gt;$L9,AND($S9="Paid",$H9="")),"REVIEW","OK"))</f>
        <v/>
      </c>
      <c r="X9" s="330">
        <f>IF($A9="","",LOWER($A9&amp;" "&amp;$C9&amp;" "&amp;$D9&amp;" "&amp;$S9&amp;" "&amp;$J9&amp;" "&amp;$K9&amp;" "&amp;$I9))</f>
        <v/>
      </c>
    </row>
    <row r="10">
      <c r="A10" s="321" t="inlineStr">
        <is>
          <t>1089</t>
        </is>
      </c>
      <c r="B10" s="322" t="n">
        <v>46064</v>
      </c>
      <c r="C10" s="323" t="inlineStr">
        <is>
          <t>Long Lake Orono Smoke Shop</t>
        </is>
      </c>
      <c r="D10" s="323" t="inlineStr">
        <is>
          <t>Tito</t>
        </is>
      </c>
      <c r="E10" s="323" t="inlineStr">
        <is>
          <t>Reorder</t>
        </is>
      </c>
      <c r="F10" s="323" t="inlineStr">
        <is>
          <t>Due on receipt</t>
        </is>
      </c>
      <c r="G10" s="324" t="n">
        <v>291.96</v>
      </c>
      <c r="H10" s="322" t="n">
        <v>46064</v>
      </c>
      <c r="I10" s="207" t="n"/>
      <c r="J10" s="325">
        <f>IF($A10="","",IFERROR(VLOOKUP($C10,Setup!$A$36:$D$50,2,FALSE),""))</f>
        <v/>
      </c>
      <c r="K10" s="325">
        <f>IF($A10="","",IFERROR(VLOOKUP($C10,Setup!$A$36:$D$50,3,FALSE),""))</f>
        <v/>
      </c>
      <c r="L10" s="326">
        <f>IF($A10="","",SUMIF(Depletion!$A$9:$A$208,$A10,Depletion!$E$9:$E$208))</f>
        <v/>
      </c>
      <c r="M10" s="327">
        <f>IF($A10="","",SUMIF(Depletion!$A$9:$A$208,$A10,Depletion!$C$9:$C$208))</f>
        <v/>
      </c>
      <c r="N10" s="326">
        <f>IF($A10="","",SUMIF(Depletion!$A$9:$A$208,$A10,Depletion!$I$9:$I$208))</f>
        <v/>
      </c>
      <c r="O10" s="326">
        <f>IF($A10="","",$L10-$N10)</f>
        <v/>
      </c>
      <c r="P10" s="328">
        <f>IF($A10="","",IFERROR($O10/$L10,0))</f>
        <v/>
      </c>
      <c r="Q10" s="326">
        <f>IF($A10="","",MAX($L10-$G10,0))</f>
        <v/>
      </c>
      <c r="R10" s="329">
        <f>IF($A10="","",IFERROR($B10+VLOOKUP($F10,Setup!$A$82:$B$88,2,FALSE),""))</f>
        <v/>
      </c>
      <c r="S10" s="325">
        <f>IF($A10="","",IF($L10=0,"Draft",IF($Q10&lt;=0,"Paid",IF($G10&gt;0,"Partial","Unpaid"))))</f>
        <v/>
      </c>
      <c r="T10" s="325">
        <f>IF($A10="","",IF($Q10&lt;=0,0,IF($R10="","",MAX(TODAY()-$R10,0))))</f>
        <v/>
      </c>
      <c r="U10" s="325">
        <f>IF($A10="","",IF($S10="Paid","Closed",IF($R10="","Review",IF(TODAY()&lt;=$R10,"Current",IF($T10&lt;=30,"1-30",IF($T10&lt;=60,"31-60",IF($T10&lt;=90,"61-90","90+")))))))</f>
        <v/>
      </c>
      <c r="V10" s="329">
        <f>IF($A10="","",IF(AND($S10="Paid",$H10&lt;&gt;""),$H10,""))</f>
        <v/>
      </c>
      <c r="W10" s="325">
        <f>IF($A10="","",IF(OR(COUNTIF($A$9:$A$108,$A10)&gt;1,$B10="",$C10="",$D10="",$E10="",$F10="",$J10="",$K10="",$L10&lt;=0,$G10&lt;0,$G10&gt;$L10,AND($S10="Paid",$H10="")),"REVIEW","OK"))</f>
        <v/>
      </c>
      <c r="X10" s="330">
        <f>IF($A10="","",LOWER($A10&amp;" "&amp;$C10&amp;" "&amp;$D10&amp;" "&amp;$S10&amp;" "&amp;$J10&amp;" "&amp;$K10&amp;" "&amp;$I10))</f>
        <v/>
      </c>
    </row>
    <row r="11">
      <c r="A11" s="205" t="n"/>
      <c r="B11" s="331" t="n"/>
      <c r="C11" s="207" t="n"/>
      <c r="D11" s="207" t="n"/>
      <c r="E11" s="207" t="n"/>
      <c r="F11" s="207" t="n"/>
      <c r="G11" s="332" t="n"/>
      <c r="H11" s="331" t="n"/>
      <c r="I11" s="207" t="n"/>
      <c r="J11" s="325">
        <f>IF($A11="","",IFERROR(VLOOKUP($C11,Setup!$A$36:$D$50,2,FALSE),""))</f>
        <v/>
      </c>
      <c r="K11" s="325">
        <f>IF($A11="","",IFERROR(VLOOKUP($C11,Setup!$A$36:$D$50,3,FALSE),""))</f>
        <v/>
      </c>
      <c r="L11" s="326">
        <f>IF($A11="","",SUMIF(Depletion!$A$9:$A$208,$A11,Depletion!$E$9:$E$208))</f>
        <v/>
      </c>
      <c r="M11" s="327">
        <f>IF($A11="","",SUMIF(Depletion!$A$9:$A$208,$A11,Depletion!$C$9:$C$208))</f>
        <v/>
      </c>
      <c r="N11" s="326">
        <f>IF($A11="","",SUMIF(Depletion!$A$9:$A$208,$A11,Depletion!$I$9:$I$208))</f>
        <v/>
      </c>
      <c r="O11" s="326">
        <f>IF($A11="","",$L11-$N11)</f>
        <v/>
      </c>
      <c r="P11" s="328">
        <f>IF($A11="","",IFERROR($O11/$L11,0))</f>
        <v/>
      </c>
      <c r="Q11" s="326">
        <f>IF($A11="","",MAX($L11-$G11,0))</f>
        <v/>
      </c>
      <c r="R11" s="329">
        <f>IF($A11="","",IFERROR($B11+VLOOKUP($F11,Setup!$A$82:$B$88,2,FALSE),""))</f>
        <v/>
      </c>
      <c r="S11" s="325">
        <f>IF($A11="","",IF($L11=0,"Draft",IF($Q11&lt;=0,"Paid",IF($G11&gt;0,"Partial","Unpaid"))))</f>
        <v/>
      </c>
      <c r="T11" s="325">
        <f>IF($A11="","",IF($Q11&lt;=0,0,IF($R11="","",MAX(TODAY()-$R11,0))))</f>
        <v/>
      </c>
      <c r="U11" s="325">
        <f>IF($A11="","",IF($S11="Paid","Closed",IF($R11="","Review",IF(TODAY()&lt;=$R11,"Current",IF($T11&lt;=30,"1-30",IF($T11&lt;=60,"31-60",IF($T11&lt;=90,"61-90","90+")))))))</f>
        <v/>
      </c>
      <c r="V11" s="329">
        <f>IF($A11="","",IF(AND($S11="Paid",$H11&lt;&gt;""),$H11,""))</f>
        <v/>
      </c>
      <c r="W11" s="325">
        <f>IF($A11="","",IF(OR(COUNTIF($A$9:$A$108,$A11)&gt;1,$B11="",$C11="",$D11="",$E11="",$F11="",$J11="",$K11="",$L11&lt;=0,$G11&lt;0,$G11&gt;$L11,AND($S11="Paid",$H11="")),"REVIEW","OK"))</f>
        <v/>
      </c>
      <c r="X11" s="330">
        <f>IF($A11="","",LOWER($A11&amp;" "&amp;$C11&amp;" "&amp;$D11&amp;" "&amp;$S11&amp;" "&amp;$J11&amp;" "&amp;$K11&amp;" "&amp;$I11))</f>
        <v/>
      </c>
    </row>
    <row r="12">
      <c r="A12" s="205" t="n"/>
      <c r="B12" s="331" t="n"/>
      <c r="C12" s="207" t="n"/>
      <c r="D12" s="207" t="n"/>
      <c r="E12" s="207" t="n"/>
      <c r="F12" s="207" t="n"/>
      <c r="G12" s="332" t="n"/>
      <c r="H12" s="331" t="n"/>
      <c r="I12" s="207" t="n"/>
      <c r="J12" s="325">
        <f>IF($A12="","",IFERROR(VLOOKUP($C12,Setup!$A$36:$D$50,2,FALSE),""))</f>
        <v/>
      </c>
      <c r="K12" s="325">
        <f>IF($A12="","",IFERROR(VLOOKUP($C12,Setup!$A$36:$D$50,3,FALSE),""))</f>
        <v/>
      </c>
      <c r="L12" s="326">
        <f>IF($A12="","",SUMIF(Depletion!$A$9:$A$208,$A12,Depletion!$E$9:$E$208))</f>
        <v/>
      </c>
      <c r="M12" s="327">
        <f>IF($A12="","",SUMIF(Depletion!$A$9:$A$208,$A12,Depletion!$C$9:$C$208))</f>
        <v/>
      </c>
      <c r="N12" s="326">
        <f>IF($A12="","",SUMIF(Depletion!$A$9:$A$208,$A12,Depletion!$I$9:$I$208))</f>
        <v/>
      </c>
      <c r="O12" s="326">
        <f>IF($A12="","",$L12-$N12)</f>
        <v/>
      </c>
      <c r="P12" s="328">
        <f>IF($A12="","",IFERROR($O12/$L12,0))</f>
        <v/>
      </c>
      <c r="Q12" s="326">
        <f>IF($A12="","",MAX($L12-$G12,0))</f>
        <v/>
      </c>
      <c r="R12" s="329">
        <f>IF($A12="","",IFERROR($B12+VLOOKUP($F12,Setup!$A$82:$B$88,2,FALSE),""))</f>
        <v/>
      </c>
      <c r="S12" s="325">
        <f>IF($A12="","",IF($L12=0,"Draft",IF($Q12&lt;=0,"Paid",IF($G12&gt;0,"Partial","Unpaid"))))</f>
        <v/>
      </c>
      <c r="T12" s="325">
        <f>IF($A12="","",IF($Q12&lt;=0,0,IF($R12="","",MAX(TODAY()-$R12,0))))</f>
        <v/>
      </c>
      <c r="U12" s="325">
        <f>IF($A12="","",IF($S12="Paid","Closed",IF($R12="","Review",IF(TODAY()&lt;=$R12,"Current",IF($T12&lt;=30,"1-30",IF($T12&lt;=60,"31-60",IF($T12&lt;=90,"61-90","90+")))))))</f>
        <v/>
      </c>
      <c r="V12" s="329">
        <f>IF($A12="","",IF(AND($S12="Paid",$H12&lt;&gt;""),$H12,""))</f>
        <v/>
      </c>
      <c r="W12" s="325">
        <f>IF($A12="","",IF(OR(COUNTIF($A$9:$A$108,$A12)&gt;1,$B12="",$C12="",$D12="",$E12="",$F12="",$J12="",$K12="",$L12&lt;=0,$G12&lt;0,$G12&gt;$L12,AND($S12="Paid",$H12="")),"REVIEW","OK"))</f>
        <v/>
      </c>
      <c r="X12" s="330">
        <f>IF($A12="","",LOWER($A12&amp;" "&amp;$C12&amp;" "&amp;$D12&amp;" "&amp;$S12&amp;" "&amp;$J12&amp;" "&amp;$K12&amp;" "&amp;$I12))</f>
        <v/>
      </c>
    </row>
    <row r="13">
      <c r="A13" s="205" t="n"/>
      <c r="B13" s="331" t="n"/>
      <c r="C13" s="207" t="n"/>
      <c r="D13" s="207" t="n"/>
      <c r="E13" s="207" t="n"/>
      <c r="F13" s="207" t="n"/>
      <c r="G13" s="332" t="n"/>
      <c r="H13" s="331" t="n"/>
      <c r="I13" s="207" t="n"/>
      <c r="J13" s="325">
        <f>IF($A13="","",IFERROR(VLOOKUP($C13,Setup!$A$36:$D$50,2,FALSE),""))</f>
        <v/>
      </c>
      <c r="K13" s="325">
        <f>IF($A13="","",IFERROR(VLOOKUP($C13,Setup!$A$36:$D$50,3,FALSE),""))</f>
        <v/>
      </c>
      <c r="L13" s="326">
        <f>IF($A13="","",SUMIF(Depletion!$A$9:$A$208,$A13,Depletion!$E$9:$E$208))</f>
        <v/>
      </c>
      <c r="M13" s="327">
        <f>IF($A13="","",SUMIF(Depletion!$A$9:$A$208,$A13,Depletion!$C$9:$C$208))</f>
        <v/>
      </c>
      <c r="N13" s="326">
        <f>IF($A13="","",SUMIF(Depletion!$A$9:$A$208,$A13,Depletion!$I$9:$I$208))</f>
        <v/>
      </c>
      <c r="O13" s="326">
        <f>IF($A13="","",$L13-$N13)</f>
        <v/>
      </c>
      <c r="P13" s="328">
        <f>IF($A13="","",IFERROR($O13/$L13,0))</f>
        <v/>
      </c>
      <c r="Q13" s="326">
        <f>IF($A13="","",MAX($L13-$G13,0))</f>
        <v/>
      </c>
      <c r="R13" s="329">
        <f>IF($A13="","",IFERROR($B13+VLOOKUP($F13,Setup!$A$82:$B$88,2,FALSE),""))</f>
        <v/>
      </c>
      <c r="S13" s="325">
        <f>IF($A13="","",IF($L13=0,"Draft",IF($Q13&lt;=0,"Paid",IF($G13&gt;0,"Partial","Unpaid"))))</f>
        <v/>
      </c>
      <c r="T13" s="325">
        <f>IF($A13="","",IF($Q13&lt;=0,0,IF($R13="","",MAX(TODAY()-$R13,0))))</f>
        <v/>
      </c>
      <c r="U13" s="325">
        <f>IF($A13="","",IF($S13="Paid","Closed",IF($R13="","Review",IF(TODAY()&lt;=$R13,"Current",IF($T13&lt;=30,"1-30",IF($T13&lt;=60,"31-60",IF($T13&lt;=90,"61-90","90+")))))))</f>
        <v/>
      </c>
      <c r="V13" s="329">
        <f>IF($A13="","",IF(AND($S13="Paid",$H13&lt;&gt;""),$H13,""))</f>
        <v/>
      </c>
      <c r="W13" s="325">
        <f>IF($A13="","",IF(OR(COUNTIF($A$9:$A$108,$A13)&gt;1,$B13="",$C13="",$D13="",$E13="",$F13="",$J13="",$K13="",$L13&lt;=0,$G13&lt;0,$G13&gt;$L13,AND($S13="Paid",$H13="")),"REVIEW","OK"))</f>
        <v/>
      </c>
      <c r="X13" s="330">
        <f>IF($A13="","",LOWER($A13&amp;" "&amp;$C13&amp;" "&amp;$D13&amp;" "&amp;$S13&amp;" "&amp;$J13&amp;" "&amp;$K13&amp;" "&amp;$I13))</f>
        <v/>
      </c>
    </row>
    <row r="14">
      <c r="A14" s="205" t="n"/>
      <c r="B14" s="331" t="n"/>
      <c r="C14" s="207" t="n"/>
      <c r="D14" s="207" t="n"/>
      <c r="E14" s="207" t="n"/>
      <c r="F14" s="207" t="n"/>
      <c r="G14" s="332" t="n"/>
      <c r="H14" s="331" t="n"/>
      <c r="I14" s="207" t="n"/>
      <c r="J14" s="325">
        <f>IF($A14="","",IFERROR(VLOOKUP($C14,Setup!$A$36:$D$50,2,FALSE),""))</f>
        <v/>
      </c>
      <c r="K14" s="325">
        <f>IF($A14="","",IFERROR(VLOOKUP($C14,Setup!$A$36:$D$50,3,FALSE),""))</f>
        <v/>
      </c>
      <c r="L14" s="326">
        <f>IF($A14="","",SUMIF(Depletion!$A$9:$A$208,$A14,Depletion!$E$9:$E$208))</f>
        <v/>
      </c>
      <c r="M14" s="327">
        <f>IF($A14="","",SUMIF(Depletion!$A$9:$A$208,$A14,Depletion!$C$9:$C$208))</f>
        <v/>
      </c>
      <c r="N14" s="326">
        <f>IF($A14="","",SUMIF(Depletion!$A$9:$A$208,$A14,Depletion!$I$9:$I$208))</f>
        <v/>
      </c>
      <c r="O14" s="326">
        <f>IF($A14="","",$L14-$N14)</f>
        <v/>
      </c>
      <c r="P14" s="328">
        <f>IF($A14="","",IFERROR($O14/$L14,0))</f>
        <v/>
      </c>
      <c r="Q14" s="326">
        <f>IF($A14="","",MAX($L14-$G14,0))</f>
        <v/>
      </c>
      <c r="R14" s="329">
        <f>IF($A14="","",IFERROR($B14+VLOOKUP($F14,Setup!$A$82:$B$88,2,FALSE),""))</f>
        <v/>
      </c>
      <c r="S14" s="325">
        <f>IF($A14="","",IF($L14=0,"Draft",IF($Q14&lt;=0,"Paid",IF($G14&gt;0,"Partial","Unpaid"))))</f>
        <v/>
      </c>
      <c r="T14" s="325">
        <f>IF($A14="","",IF($Q14&lt;=0,0,IF($R14="","",MAX(TODAY()-$R14,0))))</f>
        <v/>
      </c>
      <c r="U14" s="325">
        <f>IF($A14="","",IF($S14="Paid","Closed",IF($R14="","Review",IF(TODAY()&lt;=$R14,"Current",IF($T14&lt;=30,"1-30",IF($T14&lt;=60,"31-60",IF($T14&lt;=90,"61-90","90+")))))))</f>
        <v/>
      </c>
      <c r="V14" s="329">
        <f>IF($A14="","",IF(AND($S14="Paid",$H14&lt;&gt;""),$H14,""))</f>
        <v/>
      </c>
      <c r="W14" s="325">
        <f>IF($A14="","",IF(OR(COUNTIF($A$9:$A$108,$A14)&gt;1,$B14="",$C14="",$D14="",$E14="",$F14="",$J14="",$K14="",$L14&lt;=0,$G14&lt;0,$G14&gt;$L14,AND($S14="Paid",$H14="")),"REVIEW","OK"))</f>
        <v/>
      </c>
      <c r="X14" s="330">
        <f>IF($A14="","",LOWER($A14&amp;" "&amp;$C14&amp;" "&amp;$D14&amp;" "&amp;$S14&amp;" "&amp;$J14&amp;" "&amp;$K14&amp;" "&amp;$I14))</f>
        <v/>
      </c>
    </row>
    <row r="15">
      <c r="A15" s="205" t="n"/>
      <c r="B15" s="331" t="n"/>
      <c r="C15" s="207" t="n"/>
      <c r="D15" s="207" t="n"/>
      <c r="E15" s="207" t="n"/>
      <c r="F15" s="207" t="n"/>
      <c r="G15" s="332" t="n"/>
      <c r="H15" s="331" t="n"/>
      <c r="I15" s="207" t="n"/>
      <c r="J15" s="325">
        <f>IF($A15="","",IFERROR(VLOOKUP($C15,Setup!$A$36:$D$50,2,FALSE),""))</f>
        <v/>
      </c>
      <c r="K15" s="325">
        <f>IF($A15="","",IFERROR(VLOOKUP($C15,Setup!$A$36:$D$50,3,FALSE),""))</f>
        <v/>
      </c>
      <c r="L15" s="326">
        <f>IF($A15="","",SUMIF(Depletion!$A$9:$A$208,$A15,Depletion!$E$9:$E$208))</f>
        <v/>
      </c>
      <c r="M15" s="327">
        <f>IF($A15="","",SUMIF(Depletion!$A$9:$A$208,$A15,Depletion!$C$9:$C$208))</f>
        <v/>
      </c>
      <c r="N15" s="326">
        <f>IF($A15="","",SUMIF(Depletion!$A$9:$A$208,$A15,Depletion!$I$9:$I$208))</f>
        <v/>
      </c>
      <c r="O15" s="326">
        <f>IF($A15="","",$L15-$N15)</f>
        <v/>
      </c>
      <c r="P15" s="328">
        <f>IF($A15="","",IFERROR($O15/$L15,0))</f>
        <v/>
      </c>
      <c r="Q15" s="326">
        <f>IF($A15="","",MAX($L15-$G15,0))</f>
        <v/>
      </c>
      <c r="R15" s="329">
        <f>IF($A15="","",IFERROR($B15+VLOOKUP($F15,Setup!$A$82:$B$88,2,FALSE),""))</f>
        <v/>
      </c>
      <c r="S15" s="325">
        <f>IF($A15="","",IF($L15=0,"Draft",IF($Q15&lt;=0,"Paid",IF($G15&gt;0,"Partial","Unpaid"))))</f>
        <v/>
      </c>
      <c r="T15" s="325">
        <f>IF($A15="","",IF($Q15&lt;=0,0,IF($R15="","",MAX(TODAY()-$R15,0))))</f>
        <v/>
      </c>
      <c r="U15" s="325">
        <f>IF($A15="","",IF($S15="Paid","Closed",IF($R15="","Review",IF(TODAY()&lt;=$R15,"Current",IF($T15&lt;=30,"1-30",IF($T15&lt;=60,"31-60",IF($T15&lt;=90,"61-90","90+")))))))</f>
        <v/>
      </c>
      <c r="V15" s="329">
        <f>IF($A15="","",IF(AND($S15="Paid",$H15&lt;&gt;""),$H15,""))</f>
        <v/>
      </c>
      <c r="W15" s="325">
        <f>IF($A15="","",IF(OR(COUNTIF($A$9:$A$108,$A15)&gt;1,$B15="",$C15="",$D15="",$E15="",$F15="",$J15="",$K15="",$L15&lt;=0,$G15&lt;0,$G15&gt;$L15,AND($S15="Paid",$H15="")),"REVIEW","OK"))</f>
        <v/>
      </c>
      <c r="X15" s="330">
        <f>IF($A15="","",LOWER($A15&amp;" "&amp;$C15&amp;" "&amp;$D15&amp;" "&amp;$S15&amp;" "&amp;$J15&amp;" "&amp;$K15&amp;" "&amp;$I15))</f>
        <v/>
      </c>
    </row>
    <row r="16">
      <c r="A16" s="205" t="n"/>
      <c r="B16" s="331" t="n"/>
      <c r="C16" s="207" t="n"/>
      <c r="D16" s="207" t="n"/>
      <c r="E16" s="207" t="n"/>
      <c r="F16" s="207" t="n"/>
      <c r="G16" s="332" t="n"/>
      <c r="H16" s="331" t="n"/>
      <c r="I16" s="207" t="n"/>
      <c r="J16" s="325">
        <f>IF($A16="","",IFERROR(VLOOKUP($C16,Setup!$A$36:$D$50,2,FALSE),""))</f>
        <v/>
      </c>
      <c r="K16" s="325">
        <f>IF($A16="","",IFERROR(VLOOKUP($C16,Setup!$A$36:$D$50,3,FALSE),""))</f>
        <v/>
      </c>
      <c r="L16" s="326">
        <f>IF($A16="","",SUMIF(Depletion!$A$9:$A$208,$A16,Depletion!$E$9:$E$208))</f>
        <v/>
      </c>
      <c r="M16" s="327">
        <f>IF($A16="","",SUMIF(Depletion!$A$9:$A$208,$A16,Depletion!$C$9:$C$208))</f>
        <v/>
      </c>
      <c r="N16" s="326">
        <f>IF($A16="","",SUMIF(Depletion!$A$9:$A$208,$A16,Depletion!$I$9:$I$208))</f>
        <v/>
      </c>
      <c r="O16" s="326">
        <f>IF($A16="","",$L16-$N16)</f>
        <v/>
      </c>
      <c r="P16" s="328">
        <f>IF($A16="","",IFERROR($O16/$L16,0))</f>
        <v/>
      </c>
      <c r="Q16" s="326">
        <f>IF($A16="","",MAX($L16-$G16,0))</f>
        <v/>
      </c>
      <c r="R16" s="329">
        <f>IF($A16="","",IFERROR($B16+VLOOKUP($F16,Setup!$A$82:$B$88,2,FALSE),""))</f>
        <v/>
      </c>
      <c r="S16" s="325">
        <f>IF($A16="","",IF($L16=0,"Draft",IF($Q16&lt;=0,"Paid",IF($G16&gt;0,"Partial","Unpaid"))))</f>
        <v/>
      </c>
      <c r="T16" s="325">
        <f>IF($A16="","",IF($Q16&lt;=0,0,IF($R16="","",MAX(TODAY()-$R16,0))))</f>
        <v/>
      </c>
      <c r="U16" s="325">
        <f>IF($A16="","",IF($S16="Paid","Closed",IF($R16="","Review",IF(TODAY()&lt;=$R16,"Current",IF($T16&lt;=30,"1-30",IF($T16&lt;=60,"31-60",IF($T16&lt;=90,"61-90","90+")))))))</f>
        <v/>
      </c>
      <c r="V16" s="329">
        <f>IF($A16="","",IF(AND($S16="Paid",$H16&lt;&gt;""),$H16,""))</f>
        <v/>
      </c>
      <c r="W16" s="325">
        <f>IF($A16="","",IF(OR(COUNTIF($A$9:$A$108,$A16)&gt;1,$B16="",$C16="",$D16="",$E16="",$F16="",$J16="",$K16="",$L16&lt;=0,$G16&lt;0,$G16&gt;$L16,AND($S16="Paid",$H16="")),"REVIEW","OK"))</f>
        <v/>
      </c>
      <c r="X16" s="330">
        <f>IF($A16="","",LOWER($A16&amp;" "&amp;$C16&amp;" "&amp;$D16&amp;" "&amp;$S16&amp;" "&amp;$J16&amp;" "&amp;$K16&amp;" "&amp;$I16))</f>
        <v/>
      </c>
    </row>
    <row r="17">
      <c r="A17" s="205" t="n"/>
      <c r="B17" s="331" t="n"/>
      <c r="C17" s="207" t="n"/>
      <c r="D17" s="207" t="n"/>
      <c r="E17" s="207" t="n"/>
      <c r="F17" s="207" t="n"/>
      <c r="G17" s="332" t="n"/>
      <c r="H17" s="331" t="n"/>
      <c r="I17" s="207" t="n"/>
      <c r="J17" s="325">
        <f>IF($A17="","",IFERROR(VLOOKUP($C17,Setup!$A$36:$D$50,2,FALSE),""))</f>
        <v/>
      </c>
      <c r="K17" s="325">
        <f>IF($A17="","",IFERROR(VLOOKUP($C17,Setup!$A$36:$D$50,3,FALSE),""))</f>
        <v/>
      </c>
      <c r="L17" s="326">
        <f>IF($A17="","",SUMIF(Depletion!$A$9:$A$208,$A17,Depletion!$E$9:$E$208))</f>
        <v/>
      </c>
      <c r="M17" s="327">
        <f>IF($A17="","",SUMIF(Depletion!$A$9:$A$208,$A17,Depletion!$C$9:$C$208))</f>
        <v/>
      </c>
      <c r="N17" s="326">
        <f>IF($A17="","",SUMIF(Depletion!$A$9:$A$208,$A17,Depletion!$I$9:$I$208))</f>
        <v/>
      </c>
      <c r="O17" s="326">
        <f>IF($A17="","",$L17-$N17)</f>
        <v/>
      </c>
      <c r="P17" s="328">
        <f>IF($A17="","",IFERROR($O17/$L17,0))</f>
        <v/>
      </c>
      <c r="Q17" s="326">
        <f>IF($A17="","",MAX($L17-$G17,0))</f>
        <v/>
      </c>
      <c r="R17" s="329">
        <f>IF($A17="","",IFERROR($B17+VLOOKUP($F17,Setup!$A$82:$B$88,2,FALSE),""))</f>
        <v/>
      </c>
      <c r="S17" s="325">
        <f>IF($A17="","",IF($L17=0,"Draft",IF($Q17&lt;=0,"Paid",IF($G17&gt;0,"Partial","Unpaid"))))</f>
        <v/>
      </c>
      <c r="T17" s="325">
        <f>IF($A17="","",IF($Q17&lt;=0,0,IF($R17="","",MAX(TODAY()-$R17,0))))</f>
        <v/>
      </c>
      <c r="U17" s="325">
        <f>IF($A17="","",IF($S17="Paid","Closed",IF($R17="","Review",IF(TODAY()&lt;=$R17,"Current",IF($T17&lt;=30,"1-30",IF($T17&lt;=60,"31-60",IF($T17&lt;=90,"61-90","90+")))))))</f>
        <v/>
      </c>
      <c r="V17" s="329">
        <f>IF($A17="","",IF(AND($S17="Paid",$H17&lt;&gt;""),$H17,""))</f>
        <v/>
      </c>
      <c r="W17" s="325">
        <f>IF($A17="","",IF(OR(COUNTIF($A$9:$A$108,$A17)&gt;1,$B17="",$C17="",$D17="",$E17="",$F17="",$J17="",$K17="",$L17&lt;=0,$G17&lt;0,$G17&gt;$L17,AND($S17="Paid",$H17="")),"REVIEW","OK"))</f>
        <v/>
      </c>
      <c r="X17" s="330">
        <f>IF($A17="","",LOWER($A17&amp;" "&amp;$C17&amp;" "&amp;$D17&amp;" "&amp;$S17&amp;" "&amp;$J17&amp;" "&amp;$K17&amp;" "&amp;$I17))</f>
        <v/>
      </c>
    </row>
    <row r="18">
      <c r="A18" s="205" t="n"/>
      <c r="B18" s="331" t="n"/>
      <c r="C18" s="207" t="n"/>
      <c r="D18" s="207" t="n"/>
      <c r="E18" s="207" t="n"/>
      <c r="F18" s="207" t="n"/>
      <c r="G18" s="332" t="n"/>
      <c r="H18" s="331" t="n"/>
      <c r="I18" s="207" t="n"/>
      <c r="J18" s="325">
        <f>IF($A18="","",IFERROR(VLOOKUP($C18,Setup!$A$36:$D$50,2,FALSE),""))</f>
        <v/>
      </c>
      <c r="K18" s="325">
        <f>IF($A18="","",IFERROR(VLOOKUP($C18,Setup!$A$36:$D$50,3,FALSE),""))</f>
        <v/>
      </c>
      <c r="L18" s="326">
        <f>IF($A18="","",SUMIF(Depletion!$A$9:$A$208,$A18,Depletion!$E$9:$E$208))</f>
        <v/>
      </c>
      <c r="M18" s="327">
        <f>IF($A18="","",SUMIF(Depletion!$A$9:$A$208,$A18,Depletion!$C$9:$C$208))</f>
        <v/>
      </c>
      <c r="N18" s="326">
        <f>IF($A18="","",SUMIF(Depletion!$A$9:$A$208,$A18,Depletion!$I$9:$I$208))</f>
        <v/>
      </c>
      <c r="O18" s="326">
        <f>IF($A18="","",$L18-$N18)</f>
        <v/>
      </c>
      <c r="P18" s="328">
        <f>IF($A18="","",IFERROR($O18/$L18,0))</f>
        <v/>
      </c>
      <c r="Q18" s="326">
        <f>IF($A18="","",MAX($L18-$G18,0))</f>
        <v/>
      </c>
      <c r="R18" s="329">
        <f>IF($A18="","",IFERROR($B18+VLOOKUP($F18,Setup!$A$82:$B$88,2,FALSE),""))</f>
        <v/>
      </c>
      <c r="S18" s="325">
        <f>IF($A18="","",IF($L18=0,"Draft",IF($Q18&lt;=0,"Paid",IF($G18&gt;0,"Partial","Unpaid"))))</f>
        <v/>
      </c>
      <c r="T18" s="325">
        <f>IF($A18="","",IF($Q18&lt;=0,0,IF($R18="","",MAX(TODAY()-$R18,0))))</f>
        <v/>
      </c>
      <c r="U18" s="325">
        <f>IF($A18="","",IF($S18="Paid","Closed",IF($R18="","Review",IF(TODAY()&lt;=$R18,"Current",IF($T18&lt;=30,"1-30",IF($T18&lt;=60,"31-60",IF($T18&lt;=90,"61-90","90+")))))))</f>
        <v/>
      </c>
      <c r="V18" s="329">
        <f>IF($A18="","",IF(AND($S18="Paid",$H18&lt;&gt;""),$H18,""))</f>
        <v/>
      </c>
      <c r="W18" s="325">
        <f>IF($A18="","",IF(OR(COUNTIF($A$9:$A$108,$A18)&gt;1,$B18="",$C18="",$D18="",$E18="",$F18="",$J18="",$K18="",$L18&lt;=0,$G18&lt;0,$G18&gt;$L18,AND($S18="Paid",$H18="")),"REVIEW","OK"))</f>
        <v/>
      </c>
      <c r="X18" s="330">
        <f>IF($A18="","",LOWER($A18&amp;" "&amp;$C18&amp;" "&amp;$D18&amp;" "&amp;$S18&amp;" "&amp;$J18&amp;" "&amp;$K18&amp;" "&amp;$I18))</f>
        <v/>
      </c>
    </row>
    <row r="19">
      <c r="A19" s="205" t="n"/>
      <c r="B19" s="331" t="n"/>
      <c r="C19" s="207" t="n"/>
      <c r="D19" s="207" t="n"/>
      <c r="E19" s="207" t="n"/>
      <c r="F19" s="207" t="n"/>
      <c r="G19" s="332" t="n"/>
      <c r="H19" s="331" t="n"/>
      <c r="I19" s="207" t="n"/>
      <c r="J19" s="325">
        <f>IF($A19="","",IFERROR(VLOOKUP($C19,Setup!$A$36:$D$50,2,FALSE),""))</f>
        <v/>
      </c>
      <c r="K19" s="325">
        <f>IF($A19="","",IFERROR(VLOOKUP($C19,Setup!$A$36:$D$50,3,FALSE),""))</f>
        <v/>
      </c>
      <c r="L19" s="326">
        <f>IF($A19="","",SUMIF(Depletion!$A$9:$A$208,$A19,Depletion!$E$9:$E$208))</f>
        <v/>
      </c>
      <c r="M19" s="327">
        <f>IF($A19="","",SUMIF(Depletion!$A$9:$A$208,$A19,Depletion!$C$9:$C$208))</f>
        <v/>
      </c>
      <c r="N19" s="326">
        <f>IF($A19="","",SUMIF(Depletion!$A$9:$A$208,$A19,Depletion!$I$9:$I$208))</f>
        <v/>
      </c>
      <c r="O19" s="326">
        <f>IF($A19="","",$L19-$N19)</f>
        <v/>
      </c>
      <c r="P19" s="328">
        <f>IF($A19="","",IFERROR($O19/$L19,0))</f>
        <v/>
      </c>
      <c r="Q19" s="326">
        <f>IF($A19="","",MAX($L19-$G19,0))</f>
        <v/>
      </c>
      <c r="R19" s="329">
        <f>IF($A19="","",IFERROR($B19+VLOOKUP($F19,Setup!$A$82:$B$88,2,FALSE),""))</f>
        <v/>
      </c>
      <c r="S19" s="325">
        <f>IF($A19="","",IF($L19=0,"Draft",IF($Q19&lt;=0,"Paid",IF($G19&gt;0,"Partial","Unpaid"))))</f>
        <v/>
      </c>
      <c r="T19" s="325">
        <f>IF($A19="","",IF($Q19&lt;=0,0,IF($R19="","",MAX(TODAY()-$R19,0))))</f>
        <v/>
      </c>
      <c r="U19" s="325">
        <f>IF($A19="","",IF($S19="Paid","Closed",IF($R19="","Review",IF(TODAY()&lt;=$R19,"Current",IF($T19&lt;=30,"1-30",IF($T19&lt;=60,"31-60",IF($T19&lt;=90,"61-90","90+")))))))</f>
        <v/>
      </c>
      <c r="V19" s="329">
        <f>IF($A19="","",IF(AND($S19="Paid",$H19&lt;&gt;""),$H19,""))</f>
        <v/>
      </c>
      <c r="W19" s="325">
        <f>IF($A19="","",IF(OR(COUNTIF($A$9:$A$108,$A19)&gt;1,$B19="",$C19="",$D19="",$E19="",$F19="",$J19="",$K19="",$L19&lt;=0,$G19&lt;0,$G19&gt;$L19,AND($S19="Paid",$H19="")),"REVIEW","OK"))</f>
        <v/>
      </c>
      <c r="X19" s="330">
        <f>IF($A19="","",LOWER($A19&amp;" "&amp;$C19&amp;" "&amp;$D19&amp;" "&amp;$S19&amp;" "&amp;$J19&amp;" "&amp;$K19&amp;" "&amp;$I19))</f>
        <v/>
      </c>
    </row>
    <row r="20">
      <c r="A20" s="205" t="n"/>
      <c r="B20" s="331" t="n"/>
      <c r="C20" s="207" t="n"/>
      <c r="D20" s="207" t="n"/>
      <c r="E20" s="207" t="n"/>
      <c r="F20" s="207" t="n"/>
      <c r="G20" s="332" t="n"/>
      <c r="H20" s="331" t="n"/>
      <c r="I20" s="207" t="n"/>
      <c r="J20" s="325">
        <f>IF($A20="","",IFERROR(VLOOKUP($C20,Setup!$A$36:$D$50,2,FALSE),""))</f>
        <v/>
      </c>
      <c r="K20" s="325">
        <f>IF($A20="","",IFERROR(VLOOKUP($C20,Setup!$A$36:$D$50,3,FALSE),""))</f>
        <v/>
      </c>
      <c r="L20" s="326">
        <f>IF($A20="","",SUMIF(Depletion!$A$9:$A$208,$A20,Depletion!$E$9:$E$208))</f>
        <v/>
      </c>
      <c r="M20" s="327">
        <f>IF($A20="","",SUMIF(Depletion!$A$9:$A$208,$A20,Depletion!$C$9:$C$208))</f>
        <v/>
      </c>
      <c r="N20" s="326">
        <f>IF($A20="","",SUMIF(Depletion!$A$9:$A$208,$A20,Depletion!$I$9:$I$208))</f>
        <v/>
      </c>
      <c r="O20" s="326">
        <f>IF($A20="","",$L20-$N20)</f>
        <v/>
      </c>
      <c r="P20" s="328">
        <f>IF($A20="","",IFERROR($O20/$L20,0))</f>
        <v/>
      </c>
      <c r="Q20" s="326">
        <f>IF($A20="","",MAX($L20-$G20,0))</f>
        <v/>
      </c>
      <c r="R20" s="329">
        <f>IF($A20="","",IFERROR($B20+VLOOKUP($F20,Setup!$A$82:$B$88,2,FALSE),""))</f>
        <v/>
      </c>
      <c r="S20" s="325">
        <f>IF($A20="","",IF($L20=0,"Draft",IF($Q20&lt;=0,"Paid",IF($G20&gt;0,"Partial","Unpaid"))))</f>
        <v/>
      </c>
      <c r="T20" s="325">
        <f>IF($A20="","",IF($Q20&lt;=0,0,IF($R20="","",MAX(TODAY()-$R20,0))))</f>
        <v/>
      </c>
      <c r="U20" s="325">
        <f>IF($A20="","",IF($S20="Paid","Closed",IF($R20="","Review",IF(TODAY()&lt;=$R20,"Current",IF($T20&lt;=30,"1-30",IF($T20&lt;=60,"31-60",IF($T20&lt;=90,"61-90","90+")))))))</f>
        <v/>
      </c>
      <c r="V20" s="329">
        <f>IF($A20="","",IF(AND($S20="Paid",$H20&lt;&gt;""),$H20,""))</f>
        <v/>
      </c>
      <c r="W20" s="325">
        <f>IF($A20="","",IF(OR(COUNTIF($A$9:$A$108,$A20)&gt;1,$B20="",$C20="",$D20="",$E20="",$F20="",$J20="",$K20="",$L20&lt;=0,$G20&lt;0,$G20&gt;$L20,AND($S20="Paid",$H20="")),"REVIEW","OK"))</f>
        <v/>
      </c>
      <c r="X20" s="330">
        <f>IF($A20="","",LOWER($A20&amp;" "&amp;$C20&amp;" "&amp;$D20&amp;" "&amp;$S20&amp;" "&amp;$J20&amp;" "&amp;$K20&amp;" "&amp;$I20))</f>
        <v/>
      </c>
    </row>
    <row r="21">
      <c r="A21" s="205" t="n"/>
      <c r="B21" s="331" t="n"/>
      <c r="C21" s="207" t="n"/>
      <c r="D21" s="207" t="n"/>
      <c r="E21" s="207" t="n"/>
      <c r="F21" s="207" t="n"/>
      <c r="G21" s="332" t="n"/>
      <c r="H21" s="331" t="n"/>
      <c r="I21" s="207" t="n"/>
      <c r="J21" s="325">
        <f>IF($A21="","",IFERROR(VLOOKUP($C21,Setup!$A$36:$D$50,2,FALSE),""))</f>
        <v/>
      </c>
      <c r="K21" s="325">
        <f>IF($A21="","",IFERROR(VLOOKUP($C21,Setup!$A$36:$D$50,3,FALSE),""))</f>
        <v/>
      </c>
      <c r="L21" s="326">
        <f>IF($A21="","",SUMIF(Depletion!$A$9:$A$208,$A21,Depletion!$E$9:$E$208))</f>
        <v/>
      </c>
      <c r="M21" s="327">
        <f>IF($A21="","",SUMIF(Depletion!$A$9:$A$208,$A21,Depletion!$C$9:$C$208))</f>
        <v/>
      </c>
      <c r="N21" s="326">
        <f>IF($A21="","",SUMIF(Depletion!$A$9:$A$208,$A21,Depletion!$I$9:$I$208))</f>
        <v/>
      </c>
      <c r="O21" s="326">
        <f>IF($A21="","",$L21-$N21)</f>
        <v/>
      </c>
      <c r="P21" s="328">
        <f>IF($A21="","",IFERROR($O21/$L21,0))</f>
        <v/>
      </c>
      <c r="Q21" s="326">
        <f>IF($A21="","",MAX($L21-$G21,0))</f>
        <v/>
      </c>
      <c r="R21" s="329">
        <f>IF($A21="","",IFERROR($B21+VLOOKUP($F21,Setup!$A$82:$B$88,2,FALSE),""))</f>
        <v/>
      </c>
      <c r="S21" s="325">
        <f>IF($A21="","",IF($L21=0,"Draft",IF($Q21&lt;=0,"Paid",IF($G21&gt;0,"Partial","Unpaid"))))</f>
        <v/>
      </c>
      <c r="T21" s="325">
        <f>IF($A21="","",IF($Q21&lt;=0,0,IF($R21="","",MAX(TODAY()-$R21,0))))</f>
        <v/>
      </c>
      <c r="U21" s="325">
        <f>IF($A21="","",IF($S21="Paid","Closed",IF($R21="","Review",IF(TODAY()&lt;=$R21,"Current",IF($T21&lt;=30,"1-30",IF($T21&lt;=60,"31-60",IF($T21&lt;=90,"61-90","90+")))))))</f>
        <v/>
      </c>
      <c r="V21" s="329">
        <f>IF($A21="","",IF(AND($S21="Paid",$H21&lt;&gt;""),$H21,""))</f>
        <v/>
      </c>
      <c r="W21" s="325">
        <f>IF($A21="","",IF(OR(COUNTIF($A$9:$A$108,$A21)&gt;1,$B21="",$C21="",$D21="",$E21="",$F21="",$J21="",$K21="",$L21&lt;=0,$G21&lt;0,$G21&gt;$L21,AND($S21="Paid",$H21="")),"REVIEW","OK"))</f>
        <v/>
      </c>
      <c r="X21" s="330">
        <f>IF($A21="","",LOWER($A21&amp;" "&amp;$C21&amp;" "&amp;$D21&amp;" "&amp;$S21&amp;" "&amp;$J21&amp;" "&amp;$K21&amp;" "&amp;$I21))</f>
        <v/>
      </c>
    </row>
    <row r="22">
      <c r="A22" s="205" t="n"/>
      <c r="B22" s="331" t="n"/>
      <c r="C22" s="207" t="n"/>
      <c r="D22" s="207" t="n"/>
      <c r="E22" s="207" t="n"/>
      <c r="F22" s="207" t="n"/>
      <c r="G22" s="332" t="n"/>
      <c r="H22" s="331" t="n"/>
      <c r="I22" s="207" t="n"/>
      <c r="J22" s="325">
        <f>IF($A22="","",IFERROR(VLOOKUP($C22,Setup!$A$36:$D$50,2,FALSE),""))</f>
        <v/>
      </c>
      <c r="K22" s="325">
        <f>IF($A22="","",IFERROR(VLOOKUP($C22,Setup!$A$36:$D$50,3,FALSE),""))</f>
        <v/>
      </c>
      <c r="L22" s="326">
        <f>IF($A22="","",SUMIF(Depletion!$A$9:$A$208,$A22,Depletion!$E$9:$E$208))</f>
        <v/>
      </c>
      <c r="M22" s="327">
        <f>IF($A22="","",SUMIF(Depletion!$A$9:$A$208,$A22,Depletion!$C$9:$C$208))</f>
        <v/>
      </c>
      <c r="N22" s="326">
        <f>IF($A22="","",SUMIF(Depletion!$A$9:$A$208,$A22,Depletion!$I$9:$I$208))</f>
        <v/>
      </c>
      <c r="O22" s="326">
        <f>IF($A22="","",$L22-$N22)</f>
        <v/>
      </c>
      <c r="P22" s="328">
        <f>IF($A22="","",IFERROR($O22/$L22,0))</f>
        <v/>
      </c>
      <c r="Q22" s="326">
        <f>IF($A22="","",MAX($L22-$G22,0))</f>
        <v/>
      </c>
      <c r="R22" s="329">
        <f>IF($A22="","",IFERROR($B22+VLOOKUP($F22,Setup!$A$82:$B$88,2,FALSE),""))</f>
        <v/>
      </c>
      <c r="S22" s="325">
        <f>IF($A22="","",IF($L22=0,"Draft",IF($Q22&lt;=0,"Paid",IF($G22&gt;0,"Partial","Unpaid"))))</f>
        <v/>
      </c>
      <c r="T22" s="325">
        <f>IF($A22="","",IF($Q22&lt;=0,0,IF($R22="","",MAX(TODAY()-$R22,0))))</f>
        <v/>
      </c>
      <c r="U22" s="325">
        <f>IF($A22="","",IF($S22="Paid","Closed",IF($R22="","Review",IF(TODAY()&lt;=$R22,"Current",IF($T22&lt;=30,"1-30",IF($T22&lt;=60,"31-60",IF($T22&lt;=90,"61-90","90+")))))))</f>
        <v/>
      </c>
      <c r="V22" s="329">
        <f>IF($A22="","",IF(AND($S22="Paid",$H22&lt;&gt;""),$H22,""))</f>
        <v/>
      </c>
      <c r="W22" s="325">
        <f>IF($A22="","",IF(OR(COUNTIF($A$9:$A$108,$A22)&gt;1,$B22="",$C22="",$D22="",$E22="",$F22="",$J22="",$K22="",$L22&lt;=0,$G22&lt;0,$G22&gt;$L22,AND($S22="Paid",$H22="")),"REVIEW","OK"))</f>
        <v/>
      </c>
      <c r="X22" s="330">
        <f>IF($A22="","",LOWER($A22&amp;" "&amp;$C22&amp;" "&amp;$D22&amp;" "&amp;$S22&amp;" "&amp;$J22&amp;" "&amp;$K22&amp;" "&amp;$I22))</f>
        <v/>
      </c>
    </row>
    <row r="23">
      <c r="A23" s="205" t="n"/>
      <c r="B23" s="331" t="n"/>
      <c r="C23" s="207" t="n"/>
      <c r="D23" s="207" t="n"/>
      <c r="E23" s="207" t="n"/>
      <c r="F23" s="207" t="n"/>
      <c r="G23" s="332" t="n"/>
      <c r="H23" s="331" t="n"/>
      <c r="I23" s="207" t="n"/>
      <c r="J23" s="325">
        <f>IF($A23="","",IFERROR(VLOOKUP($C23,Setup!$A$36:$D$50,2,FALSE),""))</f>
        <v/>
      </c>
      <c r="K23" s="325">
        <f>IF($A23="","",IFERROR(VLOOKUP($C23,Setup!$A$36:$D$50,3,FALSE),""))</f>
        <v/>
      </c>
      <c r="L23" s="326">
        <f>IF($A23="","",SUMIF(Depletion!$A$9:$A$208,$A23,Depletion!$E$9:$E$208))</f>
        <v/>
      </c>
      <c r="M23" s="327">
        <f>IF($A23="","",SUMIF(Depletion!$A$9:$A$208,$A23,Depletion!$C$9:$C$208))</f>
        <v/>
      </c>
      <c r="N23" s="326">
        <f>IF($A23="","",SUMIF(Depletion!$A$9:$A$208,$A23,Depletion!$I$9:$I$208))</f>
        <v/>
      </c>
      <c r="O23" s="326">
        <f>IF($A23="","",$L23-$N23)</f>
        <v/>
      </c>
      <c r="P23" s="328">
        <f>IF($A23="","",IFERROR($O23/$L23,0))</f>
        <v/>
      </c>
      <c r="Q23" s="326">
        <f>IF($A23="","",MAX($L23-$G23,0))</f>
        <v/>
      </c>
      <c r="R23" s="329">
        <f>IF($A23="","",IFERROR($B23+VLOOKUP($F23,Setup!$A$82:$B$88,2,FALSE),""))</f>
        <v/>
      </c>
      <c r="S23" s="325">
        <f>IF($A23="","",IF($L23=0,"Draft",IF($Q23&lt;=0,"Paid",IF($G23&gt;0,"Partial","Unpaid"))))</f>
        <v/>
      </c>
      <c r="T23" s="325">
        <f>IF($A23="","",IF($Q23&lt;=0,0,IF($R23="","",MAX(TODAY()-$R23,0))))</f>
        <v/>
      </c>
      <c r="U23" s="325">
        <f>IF($A23="","",IF($S23="Paid","Closed",IF($R23="","Review",IF(TODAY()&lt;=$R23,"Current",IF($T23&lt;=30,"1-30",IF($T23&lt;=60,"31-60",IF($T23&lt;=90,"61-90","90+")))))))</f>
        <v/>
      </c>
      <c r="V23" s="329">
        <f>IF($A23="","",IF(AND($S23="Paid",$H23&lt;&gt;""),$H23,""))</f>
        <v/>
      </c>
      <c r="W23" s="325">
        <f>IF($A23="","",IF(OR(COUNTIF($A$9:$A$108,$A23)&gt;1,$B23="",$C23="",$D23="",$E23="",$F23="",$J23="",$K23="",$L23&lt;=0,$G23&lt;0,$G23&gt;$L23,AND($S23="Paid",$H23="")),"REVIEW","OK"))</f>
        <v/>
      </c>
      <c r="X23" s="330">
        <f>IF($A23="","",LOWER($A23&amp;" "&amp;$C23&amp;" "&amp;$D23&amp;" "&amp;$S23&amp;" "&amp;$J23&amp;" "&amp;$K23&amp;" "&amp;$I23))</f>
        <v/>
      </c>
    </row>
    <row r="24">
      <c r="A24" s="205" t="n"/>
      <c r="B24" s="331" t="n"/>
      <c r="C24" s="207" t="n"/>
      <c r="D24" s="207" t="n"/>
      <c r="E24" s="207" t="n"/>
      <c r="F24" s="207" t="n"/>
      <c r="G24" s="332" t="n"/>
      <c r="H24" s="331" t="n"/>
      <c r="I24" s="207" t="n"/>
      <c r="J24" s="325">
        <f>IF($A24="","",IFERROR(VLOOKUP($C24,Setup!$A$36:$D$50,2,FALSE),""))</f>
        <v/>
      </c>
      <c r="K24" s="325">
        <f>IF($A24="","",IFERROR(VLOOKUP($C24,Setup!$A$36:$D$50,3,FALSE),""))</f>
        <v/>
      </c>
      <c r="L24" s="326">
        <f>IF($A24="","",SUMIF(Depletion!$A$9:$A$208,$A24,Depletion!$E$9:$E$208))</f>
        <v/>
      </c>
      <c r="M24" s="327">
        <f>IF($A24="","",SUMIF(Depletion!$A$9:$A$208,$A24,Depletion!$C$9:$C$208))</f>
        <v/>
      </c>
      <c r="N24" s="326">
        <f>IF($A24="","",SUMIF(Depletion!$A$9:$A$208,$A24,Depletion!$I$9:$I$208))</f>
        <v/>
      </c>
      <c r="O24" s="326">
        <f>IF($A24="","",$L24-$N24)</f>
        <v/>
      </c>
      <c r="P24" s="328">
        <f>IF($A24="","",IFERROR($O24/$L24,0))</f>
        <v/>
      </c>
      <c r="Q24" s="326">
        <f>IF($A24="","",MAX($L24-$G24,0))</f>
        <v/>
      </c>
      <c r="R24" s="329">
        <f>IF($A24="","",IFERROR($B24+VLOOKUP($F24,Setup!$A$82:$B$88,2,FALSE),""))</f>
        <v/>
      </c>
      <c r="S24" s="325">
        <f>IF($A24="","",IF($L24=0,"Draft",IF($Q24&lt;=0,"Paid",IF($G24&gt;0,"Partial","Unpaid"))))</f>
        <v/>
      </c>
      <c r="T24" s="325">
        <f>IF($A24="","",IF($Q24&lt;=0,0,IF($R24="","",MAX(TODAY()-$R24,0))))</f>
        <v/>
      </c>
      <c r="U24" s="325">
        <f>IF($A24="","",IF($S24="Paid","Closed",IF($R24="","Review",IF(TODAY()&lt;=$R24,"Current",IF($T24&lt;=30,"1-30",IF($T24&lt;=60,"31-60",IF($T24&lt;=90,"61-90","90+")))))))</f>
        <v/>
      </c>
      <c r="V24" s="329">
        <f>IF($A24="","",IF(AND($S24="Paid",$H24&lt;&gt;""),$H24,""))</f>
        <v/>
      </c>
      <c r="W24" s="325">
        <f>IF($A24="","",IF(OR(COUNTIF($A$9:$A$108,$A24)&gt;1,$B24="",$C24="",$D24="",$E24="",$F24="",$J24="",$K24="",$L24&lt;=0,$G24&lt;0,$G24&gt;$L24,AND($S24="Paid",$H24="")),"REVIEW","OK"))</f>
        <v/>
      </c>
      <c r="X24" s="330">
        <f>IF($A24="","",LOWER($A24&amp;" "&amp;$C24&amp;" "&amp;$D24&amp;" "&amp;$S24&amp;" "&amp;$J24&amp;" "&amp;$K24&amp;" "&amp;$I24))</f>
        <v/>
      </c>
    </row>
    <row r="25">
      <c r="A25" s="205" t="n"/>
      <c r="B25" s="331" t="n"/>
      <c r="C25" s="207" t="n"/>
      <c r="D25" s="207" t="n"/>
      <c r="E25" s="207" t="n"/>
      <c r="F25" s="207" t="n"/>
      <c r="G25" s="332" t="n"/>
      <c r="H25" s="331" t="n"/>
      <c r="I25" s="207" t="n"/>
      <c r="J25" s="325">
        <f>IF($A25="","",IFERROR(VLOOKUP($C25,Setup!$A$36:$D$50,2,FALSE),""))</f>
        <v/>
      </c>
      <c r="K25" s="325">
        <f>IF($A25="","",IFERROR(VLOOKUP($C25,Setup!$A$36:$D$50,3,FALSE),""))</f>
        <v/>
      </c>
      <c r="L25" s="326">
        <f>IF($A25="","",SUMIF(Depletion!$A$9:$A$208,$A25,Depletion!$E$9:$E$208))</f>
        <v/>
      </c>
      <c r="M25" s="327">
        <f>IF($A25="","",SUMIF(Depletion!$A$9:$A$208,$A25,Depletion!$C$9:$C$208))</f>
        <v/>
      </c>
      <c r="N25" s="326">
        <f>IF($A25="","",SUMIF(Depletion!$A$9:$A$208,$A25,Depletion!$I$9:$I$208))</f>
        <v/>
      </c>
      <c r="O25" s="326">
        <f>IF($A25="","",$L25-$N25)</f>
        <v/>
      </c>
      <c r="P25" s="328">
        <f>IF($A25="","",IFERROR($O25/$L25,0))</f>
        <v/>
      </c>
      <c r="Q25" s="326">
        <f>IF($A25="","",MAX($L25-$G25,0))</f>
        <v/>
      </c>
      <c r="R25" s="329">
        <f>IF($A25="","",IFERROR($B25+VLOOKUP($F25,Setup!$A$82:$B$88,2,FALSE),""))</f>
        <v/>
      </c>
      <c r="S25" s="325">
        <f>IF($A25="","",IF($L25=0,"Draft",IF($Q25&lt;=0,"Paid",IF($G25&gt;0,"Partial","Unpaid"))))</f>
        <v/>
      </c>
      <c r="T25" s="325">
        <f>IF($A25="","",IF($Q25&lt;=0,0,IF($R25="","",MAX(TODAY()-$R25,0))))</f>
        <v/>
      </c>
      <c r="U25" s="325">
        <f>IF($A25="","",IF($S25="Paid","Closed",IF($R25="","Review",IF(TODAY()&lt;=$R25,"Current",IF($T25&lt;=30,"1-30",IF($T25&lt;=60,"31-60",IF($T25&lt;=90,"61-90","90+")))))))</f>
        <v/>
      </c>
      <c r="V25" s="329">
        <f>IF($A25="","",IF(AND($S25="Paid",$H25&lt;&gt;""),$H25,""))</f>
        <v/>
      </c>
      <c r="W25" s="325">
        <f>IF($A25="","",IF(OR(COUNTIF($A$9:$A$108,$A25)&gt;1,$B25="",$C25="",$D25="",$E25="",$F25="",$J25="",$K25="",$L25&lt;=0,$G25&lt;0,$G25&gt;$L25,AND($S25="Paid",$H25="")),"REVIEW","OK"))</f>
        <v/>
      </c>
      <c r="X25" s="330">
        <f>IF($A25="","",LOWER($A25&amp;" "&amp;$C25&amp;" "&amp;$D25&amp;" "&amp;$S25&amp;" "&amp;$J25&amp;" "&amp;$K25&amp;" "&amp;$I25))</f>
        <v/>
      </c>
    </row>
    <row r="26">
      <c r="A26" s="205" t="n"/>
      <c r="B26" s="331" t="n"/>
      <c r="C26" s="207" t="n"/>
      <c r="D26" s="207" t="n"/>
      <c r="E26" s="207" t="n"/>
      <c r="F26" s="207" t="n"/>
      <c r="G26" s="332" t="n"/>
      <c r="H26" s="331" t="n"/>
      <c r="I26" s="207" t="n"/>
      <c r="J26" s="325">
        <f>IF($A26="","",IFERROR(VLOOKUP($C26,Setup!$A$36:$D$50,2,FALSE),""))</f>
        <v/>
      </c>
      <c r="K26" s="325">
        <f>IF($A26="","",IFERROR(VLOOKUP($C26,Setup!$A$36:$D$50,3,FALSE),""))</f>
        <v/>
      </c>
      <c r="L26" s="326">
        <f>IF($A26="","",SUMIF(Depletion!$A$9:$A$208,$A26,Depletion!$E$9:$E$208))</f>
        <v/>
      </c>
      <c r="M26" s="327">
        <f>IF($A26="","",SUMIF(Depletion!$A$9:$A$208,$A26,Depletion!$C$9:$C$208))</f>
        <v/>
      </c>
      <c r="N26" s="326">
        <f>IF($A26="","",SUMIF(Depletion!$A$9:$A$208,$A26,Depletion!$I$9:$I$208))</f>
        <v/>
      </c>
      <c r="O26" s="326">
        <f>IF($A26="","",$L26-$N26)</f>
        <v/>
      </c>
      <c r="P26" s="328">
        <f>IF($A26="","",IFERROR($O26/$L26,0))</f>
        <v/>
      </c>
      <c r="Q26" s="326">
        <f>IF($A26="","",MAX($L26-$G26,0))</f>
        <v/>
      </c>
      <c r="R26" s="329">
        <f>IF($A26="","",IFERROR($B26+VLOOKUP($F26,Setup!$A$82:$B$88,2,FALSE),""))</f>
        <v/>
      </c>
      <c r="S26" s="325">
        <f>IF($A26="","",IF($L26=0,"Draft",IF($Q26&lt;=0,"Paid",IF($G26&gt;0,"Partial","Unpaid"))))</f>
        <v/>
      </c>
      <c r="T26" s="325">
        <f>IF($A26="","",IF($Q26&lt;=0,0,IF($R26="","",MAX(TODAY()-$R26,0))))</f>
        <v/>
      </c>
      <c r="U26" s="325">
        <f>IF($A26="","",IF($S26="Paid","Closed",IF($R26="","Review",IF(TODAY()&lt;=$R26,"Current",IF($T26&lt;=30,"1-30",IF($T26&lt;=60,"31-60",IF($T26&lt;=90,"61-90","90+")))))))</f>
        <v/>
      </c>
      <c r="V26" s="329">
        <f>IF($A26="","",IF(AND($S26="Paid",$H26&lt;&gt;""),$H26,""))</f>
        <v/>
      </c>
      <c r="W26" s="325">
        <f>IF($A26="","",IF(OR(COUNTIF($A$9:$A$108,$A26)&gt;1,$B26="",$C26="",$D26="",$E26="",$F26="",$J26="",$K26="",$L26&lt;=0,$G26&lt;0,$G26&gt;$L26,AND($S26="Paid",$H26="")),"REVIEW","OK"))</f>
        <v/>
      </c>
      <c r="X26" s="330">
        <f>IF($A26="","",LOWER($A26&amp;" "&amp;$C26&amp;" "&amp;$D26&amp;" "&amp;$S26&amp;" "&amp;$J26&amp;" "&amp;$K26&amp;" "&amp;$I26))</f>
        <v/>
      </c>
    </row>
    <row r="27">
      <c r="A27" s="205" t="n"/>
      <c r="B27" s="331" t="n"/>
      <c r="C27" s="207" t="n"/>
      <c r="D27" s="207" t="n"/>
      <c r="E27" s="207" t="n"/>
      <c r="F27" s="207" t="n"/>
      <c r="G27" s="332" t="n"/>
      <c r="H27" s="331" t="n"/>
      <c r="I27" s="207" t="n"/>
      <c r="J27" s="325">
        <f>IF($A27="","",IFERROR(VLOOKUP($C27,Setup!$A$36:$D$50,2,FALSE),""))</f>
        <v/>
      </c>
      <c r="K27" s="325">
        <f>IF($A27="","",IFERROR(VLOOKUP($C27,Setup!$A$36:$D$50,3,FALSE),""))</f>
        <v/>
      </c>
      <c r="L27" s="326">
        <f>IF($A27="","",SUMIF(Depletion!$A$9:$A$208,$A27,Depletion!$E$9:$E$208))</f>
        <v/>
      </c>
      <c r="M27" s="327">
        <f>IF($A27="","",SUMIF(Depletion!$A$9:$A$208,$A27,Depletion!$C$9:$C$208))</f>
        <v/>
      </c>
      <c r="N27" s="326">
        <f>IF($A27="","",SUMIF(Depletion!$A$9:$A$208,$A27,Depletion!$I$9:$I$208))</f>
        <v/>
      </c>
      <c r="O27" s="326">
        <f>IF($A27="","",$L27-$N27)</f>
        <v/>
      </c>
      <c r="P27" s="328">
        <f>IF($A27="","",IFERROR($O27/$L27,0))</f>
        <v/>
      </c>
      <c r="Q27" s="326">
        <f>IF($A27="","",MAX($L27-$G27,0))</f>
        <v/>
      </c>
      <c r="R27" s="329">
        <f>IF($A27="","",IFERROR($B27+VLOOKUP($F27,Setup!$A$82:$B$88,2,FALSE),""))</f>
        <v/>
      </c>
      <c r="S27" s="325">
        <f>IF($A27="","",IF($L27=0,"Draft",IF($Q27&lt;=0,"Paid",IF($G27&gt;0,"Partial","Unpaid"))))</f>
        <v/>
      </c>
      <c r="T27" s="325">
        <f>IF($A27="","",IF($Q27&lt;=0,0,IF($R27="","",MAX(TODAY()-$R27,0))))</f>
        <v/>
      </c>
      <c r="U27" s="325">
        <f>IF($A27="","",IF($S27="Paid","Closed",IF($R27="","Review",IF(TODAY()&lt;=$R27,"Current",IF($T27&lt;=30,"1-30",IF($T27&lt;=60,"31-60",IF($T27&lt;=90,"61-90","90+")))))))</f>
        <v/>
      </c>
      <c r="V27" s="329">
        <f>IF($A27="","",IF(AND($S27="Paid",$H27&lt;&gt;""),$H27,""))</f>
        <v/>
      </c>
      <c r="W27" s="325">
        <f>IF($A27="","",IF(OR(COUNTIF($A$9:$A$108,$A27)&gt;1,$B27="",$C27="",$D27="",$E27="",$F27="",$J27="",$K27="",$L27&lt;=0,$G27&lt;0,$G27&gt;$L27,AND($S27="Paid",$H27="")),"REVIEW","OK"))</f>
        <v/>
      </c>
      <c r="X27" s="330">
        <f>IF($A27="","",LOWER($A27&amp;" "&amp;$C27&amp;" "&amp;$D27&amp;" "&amp;$S27&amp;" "&amp;$J27&amp;" "&amp;$K27&amp;" "&amp;$I27))</f>
        <v/>
      </c>
    </row>
    <row r="28">
      <c r="A28" s="205" t="n"/>
      <c r="B28" s="331" t="n"/>
      <c r="C28" s="207" t="n"/>
      <c r="D28" s="207" t="n"/>
      <c r="E28" s="207" t="n"/>
      <c r="F28" s="207" t="n"/>
      <c r="G28" s="332" t="n"/>
      <c r="H28" s="331" t="n"/>
      <c r="I28" s="207" t="n"/>
      <c r="J28" s="325">
        <f>IF($A28="","",IFERROR(VLOOKUP($C28,Setup!$A$36:$D$50,2,FALSE),""))</f>
        <v/>
      </c>
      <c r="K28" s="325">
        <f>IF($A28="","",IFERROR(VLOOKUP($C28,Setup!$A$36:$D$50,3,FALSE),""))</f>
        <v/>
      </c>
      <c r="L28" s="326">
        <f>IF($A28="","",SUMIF(Depletion!$A$9:$A$208,$A28,Depletion!$E$9:$E$208))</f>
        <v/>
      </c>
      <c r="M28" s="327">
        <f>IF($A28="","",SUMIF(Depletion!$A$9:$A$208,$A28,Depletion!$C$9:$C$208))</f>
        <v/>
      </c>
      <c r="N28" s="326">
        <f>IF($A28="","",SUMIF(Depletion!$A$9:$A$208,$A28,Depletion!$I$9:$I$208))</f>
        <v/>
      </c>
      <c r="O28" s="326">
        <f>IF($A28="","",$L28-$N28)</f>
        <v/>
      </c>
      <c r="P28" s="328">
        <f>IF($A28="","",IFERROR($O28/$L28,0))</f>
        <v/>
      </c>
      <c r="Q28" s="326">
        <f>IF($A28="","",MAX($L28-$G28,0))</f>
        <v/>
      </c>
      <c r="R28" s="329">
        <f>IF($A28="","",IFERROR($B28+VLOOKUP($F28,Setup!$A$82:$B$88,2,FALSE),""))</f>
        <v/>
      </c>
      <c r="S28" s="325">
        <f>IF($A28="","",IF($L28=0,"Draft",IF($Q28&lt;=0,"Paid",IF($G28&gt;0,"Partial","Unpaid"))))</f>
        <v/>
      </c>
      <c r="T28" s="325">
        <f>IF($A28="","",IF($Q28&lt;=0,0,IF($R28="","",MAX(TODAY()-$R28,0))))</f>
        <v/>
      </c>
      <c r="U28" s="325">
        <f>IF($A28="","",IF($S28="Paid","Closed",IF($R28="","Review",IF(TODAY()&lt;=$R28,"Current",IF($T28&lt;=30,"1-30",IF($T28&lt;=60,"31-60",IF($T28&lt;=90,"61-90","90+")))))))</f>
        <v/>
      </c>
      <c r="V28" s="329">
        <f>IF($A28="","",IF(AND($S28="Paid",$H28&lt;&gt;""),$H28,""))</f>
        <v/>
      </c>
      <c r="W28" s="325">
        <f>IF($A28="","",IF(OR(COUNTIF($A$9:$A$108,$A28)&gt;1,$B28="",$C28="",$D28="",$E28="",$F28="",$J28="",$K28="",$L28&lt;=0,$G28&lt;0,$G28&gt;$L28,AND($S28="Paid",$H28="")),"REVIEW","OK"))</f>
        <v/>
      </c>
      <c r="X28" s="330">
        <f>IF($A28="","",LOWER($A28&amp;" "&amp;$C28&amp;" "&amp;$D28&amp;" "&amp;$S28&amp;" "&amp;$J28&amp;" "&amp;$K28&amp;" "&amp;$I28))</f>
        <v/>
      </c>
    </row>
    <row r="29">
      <c r="A29" s="205" t="n"/>
      <c r="B29" s="331" t="n"/>
      <c r="C29" s="207" t="n"/>
      <c r="D29" s="207" t="n"/>
      <c r="E29" s="207" t="n"/>
      <c r="F29" s="207" t="n"/>
      <c r="G29" s="332" t="n"/>
      <c r="H29" s="331" t="n"/>
      <c r="I29" s="207" t="n"/>
      <c r="J29" s="325">
        <f>IF($A29="","",IFERROR(VLOOKUP($C29,Setup!$A$36:$D$50,2,FALSE),""))</f>
        <v/>
      </c>
      <c r="K29" s="325">
        <f>IF($A29="","",IFERROR(VLOOKUP($C29,Setup!$A$36:$D$50,3,FALSE),""))</f>
        <v/>
      </c>
      <c r="L29" s="326">
        <f>IF($A29="","",SUMIF(Depletion!$A$9:$A$208,$A29,Depletion!$E$9:$E$208))</f>
        <v/>
      </c>
      <c r="M29" s="327">
        <f>IF($A29="","",SUMIF(Depletion!$A$9:$A$208,$A29,Depletion!$C$9:$C$208))</f>
        <v/>
      </c>
      <c r="N29" s="326">
        <f>IF($A29="","",SUMIF(Depletion!$A$9:$A$208,$A29,Depletion!$I$9:$I$208))</f>
        <v/>
      </c>
      <c r="O29" s="326">
        <f>IF($A29="","",$L29-$N29)</f>
        <v/>
      </c>
      <c r="P29" s="328">
        <f>IF($A29="","",IFERROR($O29/$L29,0))</f>
        <v/>
      </c>
      <c r="Q29" s="326">
        <f>IF($A29="","",MAX($L29-$G29,0))</f>
        <v/>
      </c>
      <c r="R29" s="329">
        <f>IF($A29="","",IFERROR($B29+VLOOKUP($F29,Setup!$A$82:$B$88,2,FALSE),""))</f>
        <v/>
      </c>
      <c r="S29" s="325">
        <f>IF($A29="","",IF($L29=0,"Draft",IF($Q29&lt;=0,"Paid",IF($G29&gt;0,"Partial","Unpaid"))))</f>
        <v/>
      </c>
      <c r="T29" s="325">
        <f>IF($A29="","",IF($Q29&lt;=0,0,IF($R29="","",MAX(TODAY()-$R29,0))))</f>
        <v/>
      </c>
      <c r="U29" s="325">
        <f>IF($A29="","",IF($S29="Paid","Closed",IF($R29="","Review",IF(TODAY()&lt;=$R29,"Current",IF($T29&lt;=30,"1-30",IF($T29&lt;=60,"31-60",IF($T29&lt;=90,"61-90","90+")))))))</f>
        <v/>
      </c>
      <c r="V29" s="329">
        <f>IF($A29="","",IF(AND($S29="Paid",$H29&lt;&gt;""),$H29,""))</f>
        <v/>
      </c>
      <c r="W29" s="325">
        <f>IF($A29="","",IF(OR(COUNTIF($A$9:$A$108,$A29)&gt;1,$B29="",$C29="",$D29="",$E29="",$F29="",$J29="",$K29="",$L29&lt;=0,$G29&lt;0,$G29&gt;$L29,AND($S29="Paid",$H29="")),"REVIEW","OK"))</f>
        <v/>
      </c>
      <c r="X29" s="330">
        <f>IF($A29="","",LOWER($A29&amp;" "&amp;$C29&amp;" "&amp;$D29&amp;" "&amp;$S29&amp;" "&amp;$J29&amp;" "&amp;$K29&amp;" "&amp;$I29))</f>
        <v/>
      </c>
    </row>
    <row r="30">
      <c r="A30" s="205" t="n"/>
      <c r="B30" s="331" t="n"/>
      <c r="C30" s="207" t="n"/>
      <c r="D30" s="207" t="n"/>
      <c r="E30" s="207" t="n"/>
      <c r="F30" s="207" t="n"/>
      <c r="G30" s="332" t="n"/>
      <c r="H30" s="331" t="n"/>
      <c r="I30" s="207" t="n"/>
      <c r="J30" s="325">
        <f>IF($A30="","",IFERROR(VLOOKUP($C30,Setup!$A$36:$D$50,2,FALSE),""))</f>
        <v/>
      </c>
      <c r="K30" s="325">
        <f>IF($A30="","",IFERROR(VLOOKUP($C30,Setup!$A$36:$D$50,3,FALSE),""))</f>
        <v/>
      </c>
      <c r="L30" s="326">
        <f>IF($A30="","",SUMIF(Depletion!$A$9:$A$208,$A30,Depletion!$E$9:$E$208))</f>
        <v/>
      </c>
      <c r="M30" s="327">
        <f>IF($A30="","",SUMIF(Depletion!$A$9:$A$208,$A30,Depletion!$C$9:$C$208))</f>
        <v/>
      </c>
      <c r="N30" s="326">
        <f>IF($A30="","",SUMIF(Depletion!$A$9:$A$208,$A30,Depletion!$I$9:$I$208))</f>
        <v/>
      </c>
      <c r="O30" s="326">
        <f>IF($A30="","",$L30-$N30)</f>
        <v/>
      </c>
      <c r="P30" s="328">
        <f>IF($A30="","",IFERROR($O30/$L30,0))</f>
        <v/>
      </c>
      <c r="Q30" s="326">
        <f>IF($A30="","",MAX($L30-$G30,0))</f>
        <v/>
      </c>
      <c r="R30" s="329">
        <f>IF($A30="","",IFERROR($B30+VLOOKUP($F30,Setup!$A$82:$B$88,2,FALSE),""))</f>
        <v/>
      </c>
      <c r="S30" s="325">
        <f>IF($A30="","",IF($L30=0,"Draft",IF($Q30&lt;=0,"Paid",IF($G30&gt;0,"Partial","Unpaid"))))</f>
        <v/>
      </c>
      <c r="T30" s="325">
        <f>IF($A30="","",IF($Q30&lt;=0,0,IF($R30="","",MAX(TODAY()-$R30,0))))</f>
        <v/>
      </c>
      <c r="U30" s="325">
        <f>IF($A30="","",IF($S30="Paid","Closed",IF($R30="","Review",IF(TODAY()&lt;=$R30,"Current",IF($T30&lt;=30,"1-30",IF($T30&lt;=60,"31-60",IF($T30&lt;=90,"61-90","90+")))))))</f>
        <v/>
      </c>
      <c r="V30" s="329">
        <f>IF($A30="","",IF(AND($S30="Paid",$H30&lt;&gt;""),$H30,""))</f>
        <v/>
      </c>
      <c r="W30" s="325">
        <f>IF($A30="","",IF(OR(COUNTIF($A$9:$A$108,$A30)&gt;1,$B30="",$C30="",$D30="",$E30="",$F30="",$J30="",$K30="",$L30&lt;=0,$G30&lt;0,$G30&gt;$L30,AND($S30="Paid",$H30="")),"REVIEW","OK"))</f>
        <v/>
      </c>
      <c r="X30" s="330">
        <f>IF($A30="","",LOWER($A30&amp;" "&amp;$C30&amp;" "&amp;$D30&amp;" "&amp;$S30&amp;" "&amp;$J30&amp;" "&amp;$K30&amp;" "&amp;$I30))</f>
        <v/>
      </c>
    </row>
    <row r="31">
      <c r="A31" s="205" t="n"/>
      <c r="B31" s="331" t="n"/>
      <c r="C31" s="207" t="n"/>
      <c r="D31" s="207" t="n"/>
      <c r="E31" s="207" t="n"/>
      <c r="F31" s="207" t="n"/>
      <c r="G31" s="332" t="n"/>
      <c r="H31" s="331" t="n"/>
      <c r="I31" s="207" t="n"/>
      <c r="J31" s="325">
        <f>IF($A31="","",IFERROR(VLOOKUP($C31,Setup!$A$36:$D$50,2,FALSE),""))</f>
        <v/>
      </c>
      <c r="K31" s="325">
        <f>IF($A31="","",IFERROR(VLOOKUP($C31,Setup!$A$36:$D$50,3,FALSE),""))</f>
        <v/>
      </c>
      <c r="L31" s="326">
        <f>IF($A31="","",SUMIF(Depletion!$A$9:$A$208,$A31,Depletion!$E$9:$E$208))</f>
        <v/>
      </c>
      <c r="M31" s="327">
        <f>IF($A31="","",SUMIF(Depletion!$A$9:$A$208,$A31,Depletion!$C$9:$C$208))</f>
        <v/>
      </c>
      <c r="N31" s="326">
        <f>IF($A31="","",SUMIF(Depletion!$A$9:$A$208,$A31,Depletion!$I$9:$I$208))</f>
        <v/>
      </c>
      <c r="O31" s="326">
        <f>IF($A31="","",$L31-$N31)</f>
        <v/>
      </c>
      <c r="P31" s="328">
        <f>IF($A31="","",IFERROR($O31/$L31,0))</f>
        <v/>
      </c>
      <c r="Q31" s="326">
        <f>IF($A31="","",MAX($L31-$G31,0))</f>
        <v/>
      </c>
      <c r="R31" s="329">
        <f>IF($A31="","",IFERROR($B31+VLOOKUP($F31,Setup!$A$82:$B$88,2,FALSE),""))</f>
        <v/>
      </c>
      <c r="S31" s="325">
        <f>IF($A31="","",IF($L31=0,"Draft",IF($Q31&lt;=0,"Paid",IF($G31&gt;0,"Partial","Unpaid"))))</f>
        <v/>
      </c>
      <c r="T31" s="325">
        <f>IF($A31="","",IF($Q31&lt;=0,0,IF($R31="","",MAX(TODAY()-$R31,0))))</f>
        <v/>
      </c>
      <c r="U31" s="325">
        <f>IF($A31="","",IF($S31="Paid","Closed",IF($R31="","Review",IF(TODAY()&lt;=$R31,"Current",IF($T31&lt;=30,"1-30",IF($T31&lt;=60,"31-60",IF($T31&lt;=90,"61-90","90+")))))))</f>
        <v/>
      </c>
      <c r="V31" s="329">
        <f>IF($A31="","",IF(AND($S31="Paid",$H31&lt;&gt;""),$H31,""))</f>
        <v/>
      </c>
      <c r="W31" s="325">
        <f>IF($A31="","",IF(OR(COUNTIF($A$9:$A$108,$A31)&gt;1,$B31="",$C31="",$D31="",$E31="",$F31="",$J31="",$K31="",$L31&lt;=0,$G31&lt;0,$G31&gt;$L31,AND($S31="Paid",$H31="")),"REVIEW","OK"))</f>
        <v/>
      </c>
      <c r="X31" s="330">
        <f>IF($A31="","",LOWER($A31&amp;" "&amp;$C31&amp;" "&amp;$D31&amp;" "&amp;$S31&amp;" "&amp;$J31&amp;" "&amp;$K31&amp;" "&amp;$I31))</f>
        <v/>
      </c>
    </row>
    <row r="32">
      <c r="A32" s="205" t="n"/>
      <c r="B32" s="331" t="n"/>
      <c r="C32" s="207" t="n"/>
      <c r="D32" s="207" t="n"/>
      <c r="E32" s="207" t="n"/>
      <c r="F32" s="207" t="n"/>
      <c r="G32" s="332" t="n"/>
      <c r="H32" s="331" t="n"/>
      <c r="I32" s="207" t="n"/>
      <c r="J32" s="325">
        <f>IF($A32="","",IFERROR(VLOOKUP($C32,Setup!$A$36:$D$50,2,FALSE),""))</f>
        <v/>
      </c>
      <c r="K32" s="325">
        <f>IF($A32="","",IFERROR(VLOOKUP($C32,Setup!$A$36:$D$50,3,FALSE),""))</f>
        <v/>
      </c>
      <c r="L32" s="326">
        <f>IF($A32="","",SUMIF(Depletion!$A$9:$A$208,$A32,Depletion!$E$9:$E$208))</f>
        <v/>
      </c>
      <c r="M32" s="327">
        <f>IF($A32="","",SUMIF(Depletion!$A$9:$A$208,$A32,Depletion!$C$9:$C$208))</f>
        <v/>
      </c>
      <c r="N32" s="326">
        <f>IF($A32="","",SUMIF(Depletion!$A$9:$A$208,$A32,Depletion!$I$9:$I$208))</f>
        <v/>
      </c>
      <c r="O32" s="326">
        <f>IF($A32="","",$L32-$N32)</f>
        <v/>
      </c>
      <c r="P32" s="328">
        <f>IF($A32="","",IFERROR($O32/$L32,0))</f>
        <v/>
      </c>
      <c r="Q32" s="326">
        <f>IF($A32="","",MAX($L32-$G32,0))</f>
        <v/>
      </c>
      <c r="R32" s="329">
        <f>IF($A32="","",IFERROR($B32+VLOOKUP($F32,Setup!$A$82:$B$88,2,FALSE),""))</f>
        <v/>
      </c>
      <c r="S32" s="325">
        <f>IF($A32="","",IF($L32=0,"Draft",IF($Q32&lt;=0,"Paid",IF($G32&gt;0,"Partial","Unpaid"))))</f>
        <v/>
      </c>
      <c r="T32" s="325">
        <f>IF($A32="","",IF($Q32&lt;=0,0,IF($R32="","",MAX(TODAY()-$R32,0))))</f>
        <v/>
      </c>
      <c r="U32" s="325">
        <f>IF($A32="","",IF($S32="Paid","Closed",IF($R32="","Review",IF(TODAY()&lt;=$R32,"Current",IF($T32&lt;=30,"1-30",IF($T32&lt;=60,"31-60",IF($T32&lt;=90,"61-90","90+")))))))</f>
        <v/>
      </c>
      <c r="V32" s="329">
        <f>IF($A32="","",IF(AND($S32="Paid",$H32&lt;&gt;""),$H32,""))</f>
        <v/>
      </c>
      <c r="W32" s="325">
        <f>IF($A32="","",IF(OR(COUNTIF($A$9:$A$108,$A32)&gt;1,$B32="",$C32="",$D32="",$E32="",$F32="",$J32="",$K32="",$L32&lt;=0,$G32&lt;0,$G32&gt;$L32,AND($S32="Paid",$H32="")),"REVIEW","OK"))</f>
        <v/>
      </c>
      <c r="X32" s="330">
        <f>IF($A32="","",LOWER($A32&amp;" "&amp;$C32&amp;" "&amp;$D32&amp;" "&amp;$S32&amp;" "&amp;$J32&amp;" "&amp;$K32&amp;" "&amp;$I32))</f>
        <v/>
      </c>
    </row>
    <row r="33">
      <c r="A33" s="205" t="n"/>
      <c r="B33" s="331" t="n"/>
      <c r="C33" s="207" t="n"/>
      <c r="D33" s="207" t="n"/>
      <c r="E33" s="207" t="n"/>
      <c r="F33" s="207" t="n"/>
      <c r="G33" s="332" t="n"/>
      <c r="H33" s="331" t="n"/>
      <c r="I33" s="207" t="n"/>
      <c r="J33" s="325">
        <f>IF($A33="","",IFERROR(VLOOKUP($C33,Setup!$A$36:$D$50,2,FALSE),""))</f>
        <v/>
      </c>
      <c r="K33" s="325">
        <f>IF($A33="","",IFERROR(VLOOKUP($C33,Setup!$A$36:$D$50,3,FALSE),""))</f>
        <v/>
      </c>
      <c r="L33" s="326">
        <f>IF($A33="","",SUMIF(Depletion!$A$9:$A$208,$A33,Depletion!$E$9:$E$208))</f>
        <v/>
      </c>
      <c r="M33" s="327">
        <f>IF($A33="","",SUMIF(Depletion!$A$9:$A$208,$A33,Depletion!$C$9:$C$208))</f>
        <v/>
      </c>
      <c r="N33" s="326">
        <f>IF($A33="","",SUMIF(Depletion!$A$9:$A$208,$A33,Depletion!$I$9:$I$208))</f>
        <v/>
      </c>
      <c r="O33" s="326">
        <f>IF($A33="","",$L33-$N33)</f>
        <v/>
      </c>
      <c r="P33" s="328">
        <f>IF($A33="","",IFERROR($O33/$L33,0))</f>
        <v/>
      </c>
      <c r="Q33" s="326">
        <f>IF($A33="","",MAX($L33-$G33,0))</f>
        <v/>
      </c>
      <c r="R33" s="329">
        <f>IF($A33="","",IFERROR($B33+VLOOKUP($F33,Setup!$A$82:$B$88,2,FALSE),""))</f>
        <v/>
      </c>
      <c r="S33" s="325">
        <f>IF($A33="","",IF($L33=0,"Draft",IF($Q33&lt;=0,"Paid",IF($G33&gt;0,"Partial","Unpaid"))))</f>
        <v/>
      </c>
      <c r="T33" s="325">
        <f>IF($A33="","",IF($Q33&lt;=0,0,IF($R33="","",MAX(TODAY()-$R33,0))))</f>
        <v/>
      </c>
      <c r="U33" s="325">
        <f>IF($A33="","",IF($S33="Paid","Closed",IF($R33="","Review",IF(TODAY()&lt;=$R33,"Current",IF($T33&lt;=30,"1-30",IF($T33&lt;=60,"31-60",IF($T33&lt;=90,"61-90","90+")))))))</f>
        <v/>
      </c>
      <c r="V33" s="329">
        <f>IF($A33="","",IF(AND($S33="Paid",$H33&lt;&gt;""),$H33,""))</f>
        <v/>
      </c>
      <c r="W33" s="325">
        <f>IF($A33="","",IF(OR(COUNTIF($A$9:$A$108,$A33)&gt;1,$B33="",$C33="",$D33="",$E33="",$F33="",$J33="",$K33="",$L33&lt;=0,$G33&lt;0,$G33&gt;$L33,AND($S33="Paid",$H33="")),"REVIEW","OK"))</f>
        <v/>
      </c>
      <c r="X33" s="330">
        <f>IF($A33="","",LOWER($A33&amp;" "&amp;$C33&amp;" "&amp;$D33&amp;" "&amp;$S33&amp;" "&amp;$J33&amp;" "&amp;$K33&amp;" "&amp;$I33))</f>
        <v/>
      </c>
    </row>
    <row r="34">
      <c r="A34" s="205" t="n"/>
      <c r="B34" s="331" t="n"/>
      <c r="C34" s="207" t="n"/>
      <c r="D34" s="207" t="n"/>
      <c r="E34" s="207" t="n"/>
      <c r="F34" s="207" t="n"/>
      <c r="G34" s="332" t="n"/>
      <c r="H34" s="331" t="n"/>
      <c r="I34" s="207" t="n"/>
      <c r="J34" s="325">
        <f>IF($A34="","",IFERROR(VLOOKUP($C34,Setup!$A$36:$D$50,2,FALSE),""))</f>
        <v/>
      </c>
      <c r="K34" s="325">
        <f>IF($A34="","",IFERROR(VLOOKUP($C34,Setup!$A$36:$D$50,3,FALSE),""))</f>
        <v/>
      </c>
      <c r="L34" s="326">
        <f>IF($A34="","",SUMIF(Depletion!$A$9:$A$208,$A34,Depletion!$E$9:$E$208))</f>
        <v/>
      </c>
      <c r="M34" s="327">
        <f>IF($A34="","",SUMIF(Depletion!$A$9:$A$208,$A34,Depletion!$C$9:$C$208))</f>
        <v/>
      </c>
      <c r="N34" s="326">
        <f>IF($A34="","",SUMIF(Depletion!$A$9:$A$208,$A34,Depletion!$I$9:$I$208))</f>
        <v/>
      </c>
      <c r="O34" s="326">
        <f>IF($A34="","",$L34-$N34)</f>
        <v/>
      </c>
      <c r="P34" s="328">
        <f>IF($A34="","",IFERROR($O34/$L34,0))</f>
        <v/>
      </c>
      <c r="Q34" s="326">
        <f>IF($A34="","",MAX($L34-$G34,0))</f>
        <v/>
      </c>
      <c r="R34" s="329">
        <f>IF($A34="","",IFERROR($B34+VLOOKUP($F34,Setup!$A$82:$B$88,2,FALSE),""))</f>
        <v/>
      </c>
      <c r="S34" s="325">
        <f>IF($A34="","",IF($L34=0,"Draft",IF($Q34&lt;=0,"Paid",IF($G34&gt;0,"Partial","Unpaid"))))</f>
        <v/>
      </c>
      <c r="T34" s="325">
        <f>IF($A34="","",IF($Q34&lt;=0,0,IF($R34="","",MAX(TODAY()-$R34,0))))</f>
        <v/>
      </c>
      <c r="U34" s="325">
        <f>IF($A34="","",IF($S34="Paid","Closed",IF($R34="","Review",IF(TODAY()&lt;=$R34,"Current",IF($T34&lt;=30,"1-30",IF($T34&lt;=60,"31-60",IF($T34&lt;=90,"61-90","90+")))))))</f>
        <v/>
      </c>
      <c r="V34" s="329">
        <f>IF($A34="","",IF(AND($S34="Paid",$H34&lt;&gt;""),$H34,""))</f>
        <v/>
      </c>
      <c r="W34" s="325">
        <f>IF($A34="","",IF(OR(COUNTIF($A$9:$A$108,$A34)&gt;1,$B34="",$C34="",$D34="",$E34="",$F34="",$J34="",$K34="",$L34&lt;=0,$G34&lt;0,$G34&gt;$L34,AND($S34="Paid",$H34="")),"REVIEW","OK"))</f>
        <v/>
      </c>
      <c r="X34" s="330">
        <f>IF($A34="","",LOWER($A34&amp;" "&amp;$C34&amp;" "&amp;$D34&amp;" "&amp;$S34&amp;" "&amp;$J34&amp;" "&amp;$K34&amp;" "&amp;$I34))</f>
        <v/>
      </c>
    </row>
    <row r="35">
      <c r="A35" s="205" t="n"/>
      <c r="B35" s="331" t="n"/>
      <c r="C35" s="207" t="n"/>
      <c r="D35" s="207" t="n"/>
      <c r="E35" s="207" t="n"/>
      <c r="F35" s="207" t="n"/>
      <c r="G35" s="332" t="n"/>
      <c r="H35" s="331" t="n"/>
      <c r="I35" s="207" t="n"/>
      <c r="J35" s="325">
        <f>IF($A35="","",IFERROR(VLOOKUP($C35,Setup!$A$36:$D$50,2,FALSE),""))</f>
        <v/>
      </c>
      <c r="K35" s="325">
        <f>IF($A35="","",IFERROR(VLOOKUP($C35,Setup!$A$36:$D$50,3,FALSE),""))</f>
        <v/>
      </c>
      <c r="L35" s="326">
        <f>IF($A35="","",SUMIF(Depletion!$A$9:$A$208,$A35,Depletion!$E$9:$E$208))</f>
        <v/>
      </c>
      <c r="M35" s="327">
        <f>IF($A35="","",SUMIF(Depletion!$A$9:$A$208,$A35,Depletion!$C$9:$C$208))</f>
        <v/>
      </c>
      <c r="N35" s="326">
        <f>IF($A35="","",SUMIF(Depletion!$A$9:$A$208,$A35,Depletion!$I$9:$I$208))</f>
        <v/>
      </c>
      <c r="O35" s="326">
        <f>IF($A35="","",$L35-$N35)</f>
        <v/>
      </c>
      <c r="P35" s="328">
        <f>IF($A35="","",IFERROR($O35/$L35,0))</f>
        <v/>
      </c>
      <c r="Q35" s="326">
        <f>IF($A35="","",MAX($L35-$G35,0))</f>
        <v/>
      </c>
      <c r="R35" s="329">
        <f>IF($A35="","",IFERROR($B35+VLOOKUP($F35,Setup!$A$82:$B$88,2,FALSE),""))</f>
        <v/>
      </c>
      <c r="S35" s="325">
        <f>IF($A35="","",IF($L35=0,"Draft",IF($Q35&lt;=0,"Paid",IF($G35&gt;0,"Partial","Unpaid"))))</f>
        <v/>
      </c>
      <c r="T35" s="325">
        <f>IF($A35="","",IF($Q35&lt;=0,0,IF($R35="","",MAX(TODAY()-$R35,0))))</f>
        <v/>
      </c>
      <c r="U35" s="325">
        <f>IF($A35="","",IF($S35="Paid","Closed",IF($R35="","Review",IF(TODAY()&lt;=$R35,"Current",IF($T35&lt;=30,"1-30",IF($T35&lt;=60,"31-60",IF($T35&lt;=90,"61-90","90+")))))))</f>
        <v/>
      </c>
      <c r="V35" s="329">
        <f>IF($A35="","",IF(AND($S35="Paid",$H35&lt;&gt;""),$H35,""))</f>
        <v/>
      </c>
      <c r="W35" s="325">
        <f>IF($A35="","",IF(OR(COUNTIF($A$9:$A$108,$A35)&gt;1,$B35="",$C35="",$D35="",$E35="",$F35="",$J35="",$K35="",$L35&lt;=0,$G35&lt;0,$G35&gt;$L35,AND($S35="Paid",$H35="")),"REVIEW","OK"))</f>
        <v/>
      </c>
      <c r="X35" s="330">
        <f>IF($A35="","",LOWER($A35&amp;" "&amp;$C35&amp;" "&amp;$D35&amp;" "&amp;$S35&amp;" "&amp;$J35&amp;" "&amp;$K35&amp;" "&amp;$I35))</f>
        <v/>
      </c>
    </row>
    <row r="36">
      <c r="A36" s="205" t="n"/>
      <c r="B36" s="331" t="n"/>
      <c r="C36" s="207" t="n"/>
      <c r="D36" s="207" t="n"/>
      <c r="E36" s="207" t="n"/>
      <c r="F36" s="207" t="n"/>
      <c r="G36" s="332" t="n"/>
      <c r="H36" s="331" t="n"/>
      <c r="I36" s="207" t="n"/>
      <c r="J36" s="325">
        <f>IF($A36="","",IFERROR(VLOOKUP($C36,Setup!$A$36:$D$50,2,FALSE),""))</f>
        <v/>
      </c>
      <c r="K36" s="325">
        <f>IF($A36="","",IFERROR(VLOOKUP($C36,Setup!$A$36:$D$50,3,FALSE),""))</f>
        <v/>
      </c>
      <c r="L36" s="326">
        <f>IF($A36="","",SUMIF(Depletion!$A$9:$A$208,$A36,Depletion!$E$9:$E$208))</f>
        <v/>
      </c>
      <c r="M36" s="327">
        <f>IF($A36="","",SUMIF(Depletion!$A$9:$A$208,$A36,Depletion!$C$9:$C$208))</f>
        <v/>
      </c>
      <c r="N36" s="326">
        <f>IF($A36="","",SUMIF(Depletion!$A$9:$A$208,$A36,Depletion!$I$9:$I$208))</f>
        <v/>
      </c>
      <c r="O36" s="326">
        <f>IF($A36="","",$L36-$N36)</f>
        <v/>
      </c>
      <c r="P36" s="328">
        <f>IF($A36="","",IFERROR($O36/$L36,0))</f>
        <v/>
      </c>
      <c r="Q36" s="326">
        <f>IF($A36="","",MAX($L36-$G36,0))</f>
        <v/>
      </c>
      <c r="R36" s="329">
        <f>IF($A36="","",IFERROR($B36+VLOOKUP($F36,Setup!$A$82:$B$88,2,FALSE),""))</f>
        <v/>
      </c>
      <c r="S36" s="325">
        <f>IF($A36="","",IF($L36=0,"Draft",IF($Q36&lt;=0,"Paid",IF($G36&gt;0,"Partial","Unpaid"))))</f>
        <v/>
      </c>
      <c r="T36" s="325">
        <f>IF($A36="","",IF($Q36&lt;=0,0,IF($R36="","",MAX(TODAY()-$R36,0))))</f>
        <v/>
      </c>
      <c r="U36" s="325">
        <f>IF($A36="","",IF($S36="Paid","Closed",IF($R36="","Review",IF(TODAY()&lt;=$R36,"Current",IF($T36&lt;=30,"1-30",IF($T36&lt;=60,"31-60",IF($T36&lt;=90,"61-90","90+")))))))</f>
        <v/>
      </c>
      <c r="V36" s="329">
        <f>IF($A36="","",IF(AND($S36="Paid",$H36&lt;&gt;""),$H36,""))</f>
        <v/>
      </c>
      <c r="W36" s="325">
        <f>IF($A36="","",IF(OR(COUNTIF($A$9:$A$108,$A36)&gt;1,$B36="",$C36="",$D36="",$E36="",$F36="",$J36="",$K36="",$L36&lt;=0,$G36&lt;0,$G36&gt;$L36,AND($S36="Paid",$H36="")),"REVIEW","OK"))</f>
        <v/>
      </c>
      <c r="X36" s="330">
        <f>IF($A36="","",LOWER($A36&amp;" "&amp;$C36&amp;" "&amp;$D36&amp;" "&amp;$S36&amp;" "&amp;$J36&amp;" "&amp;$K36&amp;" "&amp;$I36))</f>
        <v/>
      </c>
    </row>
    <row r="37">
      <c r="A37" s="205" t="n"/>
      <c r="B37" s="331" t="n"/>
      <c r="C37" s="207" t="n"/>
      <c r="D37" s="207" t="n"/>
      <c r="E37" s="207" t="n"/>
      <c r="F37" s="207" t="n"/>
      <c r="G37" s="332" t="n"/>
      <c r="H37" s="331" t="n"/>
      <c r="I37" s="207" t="n"/>
      <c r="J37" s="325">
        <f>IF($A37="","",IFERROR(VLOOKUP($C37,Setup!$A$36:$D$50,2,FALSE),""))</f>
        <v/>
      </c>
      <c r="K37" s="325">
        <f>IF($A37="","",IFERROR(VLOOKUP($C37,Setup!$A$36:$D$50,3,FALSE),""))</f>
        <v/>
      </c>
      <c r="L37" s="326">
        <f>IF($A37="","",SUMIF(Depletion!$A$9:$A$208,$A37,Depletion!$E$9:$E$208))</f>
        <v/>
      </c>
      <c r="M37" s="327">
        <f>IF($A37="","",SUMIF(Depletion!$A$9:$A$208,$A37,Depletion!$C$9:$C$208))</f>
        <v/>
      </c>
      <c r="N37" s="326">
        <f>IF($A37="","",SUMIF(Depletion!$A$9:$A$208,$A37,Depletion!$I$9:$I$208))</f>
        <v/>
      </c>
      <c r="O37" s="326">
        <f>IF($A37="","",$L37-$N37)</f>
        <v/>
      </c>
      <c r="P37" s="328">
        <f>IF($A37="","",IFERROR($O37/$L37,0))</f>
        <v/>
      </c>
      <c r="Q37" s="326">
        <f>IF($A37="","",MAX($L37-$G37,0))</f>
        <v/>
      </c>
      <c r="R37" s="329">
        <f>IF($A37="","",IFERROR($B37+VLOOKUP($F37,Setup!$A$82:$B$88,2,FALSE),""))</f>
        <v/>
      </c>
      <c r="S37" s="325">
        <f>IF($A37="","",IF($L37=0,"Draft",IF($Q37&lt;=0,"Paid",IF($G37&gt;0,"Partial","Unpaid"))))</f>
        <v/>
      </c>
      <c r="T37" s="325">
        <f>IF($A37="","",IF($Q37&lt;=0,0,IF($R37="","",MAX(TODAY()-$R37,0))))</f>
        <v/>
      </c>
      <c r="U37" s="325">
        <f>IF($A37="","",IF($S37="Paid","Closed",IF($R37="","Review",IF(TODAY()&lt;=$R37,"Current",IF($T37&lt;=30,"1-30",IF($T37&lt;=60,"31-60",IF($T37&lt;=90,"61-90","90+")))))))</f>
        <v/>
      </c>
      <c r="V37" s="329">
        <f>IF($A37="","",IF(AND($S37="Paid",$H37&lt;&gt;""),$H37,""))</f>
        <v/>
      </c>
      <c r="W37" s="325">
        <f>IF($A37="","",IF(OR(COUNTIF($A$9:$A$108,$A37)&gt;1,$B37="",$C37="",$D37="",$E37="",$F37="",$J37="",$K37="",$L37&lt;=0,$G37&lt;0,$G37&gt;$L37,AND($S37="Paid",$H37="")),"REVIEW","OK"))</f>
        <v/>
      </c>
      <c r="X37" s="330">
        <f>IF($A37="","",LOWER($A37&amp;" "&amp;$C37&amp;" "&amp;$D37&amp;" "&amp;$S37&amp;" "&amp;$J37&amp;" "&amp;$K37&amp;" "&amp;$I37))</f>
        <v/>
      </c>
    </row>
    <row r="38">
      <c r="A38" s="205" t="n"/>
      <c r="B38" s="331" t="n"/>
      <c r="C38" s="207" t="n"/>
      <c r="D38" s="207" t="n"/>
      <c r="E38" s="207" t="n"/>
      <c r="F38" s="207" t="n"/>
      <c r="G38" s="332" t="n"/>
      <c r="H38" s="331" t="n"/>
      <c r="I38" s="207" t="n"/>
      <c r="J38" s="325">
        <f>IF($A38="","",IFERROR(VLOOKUP($C38,Setup!$A$36:$D$50,2,FALSE),""))</f>
        <v/>
      </c>
      <c r="K38" s="325">
        <f>IF($A38="","",IFERROR(VLOOKUP($C38,Setup!$A$36:$D$50,3,FALSE),""))</f>
        <v/>
      </c>
      <c r="L38" s="326">
        <f>IF($A38="","",SUMIF(Depletion!$A$9:$A$208,$A38,Depletion!$E$9:$E$208))</f>
        <v/>
      </c>
      <c r="M38" s="327">
        <f>IF($A38="","",SUMIF(Depletion!$A$9:$A$208,$A38,Depletion!$C$9:$C$208))</f>
        <v/>
      </c>
      <c r="N38" s="326">
        <f>IF($A38="","",SUMIF(Depletion!$A$9:$A$208,$A38,Depletion!$I$9:$I$208))</f>
        <v/>
      </c>
      <c r="O38" s="326">
        <f>IF($A38="","",$L38-$N38)</f>
        <v/>
      </c>
      <c r="P38" s="328">
        <f>IF($A38="","",IFERROR($O38/$L38,0))</f>
        <v/>
      </c>
      <c r="Q38" s="326">
        <f>IF($A38="","",MAX($L38-$G38,0))</f>
        <v/>
      </c>
      <c r="R38" s="329">
        <f>IF($A38="","",IFERROR($B38+VLOOKUP($F38,Setup!$A$82:$B$88,2,FALSE),""))</f>
        <v/>
      </c>
      <c r="S38" s="325">
        <f>IF($A38="","",IF($L38=0,"Draft",IF($Q38&lt;=0,"Paid",IF($G38&gt;0,"Partial","Unpaid"))))</f>
        <v/>
      </c>
      <c r="T38" s="325">
        <f>IF($A38="","",IF($Q38&lt;=0,0,IF($R38="","",MAX(TODAY()-$R38,0))))</f>
        <v/>
      </c>
      <c r="U38" s="325">
        <f>IF($A38="","",IF($S38="Paid","Closed",IF($R38="","Review",IF(TODAY()&lt;=$R38,"Current",IF($T38&lt;=30,"1-30",IF($T38&lt;=60,"31-60",IF($T38&lt;=90,"61-90","90+")))))))</f>
        <v/>
      </c>
      <c r="V38" s="329">
        <f>IF($A38="","",IF(AND($S38="Paid",$H38&lt;&gt;""),$H38,""))</f>
        <v/>
      </c>
      <c r="W38" s="325">
        <f>IF($A38="","",IF(OR(COUNTIF($A$9:$A$108,$A38)&gt;1,$B38="",$C38="",$D38="",$E38="",$F38="",$J38="",$K38="",$L38&lt;=0,$G38&lt;0,$G38&gt;$L38,AND($S38="Paid",$H38="")),"REVIEW","OK"))</f>
        <v/>
      </c>
      <c r="X38" s="330">
        <f>IF($A38="","",LOWER($A38&amp;" "&amp;$C38&amp;" "&amp;$D38&amp;" "&amp;$S38&amp;" "&amp;$J38&amp;" "&amp;$K38&amp;" "&amp;$I38))</f>
        <v/>
      </c>
    </row>
    <row r="39">
      <c r="A39" s="205" t="n"/>
      <c r="B39" s="331" t="n"/>
      <c r="C39" s="207" t="n"/>
      <c r="D39" s="207" t="n"/>
      <c r="E39" s="207" t="n"/>
      <c r="F39" s="207" t="n"/>
      <c r="G39" s="332" t="n"/>
      <c r="H39" s="331" t="n"/>
      <c r="I39" s="207" t="n"/>
      <c r="J39" s="325">
        <f>IF($A39="","",IFERROR(VLOOKUP($C39,Setup!$A$36:$D$50,2,FALSE),""))</f>
        <v/>
      </c>
      <c r="K39" s="325">
        <f>IF($A39="","",IFERROR(VLOOKUP($C39,Setup!$A$36:$D$50,3,FALSE),""))</f>
        <v/>
      </c>
      <c r="L39" s="326">
        <f>IF($A39="","",SUMIF(Depletion!$A$9:$A$208,$A39,Depletion!$E$9:$E$208))</f>
        <v/>
      </c>
      <c r="M39" s="327">
        <f>IF($A39="","",SUMIF(Depletion!$A$9:$A$208,$A39,Depletion!$C$9:$C$208))</f>
        <v/>
      </c>
      <c r="N39" s="326">
        <f>IF($A39="","",SUMIF(Depletion!$A$9:$A$208,$A39,Depletion!$I$9:$I$208))</f>
        <v/>
      </c>
      <c r="O39" s="326">
        <f>IF($A39="","",$L39-$N39)</f>
        <v/>
      </c>
      <c r="P39" s="328">
        <f>IF($A39="","",IFERROR($O39/$L39,0))</f>
        <v/>
      </c>
      <c r="Q39" s="326">
        <f>IF($A39="","",MAX($L39-$G39,0))</f>
        <v/>
      </c>
      <c r="R39" s="329">
        <f>IF($A39="","",IFERROR($B39+VLOOKUP($F39,Setup!$A$82:$B$88,2,FALSE),""))</f>
        <v/>
      </c>
      <c r="S39" s="325">
        <f>IF($A39="","",IF($L39=0,"Draft",IF($Q39&lt;=0,"Paid",IF($G39&gt;0,"Partial","Unpaid"))))</f>
        <v/>
      </c>
      <c r="T39" s="325">
        <f>IF($A39="","",IF($Q39&lt;=0,0,IF($R39="","",MAX(TODAY()-$R39,0))))</f>
        <v/>
      </c>
      <c r="U39" s="325">
        <f>IF($A39="","",IF($S39="Paid","Closed",IF($R39="","Review",IF(TODAY()&lt;=$R39,"Current",IF($T39&lt;=30,"1-30",IF($T39&lt;=60,"31-60",IF($T39&lt;=90,"61-90","90+")))))))</f>
        <v/>
      </c>
      <c r="V39" s="329">
        <f>IF($A39="","",IF(AND($S39="Paid",$H39&lt;&gt;""),$H39,""))</f>
        <v/>
      </c>
      <c r="W39" s="325">
        <f>IF($A39="","",IF(OR(COUNTIF($A$9:$A$108,$A39)&gt;1,$B39="",$C39="",$D39="",$E39="",$F39="",$J39="",$K39="",$L39&lt;=0,$G39&lt;0,$G39&gt;$L39,AND($S39="Paid",$H39="")),"REVIEW","OK"))</f>
        <v/>
      </c>
      <c r="X39" s="330">
        <f>IF($A39="","",LOWER($A39&amp;" "&amp;$C39&amp;" "&amp;$D39&amp;" "&amp;$S39&amp;" "&amp;$J39&amp;" "&amp;$K39&amp;" "&amp;$I39))</f>
        <v/>
      </c>
    </row>
    <row r="40">
      <c r="A40" s="205" t="n"/>
      <c r="B40" s="331" t="n"/>
      <c r="C40" s="207" t="n"/>
      <c r="D40" s="207" t="n"/>
      <c r="E40" s="207" t="n"/>
      <c r="F40" s="207" t="n"/>
      <c r="G40" s="332" t="n"/>
      <c r="H40" s="331" t="n"/>
      <c r="I40" s="207" t="n"/>
      <c r="J40" s="325">
        <f>IF($A40="","",IFERROR(VLOOKUP($C40,Setup!$A$36:$D$50,2,FALSE),""))</f>
        <v/>
      </c>
      <c r="K40" s="325">
        <f>IF($A40="","",IFERROR(VLOOKUP($C40,Setup!$A$36:$D$50,3,FALSE),""))</f>
        <v/>
      </c>
      <c r="L40" s="326">
        <f>IF($A40="","",SUMIF(Depletion!$A$9:$A$208,$A40,Depletion!$E$9:$E$208))</f>
        <v/>
      </c>
      <c r="M40" s="327">
        <f>IF($A40="","",SUMIF(Depletion!$A$9:$A$208,$A40,Depletion!$C$9:$C$208))</f>
        <v/>
      </c>
      <c r="N40" s="326">
        <f>IF($A40="","",SUMIF(Depletion!$A$9:$A$208,$A40,Depletion!$I$9:$I$208))</f>
        <v/>
      </c>
      <c r="O40" s="326">
        <f>IF($A40="","",$L40-$N40)</f>
        <v/>
      </c>
      <c r="P40" s="328">
        <f>IF($A40="","",IFERROR($O40/$L40,0))</f>
        <v/>
      </c>
      <c r="Q40" s="326">
        <f>IF($A40="","",MAX($L40-$G40,0))</f>
        <v/>
      </c>
      <c r="R40" s="329">
        <f>IF($A40="","",IFERROR($B40+VLOOKUP($F40,Setup!$A$82:$B$88,2,FALSE),""))</f>
        <v/>
      </c>
      <c r="S40" s="325">
        <f>IF($A40="","",IF($L40=0,"Draft",IF($Q40&lt;=0,"Paid",IF($G40&gt;0,"Partial","Unpaid"))))</f>
        <v/>
      </c>
      <c r="T40" s="325">
        <f>IF($A40="","",IF($Q40&lt;=0,0,IF($R40="","",MAX(TODAY()-$R40,0))))</f>
        <v/>
      </c>
      <c r="U40" s="325">
        <f>IF($A40="","",IF($S40="Paid","Closed",IF($R40="","Review",IF(TODAY()&lt;=$R40,"Current",IF($T40&lt;=30,"1-30",IF($T40&lt;=60,"31-60",IF($T40&lt;=90,"61-90","90+")))))))</f>
        <v/>
      </c>
      <c r="V40" s="329">
        <f>IF($A40="","",IF(AND($S40="Paid",$H40&lt;&gt;""),$H40,""))</f>
        <v/>
      </c>
      <c r="W40" s="325">
        <f>IF($A40="","",IF(OR(COUNTIF($A$9:$A$108,$A40)&gt;1,$B40="",$C40="",$D40="",$E40="",$F40="",$J40="",$K40="",$L40&lt;=0,$G40&lt;0,$G40&gt;$L40,AND($S40="Paid",$H40="")),"REVIEW","OK"))</f>
        <v/>
      </c>
      <c r="X40" s="330">
        <f>IF($A40="","",LOWER($A40&amp;" "&amp;$C40&amp;" "&amp;$D40&amp;" "&amp;$S40&amp;" "&amp;$J40&amp;" "&amp;$K40&amp;" "&amp;$I40))</f>
        <v/>
      </c>
    </row>
    <row r="41">
      <c r="A41" s="205" t="n"/>
      <c r="B41" s="331" t="n"/>
      <c r="C41" s="207" t="n"/>
      <c r="D41" s="207" t="n"/>
      <c r="E41" s="207" t="n"/>
      <c r="F41" s="207" t="n"/>
      <c r="G41" s="332" t="n"/>
      <c r="H41" s="331" t="n"/>
      <c r="I41" s="207" t="n"/>
      <c r="J41" s="325">
        <f>IF($A41="","",IFERROR(VLOOKUP($C41,Setup!$A$36:$D$50,2,FALSE),""))</f>
        <v/>
      </c>
      <c r="K41" s="325">
        <f>IF($A41="","",IFERROR(VLOOKUP($C41,Setup!$A$36:$D$50,3,FALSE),""))</f>
        <v/>
      </c>
      <c r="L41" s="326">
        <f>IF($A41="","",SUMIF(Depletion!$A$9:$A$208,$A41,Depletion!$E$9:$E$208))</f>
        <v/>
      </c>
      <c r="M41" s="327">
        <f>IF($A41="","",SUMIF(Depletion!$A$9:$A$208,$A41,Depletion!$C$9:$C$208))</f>
        <v/>
      </c>
      <c r="N41" s="326">
        <f>IF($A41="","",SUMIF(Depletion!$A$9:$A$208,$A41,Depletion!$I$9:$I$208))</f>
        <v/>
      </c>
      <c r="O41" s="326">
        <f>IF($A41="","",$L41-$N41)</f>
        <v/>
      </c>
      <c r="P41" s="328">
        <f>IF($A41="","",IFERROR($O41/$L41,0))</f>
        <v/>
      </c>
      <c r="Q41" s="326">
        <f>IF($A41="","",MAX($L41-$G41,0))</f>
        <v/>
      </c>
      <c r="R41" s="329">
        <f>IF($A41="","",IFERROR($B41+VLOOKUP($F41,Setup!$A$82:$B$88,2,FALSE),""))</f>
        <v/>
      </c>
      <c r="S41" s="325">
        <f>IF($A41="","",IF($L41=0,"Draft",IF($Q41&lt;=0,"Paid",IF($G41&gt;0,"Partial","Unpaid"))))</f>
        <v/>
      </c>
      <c r="T41" s="325">
        <f>IF($A41="","",IF($Q41&lt;=0,0,IF($R41="","",MAX(TODAY()-$R41,0))))</f>
        <v/>
      </c>
      <c r="U41" s="325">
        <f>IF($A41="","",IF($S41="Paid","Closed",IF($R41="","Review",IF(TODAY()&lt;=$R41,"Current",IF($T41&lt;=30,"1-30",IF($T41&lt;=60,"31-60",IF($T41&lt;=90,"61-90","90+")))))))</f>
        <v/>
      </c>
      <c r="V41" s="329">
        <f>IF($A41="","",IF(AND($S41="Paid",$H41&lt;&gt;""),$H41,""))</f>
        <v/>
      </c>
      <c r="W41" s="325">
        <f>IF($A41="","",IF(OR(COUNTIF($A$9:$A$108,$A41)&gt;1,$B41="",$C41="",$D41="",$E41="",$F41="",$J41="",$K41="",$L41&lt;=0,$G41&lt;0,$G41&gt;$L41,AND($S41="Paid",$H41="")),"REVIEW","OK"))</f>
        <v/>
      </c>
      <c r="X41" s="330">
        <f>IF($A41="","",LOWER($A41&amp;" "&amp;$C41&amp;" "&amp;$D41&amp;" "&amp;$S41&amp;" "&amp;$J41&amp;" "&amp;$K41&amp;" "&amp;$I41))</f>
        <v/>
      </c>
    </row>
    <row r="42">
      <c r="A42" s="205" t="n"/>
      <c r="B42" s="331" t="n"/>
      <c r="C42" s="207" t="n"/>
      <c r="D42" s="207" t="n"/>
      <c r="E42" s="207" t="n"/>
      <c r="F42" s="207" t="n"/>
      <c r="G42" s="332" t="n"/>
      <c r="H42" s="331" t="n"/>
      <c r="I42" s="207" t="n"/>
      <c r="J42" s="325">
        <f>IF($A42="","",IFERROR(VLOOKUP($C42,Setup!$A$36:$D$50,2,FALSE),""))</f>
        <v/>
      </c>
      <c r="K42" s="325">
        <f>IF($A42="","",IFERROR(VLOOKUP($C42,Setup!$A$36:$D$50,3,FALSE),""))</f>
        <v/>
      </c>
      <c r="L42" s="326">
        <f>IF($A42="","",SUMIF(Depletion!$A$9:$A$208,$A42,Depletion!$E$9:$E$208))</f>
        <v/>
      </c>
      <c r="M42" s="327">
        <f>IF($A42="","",SUMIF(Depletion!$A$9:$A$208,$A42,Depletion!$C$9:$C$208))</f>
        <v/>
      </c>
      <c r="N42" s="326">
        <f>IF($A42="","",SUMIF(Depletion!$A$9:$A$208,$A42,Depletion!$I$9:$I$208))</f>
        <v/>
      </c>
      <c r="O42" s="326">
        <f>IF($A42="","",$L42-$N42)</f>
        <v/>
      </c>
      <c r="P42" s="328">
        <f>IF($A42="","",IFERROR($O42/$L42,0))</f>
        <v/>
      </c>
      <c r="Q42" s="326">
        <f>IF($A42="","",MAX($L42-$G42,0))</f>
        <v/>
      </c>
      <c r="R42" s="329">
        <f>IF($A42="","",IFERROR($B42+VLOOKUP($F42,Setup!$A$82:$B$88,2,FALSE),""))</f>
        <v/>
      </c>
      <c r="S42" s="325">
        <f>IF($A42="","",IF($L42=0,"Draft",IF($Q42&lt;=0,"Paid",IF($G42&gt;0,"Partial","Unpaid"))))</f>
        <v/>
      </c>
      <c r="T42" s="325">
        <f>IF($A42="","",IF($Q42&lt;=0,0,IF($R42="","",MAX(TODAY()-$R42,0))))</f>
        <v/>
      </c>
      <c r="U42" s="325">
        <f>IF($A42="","",IF($S42="Paid","Closed",IF($R42="","Review",IF(TODAY()&lt;=$R42,"Current",IF($T42&lt;=30,"1-30",IF($T42&lt;=60,"31-60",IF($T42&lt;=90,"61-90","90+")))))))</f>
        <v/>
      </c>
      <c r="V42" s="329">
        <f>IF($A42="","",IF(AND($S42="Paid",$H42&lt;&gt;""),$H42,""))</f>
        <v/>
      </c>
      <c r="W42" s="325">
        <f>IF($A42="","",IF(OR(COUNTIF($A$9:$A$108,$A42)&gt;1,$B42="",$C42="",$D42="",$E42="",$F42="",$J42="",$K42="",$L42&lt;=0,$G42&lt;0,$G42&gt;$L42,AND($S42="Paid",$H42="")),"REVIEW","OK"))</f>
        <v/>
      </c>
      <c r="X42" s="330">
        <f>IF($A42="","",LOWER($A42&amp;" "&amp;$C42&amp;" "&amp;$D42&amp;" "&amp;$S42&amp;" "&amp;$J42&amp;" "&amp;$K42&amp;" "&amp;$I42))</f>
        <v/>
      </c>
    </row>
    <row r="43">
      <c r="A43" s="205" t="n"/>
      <c r="B43" s="331" t="n"/>
      <c r="C43" s="207" t="n"/>
      <c r="D43" s="207" t="n"/>
      <c r="E43" s="207" t="n"/>
      <c r="F43" s="207" t="n"/>
      <c r="G43" s="332" t="n"/>
      <c r="H43" s="331" t="n"/>
      <c r="I43" s="207" t="n"/>
      <c r="J43" s="325">
        <f>IF($A43="","",IFERROR(VLOOKUP($C43,Setup!$A$36:$D$50,2,FALSE),""))</f>
        <v/>
      </c>
      <c r="K43" s="325">
        <f>IF($A43="","",IFERROR(VLOOKUP($C43,Setup!$A$36:$D$50,3,FALSE),""))</f>
        <v/>
      </c>
      <c r="L43" s="326">
        <f>IF($A43="","",SUMIF(Depletion!$A$9:$A$208,$A43,Depletion!$E$9:$E$208))</f>
        <v/>
      </c>
      <c r="M43" s="327">
        <f>IF($A43="","",SUMIF(Depletion!$A$9:$A$208,$A43,Depletion!$C$9:$C$208))</f>
        <v/>
      </c>
      <c r="N43" s="326">
        <f>IF($A43="","",SUMIF(Depletion!$A$9:$A$208,$A43,Depletion!$I$9:$I$208))</f>
        <v/>
      </c>
      <c r="O43" s="326">
        <f>IF($A43="","",$L43-$N43)</f>
        <v/>
      </c>
      <c r="P43" s="328">
        <f>IF($A43="","",IFERROR($O43/$L43,0))</f>
        <v/>
      </c>
      <c r="Q43" s="326">
        <f>IF($A43="","",MAX($L43-$G43,0))</f>
        <v/>
      </c>
      <c r="R43" s="329">
        <f>IF($A43="","",IFERROR($B43+VLOOKUP($F43,Setup!$A$82:$B$88,2,FALSE),""))</f>
        <v/>
      </c>
      <c r="S43" s="325">
        <f>IF($A43="","",IF($L43=0,"Draft",IF($Q43&lt;=0,"Paid",IF($G43&gt;0,"Partial","Unpaid"))))</f>
        <v/>
      </c>
      <c r="T43" s="325">
        <f>IF($A43="","",IF($Q43&lt;=0,0,IF($R43="","",MAX(TODAY()-$R43,0))))</f>
        <v/>
      </c>
      <c r="U43" s="325">
        <f>IF($A43="","",IF($S43="Paid","Closed",IF($R43="","Review",IF(TODAY()&lt;=$R43,"Current",IF($T43&lt;=30,"1-30",IF($T43&lt;=60,"31-60",IF($T43&lt;=90,"61-90","90+")))))))</f>
        <v/>
      </c>
      <c r="V43" s="329">
        <f>IF($A43="","",IF(AND($S43="Paid",$H43&lt;&gt;""),$H43,""))</f>
        <v/>
      </c>
      <c r="W43" s="325">
        <f>IF($A43="","",IF(OR(COUNTIF($A$9:$A$108,$A43)&gt;1,$B43="",$C43="",$D43="",$E43="",$F43="",$J43="",$K43="",$L43&lt;=0,$G43&lt;0,$G43&gt;$L43,AND($S43="Paid",$H43="")),"REVIEW","OK"))</f>
        <v/>
      </c>
      <c r="X43" s="330">
        <f>IF($A43="","",LOWER($A43&amp;" "&amp;$C43&amp;" "&amp;$D43&amp;" "&amp;$S43&amp;" "&amp;$J43&amp;" "&amp;$K43&amp;" "&amp;$I43))</f>
        <v/>
      </c>
    </row>
    <row r="44">
      <c r="A44" s="205" t="n"/>
      <c r="B44" s="331" t="n"/>
      <c r="C44" s="207" t="n"/>
      <c r="D44" s="207" t="n"/>
      <c r="E44" s="207" t="n"/>
      <c r="F44" s="207" t="n"/>
      <c r="G44" s="332" t="n"/>
      <c r="H44" s="331" t="n"/>
      <c r="I44" s="207" t="n"/>
      <c r="J44" s="325">
        <f>IF($A44="","",IFERROR(VLOOKUP($C44,Setup!$A$36:$D$50,2,FALSE),""))</f>
        <v/>
      </c>
      <c r="K44" s="325">
        <f>IF($A44="","",IFERROR(VLOOKUP($C44,Setup!$A$36:$D$50,3,FALSE),""))</f>
        <v/>
      </c>
      <c r="L44" s="326">
        <f>IF($A44="","",SUMIF(Depletion!$A$9:$A$208,$A44,Depletion!$E$9:$E$208))</f>
        <v/>
      </c>
      <c r="M44" s="327">
        <f>IF($A44="","",SUMIF(Depletion!$A$9:$A$208,$A44,Depletion!$C$9:$C$208))</f>
        <v/>
      </c>
      <c r="N44" s="326">
        <f>IF($A44="","",SUMIF(Depletion!$A$9:$A$208,$A44,Depletion!$I$9:$I$208))</f>
        <v/>
      </c>
      <c r="O44" s="326">
        <f>IF($A44="","",$L44-$N44)</f>
        <v/>
      </c>
      <c r="P44" s="328">
        <f>IF($A44="","",IFERROR($O44/$L44,0))</f>
        <v/>
      </c>
      <c r="Q44" s="326">
        <f>IF($A44="","",MAX($L44-$G44,0))</f>
        <v/>
      </c>
      <c r="R44" s="329">
        <f>IF($A44="","",IFERROR($B44+VLOOKUP($F44,Setup!$A$82:$B$88,2,FALSE),""))</f>
        <v/>
      </c>
      <c r="S44" s="325">
        <f>IF($A44="","",IF($L44=0,"Draft",IF($Q44&lt;=0,"Paid",IF($G44&gt;0,"Partial","Unpaid"))))</f>
        <v/>
      </c>
      <c r="T44" s="325">
        <f>IF($A44="","",IF($Q44&lt;=0,0,IF($R44="","",MAX(TODAY()-$R44,0))))</f>
        <v/>
      </c>
      <c r="U44" s="325">
        <f>IF($A44="","",IF($S44="Paid","Closed",IF($R44="","Review",IF(TODAY()&lt;=$R44,"Current",IF($T44&lt;=30,"1-30",IF($T44&lt;=60,"31-60",IF($T44&lt;=90,"61-90","90+")))))))</f>
        <v/>
      </c>
      <c r="V44" s="329">
        <f>IF($A44="","",IF(AND($S44="Paid",$H44&lt;&gt;""),$H44,""))</f>
        <v/>
      </c>
      <c r="W44" s="325">
        <f>IF($A44="","",IF(OR(COUNTIF($A$9:$A$108,$A44)&gt;1,$B44="",$C44="",$D44="",$E44="",$F44="",$J44="",$K44="",$L44&lt;=0,$G44&lt;0,$G44&gt;$L44,AND($S44="Paid",$H44="")),"REVIEW","OK"))</f>
        <v/>
      </c>
      <c r="X44" s="330">
        <f>IF($A44="","",LOWER($A44&amp;" "&amp;$C44&amp;" "&amp;$D44&amp;" "&amp;$S44&amp;" "&amp;$J44&amp;" "&amp;$K44&amp;" "&amp;$I44))</f>
        <v/>
      </c>
    </row>
    <row r="45">
      <c r="A45" s="205" t="n"/>
      <c r="B45" s="331" t="n"/>
      <c r="C45" s="207" t="n"/>
      <c r="D45" s="207" t="n"/>
      <c r="E45" s="207" t="n"/>
      <c r="F45" s="207" t="n"/>
      <c r="G45" s="332" t="n"/>
      <c r="H45" s="331" t="n"/>
      <c r="I45" s="207" t="n"/>
      <c r="J45" s="325">
        <f>IF($A45="","",IFERROR(VLOOKUP($C45,Setup!$A$36:$D$50,2,FALSE),""))</f>
        <v/>
      </c>
      <c r="K45" s="325">
        <f>IF($A45="","",IFERROR(VLOOKUP($C45,Setup!$A$36:$D$50,3,FALSE),""))</f>
        <v/>
      </c>
      <c r="L45" s="326">
        <f>IF($A45="","",SUMIF(Depletion!$A$9:$A$208,$A45,Depletion!$E$9:$E$208))</f>
        <v/>
      </c>
      <c r="M45" s="327">
        <f>IF($A45="","",SUMIF(Depletion!$A$9:$A$208,$A45,Depletion!$C$9:$C$208))</f>
        <v/>
      </c>
      <c r="N45" s="326">
        <f>IF($A45="","",SUMIF(Depletion!$A$9:$A$208,$A45,Depletion!$I$9:$I$208))</f>
        <v/>
      </c>
      <c r="O45" s="326">
        <f>IF($A45="","",$L45-$N45)</f>
        <v/>
      </c>
      <c r="P45" s="328">
        <f>IF($A45="","",IFERROR($O45/$L45,0))</f>
        <v/>
      </c>
      <c r="Q45" s="326">
        <f>IF($A45="","",MAX($L45-$G45,0))</f>
        <v/>
      </c>
      <c r="R45" s="329">
        <f>IF($A45="","",IFERROR($B45+VLOOKUP($F45,Setup!$A$82:$B$88,2,FALSE),""))</f>
        <v/>
      </c>
      <c r="S45" s="325">
        <f>IF($A45="","",IF($L45=0,"Draft",IF($Q45&lt;=0,"Paid",IF($G45&gt;0,"Partial","Unpaid"))))</f>
        <v/>
      </c>
      <c r="T45" s="325">
        <f>IF($A45="","",IF($Q45&lt;=0,0,IF($R45="","",MAX(TODAY()-$R45,0))))</f>
        <v/>
      </c>
      <c r="U45" s="325">
        <f>IF($A45="","",IF($S45="Paid","Closed",IF($R45="","Review",IF(TODAY()&lt;=$R45,"Current",IF($T45&lt;=30,"1-30",IF($T45&lt;=60,"31-60",IF($T45&lt;=90,"61-90","90+")))))))</f>
        <v/>
      </c>
      <c r="V45" s="329">
        <f>IF($A45="","",IF(AND($S45="Paid",$H45&lt;&gt;""),$H45,""))</f>
        <v/>
      </c>
      <c r="W45" s="325">
        <f>IF($A45="","",IF(OR(COUNTIF($A$9:$A$108,$A45)&gt;1,$B45="",$C45="",$D45="",$E45="",$F45="",$J45="",$K45="",$L45&lt;=0,$G45&lt;0,$G45&gt;$L45,AND($S45="Paid",$H45="")),"REVIEW","OK"))</f>
        <v/>
      </c>
      <c r="X45" s="330">
        <f>IF($A45="","",LOWER($A45&amp;" "&amp;$C45&amp;" "&amp;$D45&amp;" "&amp;$S45&amp;" "&amp;$J45&amp;" "&amp;$K45&amp;" "&amp;$I45))</f>
        <v/>
      </c>
    </row>
    <row r="46">
      <c r="A46" s="205" t="n"/>
      <c r="B46" s="331" t="n"/>
      <c r="C46" s="207" t="n"/>
      <c r="D46" s="207" t="n"/>
      <c r="E46" s="207" t="n"/>
      <c r="F46" s="207" t="n"/>
      <c r="G46" s="332" t="n"/>
      <c r="H46" s="331" t="n"/>
      <c r="I46" s="207" t="n"/>
      <c r="J46" s="325">
        <f>IF($A46="","",IFERROR(VLOOKUP($C46,Setup!$A$36:$D$50,2,FALSE),""))</f>
        <v/>
      </c>
      <c r="K46" s="325">
        <f>IF($A46="","",IFERROR(VLOOKUP($C46,Setup!$A$36:$D$50,3,FALSE),""))</f>
        <v/>
      </c>
      <c r="L46" s="326">
        <f>IF($A46="","",SUMIF(Depletion!$A$9:$A$208,$A46,Depletion!$E$9:$E$208))</f>
        <v/>
      </c>
      <c r="M46" s="327">
        <f>IF($A46="","",SUMIF(Depletion!$A$9:$A$208,$A46,Depletion!$C$9:$C$208))</f>
        <v/>
      </c>
      <c r="N46" s="326">
        <f>IF($A46="","",SUMIF(Depletion!$A$9:$A$208,$A46,Depletion!$I$9:$I$208))</f>
        <v/>
      </c>
      <c r="O46" s="326">
        <f>IF($A46="","",$L46-$N46)</f>
        <v/>
      </c>
      <c r="P46" s="328">
        <f>IF($A46="","",IFERROR($O46/$L46,0))</f>
        <v/>
      </c>
      <c r="Q46" s="326">
        <f>IF($A46="","",MAX($L46-$G46,0))</f>
        <v/>
      </c>
      <c r="R46" s="329">
        <f>IF($A46="","",IFERROR($B46+VLOOKUP($F46,Setup!$A$82:$B$88,2,FALSE),""))</f>
        <v/>
      </c>
      <c r="S46" s="325">
        <f>IF($A46="","",IF($L46=0,"Draft",IF($Q46&lt;=0,"Paid",IF($G46&gt;0,"Partial","Unpaid"))))</f>
        <v/>
      </c>
      <c r="T46" s="325">
        <f>IF($A46="","",IF($Q46&lt;=0,0,IF($R46="","",MAX(TODAY()-$R46,0))))</f>
        <v/>
      </c>
      <c r="U46" s="325">
        <f>IF($A46="","",IF($S46="Paid","Closed",IF($R46="","Review",IF(TODAY()&lt;=$R46,"Current",IF($T46&lt;=30,"1-30",IF($T46&lt;=60,"31-60",IF($T46&lt;=90,"61-90","90+")))))))</f>
        <v/>
      </c>
      <c r="V46" s="329">
        <f>IF($A46="","",IF(AND($S46="Paid",$H46&lt;&gt;""),$H46,""))</f>
        <v/>
      </c>
      <c r="W46" s="325">
        <f>IF($A46="","",IF(OR(COUNTIF($A$9:$A$108,$A46)&gt;1,$B46="",$C46="",$D46="",$E46="",$F46="",$J46="",$K46="",$L46&lt;=0,$G46&lt;0,$G46&gt;$L46,AND($S46="Paid",$H46="")),"REVIEW","OK"))</f>
        <v/>
      </c>
      <c r="X46" s="330">
        <f>IF($A46="","",LOWER($A46&amp;" "&amp;$C46&amp;" "&amp;$D46&amp;" "&amp;$S46&amp;" "&amp;$J46&amp;" "&amp;$K46&amp;" "&amp;$I46))</f>
        <v/>
      </c>
    </row>
    <row r="47">
      <c r="A47" s="205" t="n"/>
      <c r="B47" s="331" t="n"/>
      <c r="C47" s="207" t="n"/>
      <c r="D47" s="207" t="n"/>
      <c r="E47" s="207" t="n"/>
      <c r="F47" s="207" t="n"/>
      <c r="G47" s="332" t="n"/>
      <c r="H47" s="331" t="n"/>
      <c r="I47" s="207" t="n"/>
      <c r="J47" s="325">
        <f>IF($A47="","",IFERROR(VLOOKUP($C47,Setup!$A$36:$D$50,2,FALSE),""))</f>
        <v/>
      </c>
      <c r="K47" s="325">
        <f>IF($A47="","",IFERROR(VLOOKUP($C47,Setup!$A$36:$D$50,3,FALSE),""))</f>
        <v/>
      </c>
      <c r="L47" s="326">
        <f>IF($A47="","",SUMIF(Depletion!$A$9:$A$208,$A47,Depletion!$E$9:$E$208))</f>
        <v/>
      </c>
      <c r="M47" s="327">
        <f>IF($A47="","",SUMIF(Depletion!$A$9:$A$208,$A47,Depletion!$C$9:$C$208))</f>
        <v/>
      </c>
      <c r="N47" s="326">
        <f>IF($A47="","",SUMIF(Depletion!$A$9:$A$208,$A47,Depletion!$I$9:$I$208))</f>
        <v/>
      </c>
      <c r="O47" s="326">
        <f>IF($A47="","",$L47-$N47)</f>
        <v/>
      </c>
      <c r="P47" s="328">
        <f>IF($A47="","",IFERROR($O47/$L47,0))</f>
        <v/>
      </c>
      <c r="Q47" s="326">
        <f>IF($A47="","",MAX($L47-$G47,0))</f>
        <v/>
      </c>
      <c r="R47" s="329">
        <f>IF($A47="","",IFERROR($B47+VLOOKUP($F47,Setup!$A$82:$B$88,2,FALSE),""))</f>
        <v/>
      </c>
      <c r="S47" s="325">
        <f>IF($A47="","",IF($L47=0,"Draft",IF($Q47&lt;=0,"Paid",IF($G47&gt;0,"Partial","Unpaid"))))</f>
        <v/>
      </c>
      <c r="T47" s="325">
        <f>IF($A47="","",IF($Q47&lt;=0,0,IF($R47="","",MAX(TODAY()-$R47,0))))</f>
        <v/>
      </c>
      <c r="U47" s="325">
        <f>IF($A47="","",IF($S47="Paid","Closed",IF($R47="","Review",IF(TODAY()&lt;=$R47,"Current",IF($T47&lt;=30,"1-30",IF($T47&lt;=60,"31-60",IF($T47&lt;=90,"61-90","90+")))))))</f>
        <v/>
      </c>
      <c r="V47" s="329">
        <f>IF($A47="","",IF(AND($S47="Paid",$H47&lt;&gt;""),$H47,""))</f>
        <v/>
      </c>
      <c r="W47" s="325">
        <f>IF($A47="","",IF(OR(COUNTIF($A$9:$A$108,$A47)&gt;1,$B47="",$C47="",$D47="",$E47="",$F47="",$J47="",$K47="",$L47&lt;=0,$G47&lt;0,$G47&gt;$L47,AND($S47="Paid",$H47="")),"REVIEW","OK"))</f>
        <v/>
      </c>
      <c r="X47" s="330">
        <f>IF($A47="","",LOWER($A47&amp;" "&amp;$C47&amp;" "&amp;$D47&amp;" "&amp;$S47&amp;" "&amp;$J47&amp;" "&amp;$K47&amp;" "&amp;$I47))</f>
        <v/>
      </c>
    </row>
    <row r="48">
      <c r="A48" s="205" t="n"/>
      <c r="B48" s="331" t="n"/>
      <c r="C48" s="207" t="n"/>
      <c r="D48" s="207" t="n"/>
      <c r="E48" s="207" t="n"/>
      <c r="F48" s="207" t="n"/>
      <c r="G48" s="332" t="n"/>
      <c r="H48" s="331" t="n"/>
      <c r="I48" s="207" t="n"/>
      <c r="J48" s="325">
        <f>IF($A48="","",IFERROR(VLOOKUP($C48,Setup!$A$36:$D$50,2,FALSE),""))</f>
        <v/>
      </c>
      <c r="K48" s="325">
        <f>IF($A48="","",IFERROR(VLOOKUP($C48,Setup!$A$36:$D$50,3,FALSE),""))</f>
        <v/>
      </c>
      <c r="L48" s="326">
        <f>IF($A48="","",SUMIF(Depletion!$A$9:$A$208,$A48,Depletion!$E$9:$E$208))</f>
        <v/>
      </c>
      <c r="M48" s="327">
        <f>IF($A48="","",SUMIF(Depletion!$A$9:$A$208,$A48,Depletion!$C$9:$C$208))</f>
        <v/>
      </c>
      <c r="N48" s="326">
        <f>IF($A48="","",SUMIF(Depletion!$A$9:$A$208,$A48,Depletion!$I$9:$I$208))</f>
        <v/>
      </c>
      <c r="O48" s="326">
        <f>IF($A48="","",$L48-$N48)</f>
        <v/>
      </c>
      <c r="P48" s="328">
        <f>IF($A48="","",IFERROR($O48/$L48,0))</f>
        <v/>
      </c>
      <c r="Q48" s="326">
        <f>IF($A48="","",MAX($L48-$G48,0))</f>
        <v/>
      </c>
      <c r="R48" s="329">
        <f>IF($A48="","",IFERROR($B48+VLOOKUP($F48,Setup!$A$82:$B$88,2,FALSE),""))</f>
        <v/>
      </c>
      <c r="S48" s="325">
        <f>IF($A48="","",IF($L48=0,"Draft",IF($Q48&lt;=0,"Paid",IF($G48&gt;0,"Partial","Unpaid"))))</f>
        <v/>
      </c>
      <c r="T48" s="325">
        <f>IF($A48="","",IF($Q48&lt;=0,0,IF($R48="","",MAX(TODAY()-$R48,0))))</f>
        <v/>
      </c>
      <c r="U48" s="325">
        <f>IF($A48="","",IF($S48="Paid","Closed",IF($R48="","Review",IF(TODAY()&lt;=$R48,"Current",IF($T48&lt;=30,"1-30",IF($T48&lt;=60,"31-60",IF($T48&lt;=90,"61-90","90+")))))))</f>
        <v/>
      </c>
      <c r="V48" s="329">
        <f>IF($A48="","",IF(AND($S48="Paid",$H48&lt;&gt;""),$H48,""))</f>
        <v/>
      </c>
      <c r="W48" s="325">
        <f>IF($A48="","",IF(OR(COUNTIF($A$9:$A$108,$A48)&gt;1,$B48="",$C48="",$D48="",$E48="",$F48="",$J48="",$K48="",$L48&lt;=0,$G48&lt;0,$G48&gt;$L48,AND($S48="Paid",$H48="")),"REVIEW","OK"))</f>
        <v/>
      </c>
      <c r="X48" s="330">
        <f>IF($A48="","",LOWER($A48&amp;" "&amp;$C48&amp;" "&amp;$D48&amp;" "&amp;$S48&amp;" "&amp;$J48&amp;" "&amp;$K48&amp;" "&amp;$I48))</f>
        <v/>
      </c>
    </row>
    <row r="49">
      <c r="A49" s="205" t="n"/>
      <c r="B49" s="331" t="n"/>
      <c r="C49" s="207" t="n"/>
      <c r="D49" s="207" t="n"/>
      <c r="E49" s="207" t="n"/>
      <c r="F49" s="207" t="n"/>
      <c r="G49" s="332" t="n"/>
      <c r="H49" s="331" t="n"/>
      <c r="I49" s="207" t="n"/>
      <c r="J49" s="325">
        <f>IF($A49="","",IFERROR(VLOOKUP($C49,Setup!$A$36:$D$50,2,FALSE),""))</f>
        <v/>
      </c>
      <c r="K49" s="325">
        <f>IF($A49="","",IFERROR(VLOOKUP($C49,Setup!$A$36:$D$50,3,FALSE),""))</f>
        <v/>
      </c>
      <c r="L49" s="326">
        <f>IF($A49="","",SUMIF(Depletion!$A$9:$A$208,$A49,Depletion!$E$9:$E$208))</f>
        <v/>
      </c>
      <c r="M49" s="327">
        <f>IF($A49="","",SUMIF(Depletion!$A$9:$A$208,$A49,Depletion!$C$9:$C$208))</f>
        <v/>
      </c>
      <c r="N49" s="326">
        <f>IF($A49="","",SUMIF(Depletion!$A$9:$A$208,$A49,Depletion!$I$9:$I$208))</f>
        <v/>
      </c>
      <c r="O49" s="326">
        <f>IF($A49="","",$L49-$N49)</f>
        <v/>
      </c>
      <c r="P49" s="328">
        <f>IF($A49="","",IFERROR($O49/$L49,0))</f>
        <v/>
      </c>
      <c r="Q49" s="326">
        <f>IF($A49="","",MAX($L49-$G49,0))</f>
        <v/>
      </c>
      <c r="R49" s="329">
        <f>IF($A49="","",IFERROR($B49+VLOOKUP($F49,Setup!$A$82:$B$88,2,FALSE),""))</f>
        <v/>
      </c>
      <c r="S49" s="325">
        <f>IF($A49="","",IF($L49=0,"Draft",IF($Q49&lt;=0,"Paid",IF($G49&gt;0,"Partial","Unpaid"))))</f>
        <v/>
      </c>
      <c r="T49" s="325">
        <f>IF($A49="","",IF($Q49&lt;=0,0,IF($R49="","",MAX(TODAY()-$R49,0))))</f>
        <v/>
      </c>
      <c r="U49" s="325">
        <f>IF($A49="","",IF($S49="Paid","Closed",IF($R49="","Review",IF(TODAY()&lt;=$R49,"Current",IF($T49&lt;=30,"1-30",IF($T49&lt;=60,"31-60",IF($T49&lt;=90,"61-90","90+")))))))</f>
        <v/>
      </c>
      <c r="V49" s="329">
        <f>IF($A49="","",IF(AND($S49="Paid",$H49&lt;&gt;""),$H49,""))</f>
        <v/>
      </c>
      <c r="W49" s="325">
        <f>IF($A49="","",IF(OR(COUNTIF($A$9:$A$108,$A49)&gt;1,$B49="",$C49="",$D49="",$E49="",$F49="",$J49="",$K49="",$L49&lt;=0,$G49&lt;0,$G49&gt;$L49,AND($S49="Paid",$H49="")),"REVIEW","OK"))</f>
        <v/>
      </c>
      <c r="X49" s="330">
        <f>IF($A49="","",LOWER($A49&amp;" "&amp;$C49&amp;" "&amp;$D49&amp;" "&amp;$S49&amp;" "&amp;$J49&amp;" "&amp;$K49&amp;" "&amp;$I49))</f>
        <v/>
      </c>
    </row>
    <row r="50">
      <c r="A50" s="205" t="n"/>
      <c r="B50" s="331" t="n"/>
      <c r="C50" s="207" t="n"/>
      <c r="D50" s="207" t="n"/>
      <c r="E50" s="207" t="n"/>
      <c r="F50" s="207" t="n"/>
      <c r="G50" s="332" t="n"/>
      <c r="H50" s="331" t="n"/>
      <c r="I50" s="207" t="n"/>
      <c r="J50" s="325">
        <f>IF($A50="","",IFERROR(VLOOKUP($C50,Setup!$A$36:$D$50,2,FALSE),""))</f>
        <v/>
      </c>
      <c r="K50" s="325">
        <f>IF($A50="","",IFERROR(VLOOKUP($C50,Setup!$A$36:$D$50,3,FALSE),""))</f>
        <v/>
      </c>
      <c r="L50" s="326">
        <f>IF($A50="","",SUMIF(Depletion!$A$9:$A$208,$A50,Depletion!$E$9:$E$208))</f>
        <v/>
      </c>
      <c r="M50" s="327">
        <f>IF($A50="","",SUMIF(Depletion!$A$9:$A$208,$A50,Depletion!$C$9:$C$208))</f>
        <v/>
      </c>
      <c r="N50" s="326">
        <f>IF($A50="","",SUMIF(Depletion!$A$9:$A$208,$A50,Depletion!$I$9:$I$208))</f>
        <v/>
      </c>
      <c r="O50" s="326">
        <f>IF($A50="","",$L50-$N50)</f>
        <v/>
      </c>
      <c r="P50" s="328">
        <f>IF($A50="","",IFERROR($O50/$L50,0))</f>
        <v/>
      </c>
      <c r="Q50" s="326">
        <f>IF($A50="","",MAX($L50-$G50,0))</f>
        <v/>
      </c>
      <c r="R50" s="329">
        <f>IF($A50="","",IFERROR($B50+VLOOKUP($F50,Setup!$A$82:$B$88,2,FALSE),""))</f>
        <v/>
      </c>
      <c r="S50" s="325">
        <f>IF($A50="","",IF($L50=0,"Draft",IF($Q50&lt;=0,"Paid",IF($G50&gt;0,"Partial","Unpaid"))))</f>
        <v/>
      </c>
      <c r="T50" s="325">
        <f>IF($A50="","",IF($Q50&lt;=0,0,IF($R50="","",MAX(TODAY()-$R50,0))))</f>
        <v/>
      </c>
      <c r="U50" s="325">
        <f>IF($A50="","",IF($S50="Paid","Closed",IF($R50="","Review",IF(TODAY()&lt;=$R50,"Current",IF($T50&lt;=30,"1-30",IF($T50&lt;=60,"31-60",IF($T50&lt;=90,"61-90","90+")))))))</f>
        <v/>
      </c>
      <c r="V50" s="329">
        <f>IF($A50="","",IF(AND($S50="Paid",$H50&lt;&gt;""),$H50,""))</f>
        <v/>
      </c>
      <c r="W50" s="325">
        <f>IF($A50="","",IF(OR(COUNTIF($A$9:$A$108,$A50)&gt;1,$B50="",$C50="",$D50="",$E50="",$F50="",$J50="",$K50="",$L50&lt;=0,$G50&lt;0,$G50&gt;$L50,AND($S50="Paid",$H50="")),"REVIEW","OK"))</f>
        <v/>
      </c>
      <c r="X50" s="330">
        <f>IF($A50="","",LOWER($A50&amp;" "&amp;$C50&amp;" "&amp;$D50&amp;" "&amp;$S50&amp;" "&amp;$J50&amp;" "&amp;$K50&amp;" "&amp;$I50))</f>
        <v/>
      </c>
    </row>
    <row r="51">
      <c r="A51" s="205" t="n"/>
      <c r="B51" s="331" t="n"/>
      <c r="C51" s="207" t="n"/>
      <c r="D51" s="207" t="n"/>
      <c r="E51" s="207" t="n"/>
      <c r="F51" s="207" t="n"/>
      <c r="G51" s="332" t="n"/>
      <c r="H51" s="331" t="n"/>
      <c r="I51" s="207" t="n"/>
      <c r="J51" s="325">
        <f>IF($A51="","",IFERROR(VLOOKUP($C51,Setup!$A$36:$D$50,2,FALSE),""))</f>
        <v/>
      </c>
      <c r="K51" s="325">
        <f>IF($A51="","",IFERROR(VLOOKUP($C51,Setup!$A$36:$D$50,3,FALSE),""))</f>
        <v/>
      </c>
      <c r="L51" s="326">
        <f>IF($A51="","",SUMIF(Depletion!$A$9:$A$208,$A51,Depletion!$E$9:$E$208))</f>
        <v/>
      </c>
      <c r="M51" s="327">
        <f>IF($A51="","",SUMIF(Depletion!$A$9:$A$208,$A51,Depletion!$C$9:$C$208))</f>
        <v/>
      </c>
      <c r="N51" s="326">
        <f>IF($A51="","",SUMIF(Depletion!$A$9:$A$208,$A51,Depletion!$I$9:$I$208))</f>
        <v/>
      </c>
      <c r="O51" s="326">
        <f>IF($A51="","",$L51-$N51)</f>
        <v/>
      </c>
      <c r="P51" s="328">
        <f>IF($A51="","",IFERROR($O51/$L51,0))</f>
        <v/>
      </c>
      <c r="Q51" s="326">
        <f>IF($A51="","",MAX($L51-$G51,0))</f>
        <v/>
      </c>
      <c r="R51" s="329">
        <f>IF($A51="","",IFERROR($B51+VLOOKUP($F51,Setup!$A$82:$B$88,2,FALSE),""))</f>
        <v/>
      </c>
      <c r="S51" s="325">
        <f>IF($A51="","",IF($L51=0,"Draft",IF($Q51&lt;=0,"Paid",IF($G51&gt;0,"Partial","Unpaid"))))</f>
        <v/>
      </c>
      <c r="T51" s="325">
        <f>IF($A51="","",IF($Q51&lt;=0,0,IF($R51="","",MAX(TODAY()-$R51,0))))</f>
        <v/>
      </c>
      <c r="U51" s="325">
        <f>IF($A51="","",IF($S51="Paid","Closed",IF($R51="","Review",IF(TODAY()&lt;=$R51,"Current",IF($T51&lt;=30,"1-30",IF($T51&lt;=60,"31-60",IF($T51&lt;=90,"61-90","90+")))))))</f>
        <v/>
      </c>
      <c r="V51" s="329">
        <f>IF($A51="","",IF(AND($S51="Paid",$H51&lt;&gt;""),$H51,""))</f>
        <v/>
      </c>
      <c r="W51" s="325">
        <f>IF($A51="","",IF(OR(COUNTIF($A$9:$A$108,$A51)&gt;1,$B51="",$C51="",$D51="",$E51="",$F51="",$J51="",$K51="",$L51&lt;=0,$G51&lt;0,$G51&gt;$L51,AND($S51="Paid",$H51="")),"REVIEW","OK"))</f>
        <v/>
      </c>
      <c r="X51" s="330">
        <f>IF($A51="","",LOWER($A51&amp;" "&amp;$C51&amp;" "&amp;$D51&amp;" "&amp;$S51&amp;" "&amp;$J51&amp;" "&amp;$K51&amp;" "&amp;$I51))</f>
        <v/>
      </c>
    </row>
    <row r="52">
      <c r="A52" s="205" t="n"/>
      <c r="B52" s="331" t="n"/>
      <c r="C52" s="207" t="n"/>
      <c r="D52" s="207" t="n"/>
      <c r="E52" s="207" t="n"/>
      <c r="F52" s="207" t="n"/>
      <c r="G52" s="332" t="n"/>
      <c r="H52" s="331" t="n"/>
      <c r="I52" s="207" t="n"/>
      <c r="J52" s="325">
        <f>IF($A52="","",IFERROR(VLOOKUP($C52,Setup!$A$36:$D$50,2,FALSE),""))</f>
        <v/>
      </c>
      <c r="K52" s="325">
        <f>IF($A52="","",IFERROR(VLOOKUP($C52,Setup!$A$36:$D$50,3,FALSE),""))</f>
        <v/>
      </c>
      <c r="L52" s="326">
        <f>IF($A52="","",SUMIF(Depletion!$A$9:$A$208,$A52,Depletion!$E$9:$E$208))</f>
        <v/>
      </c>
      <c r="M52" s="327">
        <f>IF($A52="","",SUMIF(Depletion!$A$9:$A$208,$A52,Depletion!$C$9:$C$208))</f>
        <v/>
      </c>
      <c r="N52" s="326">
        <f>IF($A52="","",SUMIF(Depletion!$A$9:$A$208,$A52,Depletion!$I$9:$I$208))</f>
        <v/>
      </c>
      <c r="O52" s="326">
        <f>IF($A52="","",$L52-$N52)</f>
        <v/>
      </c>
      <c r="P52" s="328">
        <f>IF($A52="","",IFERROR($O52/$L52,0))</f>
        <v/>
      </c>
      <c r="Q52" s="326">
        <f>IF($A52="","",MAX($L52-$G52,0))</f>
        <v/>
      </c>
      <c r="R52" s="329">
        <f>IF($A52="","",IFERROR($B52+VLOOKUP($F52,Setup!$A$82:$B$88,2,FALSE),""))</f>
        <v/>
      </c>
      <c r="S52" s="325">
        <f>IF($A52="","",IF($L52=0,"Draft",IF($Q52&lt;=0,"Paid",IF($G52&gt;0,"Partial","Unpaid"))))</f>
        <v/>
      </c>
      <c r="T52" s="325">
        <f>IF($A52="","",IF($Q52&lt;=0,0,IF($R52="","",MAX(TODAY()-$R52,0))))</f>
        <v/>
      </c>
      <c r="U52" s="325">
        <f>IF($A52="","",IF($S52="Paid","Closed",IF($R52="","Review",IF(TODAY()&lt;=$R52,"Current",IF($T52&lt;=30,"1-30",IF($T52&lt;=60,"31-60",IF($T52&lt;=90,"61-90","90+")))))))</f>
        <v/>
      </c>
      <c r="V52" s="329">
        <f>IF($A52="","",IF(AND($S52="Paid",$H52&lt;&gt;""),$H52,""))</f>
        <v/>
      </c>
      <c r="W52" s="325">
        <f>IF($A52="","",IF(OR(COUNTIF($A$9:$A$108,$A52)&gt;1,$B52="",$C52="",$D52="",$E52="",$F52="",$J52="",$K52="",$L52&lt;=0,$G52&lt;0,$G52&gt;$L52,AND($S52="Paid",$H52="")),"REVIEW","OK"))</f>
        <v/>
      </c>
      <c r="X52" s="330">
        <f>IF($A52="","",LOWER($A52&amp;" "&amp;$C52&amp;" "&amp;$D52&amp;" "&amp;$S52&amp;" "&amp;$J52&amp;" "&amp;$K52&amp;" "&amp;$I52))</f>
        <v/>
      </c>
    </row>
    <row r="53">
      <c r="A53" s="205" t="n"/>
      <c r="B53" s="331" t="n"/>
      <c r="C53" s="207" t="n"/>
      <c r="D53" s="207" t="n"/>
      <c r="E53" s="207" t="n"/>
      <c r="F53" s="207" t="n"/>
      <c r="G53" s="332" t="n"/>
      <c r="H53" s="331" t="n"/>
      <c r="I53" s="207" t="n"/>
      <c r="J53" s="325">
        <f>IF($A53="","",IFERROR(VLOOKUP($C53,Setup!$A$36:$D$50,2,FALSE),""))</f>
        <v/>
      </c>
      <c r="K53" s="325">
        <f>IF($A53="","",IFERROR(VLOOKUP($C53,Setup!$A$36:$D$50,3,FALSE),""))</f>
        <v/>
      </c>
      <c r="L53" s="326">
        <f>IF($A53="","",SUMIF(Depletion!$A$9:$A$208,$A53,Depletion!$E$9:$E$208))</f>
        <v/>
      </c>
      <c r="M53" s="327">
        <f>IF($A53="","",SUMIF(Depletion!$A$9:$A$208,$A53,Depletion!$C$9:$C$208))</f>
        <v/>
      </c>
      <c r="N53" s="326">
        <f>IF($A53="","",SUMIF(Depletion!$A$9:$A$208,$A53,Depletion!$I$9:$I$208))</f>
        <v/>
      </c>
      <c r="O53" s="326">
        <f>IF($A53="","",$L53-$N53)</f>
        <v/>
      </c>
      <c r="P53" s="328">
        <f>IF($A53="","",IFERROR($O53/$L53,0))</f>
        <v/>
      </c>
      <c r="Q53" s="326">
        <f>IF($A53="","",MAX($L53-$G53,0))</f>
        <v/>
      </c>
      <c r="R53" s="329">
        <f>IF($A53="","",IFERROR($B53+VLOOKUP($F53,Setup!$A$82:$B$88,2,FALSE),""))</f>
        <v/>
      </c>
      <c r="S53" s="325">
        <f>IF($A53="","",IF($L53=0,"Draft",IF($Q53&lt;=0,"Paid",IF($G53&gt;0,"Partial","Unpaid"))))</f>
        <v/>
      </c>
      <c r="T53" s="325">
        <f>IF($A53="","",IF($Q53&lt;=0,0,IF($R53="","",MAX(TODAY()-$R53,0))))</f>
        <v/>
      </c>
      <c r="U53" s="325">
        <f>IF($A53="","",IF($S53="Paid","Closed",IF($R53="","Review",IF(TODAY()&lt;=$R53,"Current",IF($T53&lt;=30,"1-30",IF($T53&lt;=60,"31-60",IF($T53&lt;=90,"61-90","90+")))))))</f>
        <v/>
      </c>
      <c r="V53" s="329">
        <f>IF($A53="","",IF(AND($S53="Paid",$H53&lt;&gt;""),$H53,""))</f>
        <v/>
      </c>
      <c r="W53" s="325">
        <f>IF($A53="","",IF(OR(COUNTIF($A$9:$A$108,$A53)&gt;1,$B53="",$C53="",$D53="",$E53="",$F53="",$J53="",$K53="",$L53&lt;=0,$G53&lt;0,$G53&gt;$L53,AND($S53="Paid",$H53="")),"REVIEW","OK"))</f>
        <v/>
      </c>
      <c r="X53" s="330">
        <f>IF($A53="","",LOWER($A53&amp;" "&amp;$C53&amp;" "&amp;$D53&amp;" "&amp;$S53&amp;" "&amp;$J53&amp;" "&amp;$K53&amp;" "&amp;$I53))</f>
        <v/>
      </c>
    </row>
    <row r="54">
      <c r="A54" s="205" t="n"/>
      <c r="B54" s="331" t="n"/>
      <c r="C54" s="207" t="n"/>
      <c r="D54" s="207" t="n"/>
      <c r="E54" s="207" t="n"/>
      <c r="F54" s="207" t="n"/>
      <c r="G54" s="332" t="n"/>
      <c r="H54" s="331" t="n"/>
      <c r="I54" s="207" t="n"/>
      <c r="J54" s="325">
        <f>IF($A54="","",IFERROR(VLOOKUP($C54,Setup!$A$36:$D$50,2,FALSE),""))</f>
        <v/>
      </c>
      <c r="K54" s="325">
        <f>IF($A54="","",IFERROR(VLOOKUP($C54,Setup!$A$36:$D$50,3,FALSE),""))</f>
        <v/>
      </c>
      <c r="L54" s="326">
        <f>IF($A54="","",SUMIF(Depletion!$A$9:$A$208,$A54,Depletion!$E$9:$E$208))</f>
        <v/>
      </c>
      <c r="M54" s="327">
        <f>IF($A54="","",SUMIF(Depletion!$A$9:$A$208,$A54,Depletion!$C$9:$C$208))</f>
        <v/>
      </c>
      <c r="N54" s="326">
        <f>IF($A54="","",SUMIF(Depletion!$A$9:$A$208,$A54,Depletion!$I$9:$I$208))</f>
        <v/>
      </c>
      <c r="O54" s="326">
        <f>IF($A54="","",$L54-$N54)</f>
        <v/>
      </c>
      <c r="P54" s="328">
        <f>IF($A54="","",IFERROR($O54/$L54,0))</f>
        <v/>
      </c>
      <c r="Q54" s="326">
        <f>IF($A54="","",MAX($L54-$G54,0))</f>
        <v/>
      </c>
      <c r="R54" s="329">
        <f>IF($A54="","",IFERROR($B54+VLOOKUP($F54,Setup!$A$82:$B$88,2,FALSE),""))</f>
        <v/>
      </c>
      <c r="S54" s="325">
        <f>IF($A54="","",IF($L54=0,"Draft",IF($Q54&lt;=0,"Paid",IF($G54&gt;0,"Partial","Unpaid"))))</f>
        <v/>
      </c>
      <c r="T54" s="325">
        <f>IF($A54="","",IF($Q54&lt;=0,0,IF($R54="","",MAX(TODAY()-$R54,0))))</f>
        <v/>
      </c>
      <c r="U54" s="325">
        <f>IF($A54="","",IF($S54="Paid","Closed",IF($R54="","Review",IF(TODAY()&lt;=$R54,"Current",IF($T54&lt;=30,"1-30",IF($T54&lt;=60,"31-60",IF($T54&lt;=90,"61-90","90+")))))))</f>
        <v/>
      </c>
      <c r="V54" s="329">
        <f>IF($A54="","",IF(AND($S54="Paid",$H54&lt;&gt;""),$H54,""))</f>
        <v/>
      </c>
      <c r="W54" s="325">
        <f>IF($A54="","",IF(OR(COUNTIF($A$9:$A$108,$A54)&gt;1,$B54="",$C54="",$D54="",$E54="",$F54="",$J54="",$K54="",$L54&lt;=0,$G54&lt;0,$G54&gt;$L54,AND($S54="Paid",$H54="")),"REVIEW","OK"))</f>
        <v/>
      </c>
      <c r="X54" s="330">
        <f>IF($A54="","",LOWER($A54&amp;" "&amp;$C54&amp;" "&amp;$D54&amp;" "&amp;$S54&amp;" "&amp;$J54&amp;" "&amp;$K54&amp;" "&amp;$I54))</f>
        <v/>
      </c>
    </row>
    <row r="55">
      <c r="A55" s="205" t="n"/>
      <c r="B55" s="331" t="n"/>
      <c r="C55" s="207" t="n"/>
      <c r="D55" s="207" t="n"/>
      <c r="E55" s="207" t="n"/>
      <c r="F55" s="207" t="n"/>
      <c r="G55" s="332" t="n"/>
      <c r="H55" s="331" t="n"/>
      <c r="I55" s="207" t="n"/>
      <c r="J55" s="325">
        <f>IF($A55="","",IFERROR(VLOOKUP($C55,Setup!$A$36:$D$50,2,FALSE),""))</f>
        <v/>
      </c>
      <c r="K55" s="325">
        <f>IF($A55="","",IFERROR(VLOOKUP($C55,Setup!$A$36:$D$50,3,FALSE),""))</f>
        <v/>
      </c>
      <c r="L55" s="326">
        <f>IF($A55="","",SUMIF(Depletion!$A$9:$A$208,$A55,Depletion!$E$9:$E$208))</f>
        <v/>
      </c>
      <c r="M55" s="327">
        <f>IF($A55="","",SUMIF(Depletion!$A$9:$A$208,$A55,Depletion!$C$9:$C$208))</f>
        <v/>
      </c>
      <c r="N55" s="326">
        <f>IF($A55="","",SUMIF(Depletion!$A$9:$A$208,$A55,Depletion!$I$9:$I$208))</f>
        <v/>
      </c>
      <c r="O55" s="326">
        <f>IF($A55="","",$L55-$N55)</f>
        <v/>
      </c>
      <c r="P55" s="328">
        <f>IF($A55="","",IFERROR($O55/$L55,0))</f>
        <v/>
      </c>
      <c r="Q55" s="326">
        <f>IF($A55="","",MAX($L55-$G55,0))</f>
        <v/>
      </c>
      <c r="R55" s="329">
        <f>IF($A55="","",IFERROR($B55+VLOOKUP($F55,Setup!$A$82:$B$88,2,FALSE),""))</f>
        <v/>
      </c>
      <c r="S55" s="325">
        <f>IF($A55="","",IF($L55=0,"Draft",IF($Q55&lt;=0,"Paid",IF($G55&gt;0,"Partial","Unpaid"))))</f>
        <v/>
      </c>
      <c r="T55" s="325">
        <f>IF($A55="","",IF($Q55&lt;=0,0,IF($R55="","",MAX(TODAY()-$R55,0))))</f>
        <v/>
      </c>
      <c r="U55" s="325">
        <f>IF($A55="","",IF($S55="Paid","Closed",IF($R55="","Review",IF(TODAY()&lt;=$R55,"Current",IF($T55&lt;=30,"1-30",IF($T55&lt;=60,"31-60",IF($T55&lt;=90,"61-90","90+")))))))</f>
        <v/>
      </c>
      <c r="V55" s="329">
        <f>IF($A55="","",IF(AND($S55="Paid",$H55&lt;&gt;""),$H55,""))</f>
        <v/>
      </c>
      <c r="W55" s="325">
        <f>IF($A55="","",IF(OR(COUNTIF($A$9:$A$108,$A55)&gt;1,$B55="",$C55="",$D55="",$E55="",$F55="",$J55="",$K55="",$L55&lt;=0,$G55&lt;0,$G55&gt;$L55,AND($S55="Paid",$H55="")),"REVIEW","OK"))</f>
        <v/>
      </c>
      <c r="X55" s="330">
        <f>IF($A55="","",LOWER($A55&amp;" "&amp;$C55&amp;" "&amp;$D55&amp;" "&amp;$S55&amp;" "&amp;$J55&amp;" "&amp;$K55&amp;" "&amp;$I55))</f>
        <v/>
      </c>
    </row>
    <row r="56">
      <c r="A56" s="205" t="n"/>
      <c r="B56" s="331" t="n"/>
      <c r="C56" s="207" t="n"/>
      <c r="D56" s="207" t="n"/>
      <c r="E56" s="207" t="n"/>
      <c r="F56" s="207" t="n"/>
      <c r="G56" s="332" t="n"/>
      <c r="H56" s="331" t="n"/>
      <c r="I56" s="207" t="n"/>
      <c r="J56" s="325">
        <f>IF($A56="","",IFERROR(VLOOKUP($C56,Setup!$A$36:$D$50,2,FALSE),""))</f>
        <v/>
      </c>
      <c r="K56" s="325">
        <f>IF($A56="","",IFERROR(VLOOKUP($C56,Setup!$A$36:$D$50,3,FALSE),""))</f>
        <v/>
      </c>
      <c r="L56" s="326">
        <f>IF($A56="","",SUMIF(Depletion!$A$9:$A$208,$A56,Depletion!$E$9:$E$208))</f>
        <v/>
      </c>
      <c r="M56" s="327">
        <f>IF($A56="","",SUMIF(Depletion!$A$9:$A$208,$A56,Depletion!$C$9:$C$208))</f>
        <v/>
      </c>
      <c r="N56" s="326">
        <f>IF($A56="","",SUMIF(Depletion!$A$9:$A$208,$A56,Depletion!$I$9:$I$208))</f>
        <v/>
      </c>
      <c r="O56" s="326">
        <f>IF($A56="","",$L56-$N56)</f>
        <v/>
      </c>
      <c r="P56" s="328">
        <f>IF($A56="","",IFERROR($O56/$L56,0))</f>
        <v/>
      </c>
      <c r="Q56" s="326">
        <f>IF($A56="","",MAX($L56-$G56,0))</f>
        <v/>
      </c>
      <c r="R56" s="329">
        <f>IF($A56="","",IFERROR($B56+VLOOKUP($F56,Setup!$A$82:$B$88,2,FALSE),""))</f>
        <v/>
      </c>
      <c r="S56" s="325">
        <f>IF($A56="","",IF($L56=0,"Draft",IF($Q56&lt;=0,"Paid",IF($G56&gt;0,"Partial","Unpaid"))))</f>
        <v/>
      </c>
      <c r="T56" s="325">
        <f>IF($A56="","",IF($Q56&lt;=0,0,IF($R56="","",MAX(TODAY()-$R56,0))))</f>
        <v/>
      </c>
      <c r="U56" s="325">
        <f>IF($A56="","",IF($S56="Paid","Closed",IF($R56="","Review",IF(TODAY()&lt;=$R56,"Current",IF($T56&lt;=30,"1-30",IF($T56&lt;=60,"31-60",IF($T56&lt;=90,"61-90","90+")))))))</f>
        <v/>
      </c>
      <c r="V56" s="329">
        <f>IF($A56="","",IF(AND($S56="Paid",$H56&lt;&gt;""),$H56,""))</f>
        <v/>
      </c>
      <c r="W56" s="325">
        <f>IF($A56="","",IF(OR(COUNTIF($A$9:$A$108,$A56)&gt;1,$B56="",$C56="",$D56="",$E56="",$F56="",$J56="",$K56="",$L56&lt;=0,$G56&lt;0,$G56&gt;$L56,AND($S56="Paid",$H56="")),"REVIEW","OK"))</f>
        <v/>
      </c>
      <c r="X56" s="330">
        <f>IF($A56="","",LOWER($A56&amp;" "&amp;$C56&amp;" "&amp;$D56&amp;" "&amp;$S56&amp;" "&amp;$J56&amp;" "&amp;$K56&amp;" "&amp;$I56))</f>
        <v/>
      </c>
    </row>
    <row r="57">
      <c r="A57" s="205" t="n"/>
      <c r="B57" s="331" t="n"/>
      <c r="C57" s="207" t="n"/>
      <c r="D57" s="207" t="n"/>
      <c r="E57" s="207" t="n"/>
      <c r="F57" s="207" t="n"/>
      <c r="G57" s="332" t="n"/>
      <c r="H57" s="331" t="n"/>
      <c r="I57" s="207" t="n"/>
      <c r="J57" s="325">
        <f>IF($A57="","",IFERROR(VLOOKUP($C57,Setup!$A$36:$D$50,2,FALSE),""))</f>
        <v/>
      </c>
      <c r="K57" s="325">
        <f>IF($A57="","",IFERROR(VLOOKUP($C57,Setup!$A$36:$D$50,3,FALSE),""))</f>
        <v/>
      </c>
      <c r="L57" s="326">
        <f>IF($A57="","",SUMIF(Depletion!$A$9:$A$208,$A57,Depletion!$E$9:$E$208))</f>
        <v/>
      </c>
      <c r="M57" s="327">
        <f>IF($A57="","",SUMIF(Depletion!$A$9:$A$208,$A57,Depletion!$C$9:$C$208))</f>
        <v/>
      </c>
      <c r="N57" s="326">
        <f>IF($A57="","",SUMIF(Depletion!$A$9:$A$208,$A57,Depletion!$I$9:$I$208))</f>
        <v/>
      </c>
      <c r="O57" s="326">
        <f>IF($A57="","",$L57-$N57)</f>
        <v/>
      </c>
      <c r="P57" s="328">
        <f>IF($A57="","",IFERROR($O57/$L57,0))</f>
        <v/>
      </c>
      <c r="Q57" s="326">
        <f>IF($A57="","",MAX($L57-$G57,0))</f>
        <v/>
      </c>
      <c r="R57" s="329">
        <f>IF($A57="","",IFERROR($B57+VLOOKUP($F57,Setup!$A$82:$B$88,2,FALSE),""))</f>
        <v/>
      </c>
      <c r="S57" s="325">
        <f>IF($A57="","",IF($L57=0,"Draft",IF($Q57&lt;=0,"Paid",IF($G57&gt;0,"Partial","Unpaid"))))</f>
        <v/>
      </c>
      <c r="T57" s="325">
        <f>IF($A57="","",IF($Q57&lt;=0,0,IF($R57="","",MAX(TODAY()-$R57,0))))</f>
        <v/>
      </c>
      <c r="U57" s="325">
        <f>IF($A57="","",IF($S57="Paid","Closed",IF($R57="","Review",IF(TODAY()&lt;=$R57,"Current",IF($T57&lt;=30,"1-30",IF($T57&lt;=60,"31-60",IF($T57&lt;=90,"61-90","90+")))))))</f>
        <v/>
      </c>
      <c r="V57" s="329">
        <f>IF($A57="","",IF(AND($S57="Paid",$H57&lt;&gt;""),$H57,""))</f>
        <v/>
      </c>
      <c r="W57" s="325">
        <f>IF($A57="","",IF(OR(COUNTIF($A$9:$A$108,$A57)&gt;1,$B57="",$C57="",$D57="",$E57="",$F57="",$J57="",$K57="",$L57&lt;=0,$G57&lt;0,$G57&gt;$L57,AND($S57="Paid",$H57="")),"REVIEW","OK"))</f>
        <v/>
      </c>
      <c r="X57" s="330">
        <f>IF($A57="","",LOWER($A57&amp;" "&amp;$C57&amp;" "&amp;$D57&amp;" "&amp;$S57&amp;" "&amp;$J57&amp;" "&amp;$K57&amp;" "&amp;$I57))</f>
        <v/>
      </c>
    </row>
    <row r="58">
      <c r="A58" s="205" t="n"/>
      <c r="B58" s="331" t="n"/>
      <c r="C58" s="207" t="n"/>
      <c r="D58" s="207" t="n"/>
      <c r="E58" s="207" t="n"/>
      <c r="F58" s="207" t="n"/>
      <c r="G58" s="332" t="n"/>
      <c r="H58" s="331" t="n"/>
      <c r="I58" s="207" t="n"/>
      <c r="J58" s="325">
        <f>IF($A58="","",IFERROR(VLOOKUP($C58,Setup!$A$36:$D$50,2,FALSE),""))</f>
        <v/>
      </c>
      <c r="K58" s="325">
        <f>IF($A58="","",IFERROR(VLOOKUP($C58,Setup!$A$36:$D$50,3,FALSE),""))</f>
        <v/>
      </c>
      <c r="L58" s="326">
        <f>IF($A58="","",SUMIF(Depletion!$A$9:$A$208,$A58,Depletion!$E$9:$E$208))</f>
        <v/>
      </c>
      <c r="M58" s="327">
        <f>IF($A58="","",SUMIF(Depletion!$A$9:$A$208,$A58,Depletion!$C$9:$C$208))</f>
        <v/>
      </c>
      <c r="N58" s="326">
        <f>IF($A58="","",SUMIF(Depletion!$A$9:$A$208,$A58,Depletion!$I$9:$I$208))</f>
        <v/>
      </c>
      <c r="O58" s="326">
        <f>IF($A58="","",$L58-$N58)</f>
        <v/>
      </c>
      <c r="P58" s="328">
        <f>IF($A58="","",IFERROR($O58/$L58,0))</f>
        <v/>
      </c>
      <c r="Q58" s="326">
        <f>IF($A58="","",MAX($L58-$G58,0))</f>
        <v/>
      </c>
      <c r="R58" s="329">
        <f>IF($A58="","",IFERROR($B58+VLOOKUP($F58,Setup!$A$82:$B$88,2,FALSE),""))</f>
        <v/>
      </c>
      <c r="S58" s="325">
        <f>IF($A58="","",IF($L58=0,"Draft",IF($Q58&lt;=0,"Paid",IF($G58&gt;0,"Partial","Unpaid"))))</f>
        <v/>
      </c>
      <c r="T58" s="325">
        <f>IF($A58="","",IF($Q58&lt;=0,0,IF($R58="","",MAX(TODAY()-$R58,0))))</f>
        <v/>
      </c>
      <c r="U58" s="325">
        <f>IF($A58="","",IF($S58="Paid","Closed",IF($R58="","Review",IF(TODAY()&lt;=$R58,"Current",IF($T58&lt;=30,"1-30",IF($T58&lt;=60,"31-60",IF($T58&lt;=90,"61-90","90+")))))))</f>
        <v/>
      </c>
      <c r="V58" s="329">
        <f>IF($A58="","",IF(AND($S58="Paid",$H58&lt;&gt;""),$H58,""))</f>
        <v/>
      </c>
      <c r="W58" s="325">
        <f>IF($A58="","",IF(OR(COUNTIF($A$9:$A$108,$A58)&gt;1,$B58="",$C58="",$D58="",$E58="",$F58="",$J58="",$K58="",$L58&lt;=0,$G58&lt;0,$G58&gt;$L58,AND($S58="Paid",$H58="")),"REVIEW","OK"))</f>
        <v/>
      </c>
      <c r="X58" s="330">
        <f>IF($A58="","",LOWER($A58&amp;" "&amp;$C58&amp;" "&amp;$D58&amp;" "&amp;$S58&amp;" "&amp;$J58&amp;" "&amp;$K58&amp;" "&amp;$I58))</f>
        <v/>
      </c>
    </row>
    <row r="59">
      <c r="A59" s="205" t="n"/>
      <c r="B59" s="331" t="n"/>
      <c r="C59" s="207" t="n"/>
      <c r="D59" s="207" t="n"/>
      <c r="E59" s="207" t="n"/>
      <c r="F59" s="207" t="n"/>
      <c r="G59" s="332" t="n"/>
      <c r="H59" s="331" t="n"/>
      <c r="I59" s="207" t="n"/>
      <c r="J59" s="325">
        <f>IF($A59="","",IFERROR(VLOOKUP($C59,Setup!$A$36:$D$50,2,FALSE),""))</f>
        <v/>
      </c>
      <c r="K59" s="325">
        <f>IF($A59="","",IFERROR(VLOOKUP($C59,Setup!$A$36:$D$50,3,FALSE),""))</f>
        <v/>
      </c>
      <c r="L59" s="326">
        <f>IF($A59="","",SUMIF(Depletion!$A$9:$A$208,$A59,Depletion!$E$9:$E$208))</f>
        <v/>
      </c>
      <c r="M59" s="327">
        <f>IF($A59="","",SUMIF(Depletion!$A$9:$A$208,$A59,Depletion!$C$9:$C$208))</f>
        <v/>
      </c>
      <c r="N59" s="326">
        <f>IF($A59="","",SUMIF(Depletion!$A$9:$A$208,$A59,Depletion!$I$9:$I$208))</f>
        <v/>
      </c>
      <c r="O59" s="326">
        <f>IF($A59="","",$L59-$N59)</f>
        <v/>
      </c>
      <c r="P59" s="328">
        <f>IF($A59="","",IFERROR($O59/$L59,0))</f>
        <v/>
      </c>
      <c r="Q59" s="326">
        <f>IF($A59="","",MAX($L59-$G59,0))</f>
        <v/>
      </c>
      <c r="R59" s="329">
        <f>IF($A59="","",IFERROR($B59+VLOOKUP($F59,Setup!$A$82:$B$88,2,FALSE),""))</f>
        <v/>
      </c>
      <c r="S59" s="325">
        <f>IF($A59="","",IF($L59=0,"Draft",IF($Q59&lt;=0,"Paid",IF($G59&gt;0,"Partial","Unpaid"))))</f>
        <v/>
      </c>
      <c r="T59" s="325">
        <f>IF($A59="","",IF($Q59&lt;=0,0,IF($R59="","",MAX(TODAY()-$R59,0))))</f>
        <v/>
      </c>
      <c r="U59" s="325">
        <f>IF($A59="","",IF($S59="Paid","Closed",IF($R59="","Review",IF(TODAY()&lt;=$R59,"Current",IF($T59&lt;=30,"1-30",IF($T59&lt;=60,"31-60",IF($T59&lt;=90,"61-90","90+")))))))</f>
        <v/>
      </c>
      <c r="V59" s="329">
        <f>IF($A59="","",IF(AND($S59="Paid",$H59&lt;&gt;""),$H59,""))</f>
        <v/>
      </c>
      <c r="W59" s="325">
        <f>IF($A59="","",IF(OR(COUNTIF($A$9:$A$108,$A59)&gt;1,$B59="",$C59="",$D59="",$E59="",$F59="",$J59="",$K59="",$L59&lt;=0,$G59&lt;0,$G59&gt;$L59,AND($S59="Paid",$H59="")),"REVIEW","OK"))</f>
        <v/>
      </c>
      <c r="X59" s="330">
        <f>IF($A59="","",LOWER($A59&amp;" "&amp;$C59&amp;" "&amp;$D59&amp;" "&amp;$S59&amp;" "&amp;$J59&amp;" "&amp;$K59&amp;" "&amp;$I59))</f>
        <v/>
      </c>
    </row>
    <row r="60">
      <c r="A60" s="205" t="n"/>
      <c r="B60" s="331" t="n"/>
      <c r="C60" s="207" t="n"/>
      <c r="D60" s="207" t="n"/>
      <c r="E60" s="207" t="n"/>
      <c r="F60" s="207" t="n"/>
      <c r="G60" s="332" t="n"/>
      <c r="H60" s="331" t="n"/>
      <c r="I60" s="207" t="n"/>
      <c r="J60" s="325">
        <f>IF($A60="","",IFERROR(VLOOKUP($C60,Setup!$A$36:$D$50,2,FALSE),""))</f>
        <v/>
      </c>
      <c r="K60" s="325">
        <f>IF($A60="","",IFERROR(VLOOKUP($C60,Setup!$A$36:$D$50,3,FALSE),""))</f>
        <v/>
      </c>
      <c r="L60" s="326">
        <f>IF($A60="","",SUMIF(Depletion!$A$9:$A$208,$A60,Depletion!$E$9:$E$208))</f>
        <v/>
      </c>
      <c r="M60" s="327">
        <f>IF($A60="","",SUMIF(Depletion!$A$9:$A$208,$A60,Depletion!$C$9:$C$208))</f>
        <v/>
      </c>
      <c r="N60" s="326">
        <f>IF($A60="","",SUMIF(Depletion!$A$9:$A$208,$A60,Depletion!$I$9:$I$208))</f>
        <v/>
      </c>
      <c r="O60" s="326">
        <f>IF($A60="","",$L60-$N60)</f>
        <v/>
      </c>
      <c r="P60" s="328">
        <f>IF($A60="","",IFERROR($O60/$L60,0))</f>
        <v/>
      </c>
      <c r="Q60" s="326">
        <f>IF($A60="","",MAX($L60-$G60,0))</f>
        <v/>
      </c>
      <c r="R60" s="329">
        <f>IF($A60="","",IFERROR($B60+VLOOKUP($F60,Setup!$A$82:$B$88,2,FALSE),""))</f>
        <v/>
      </c>
      <c r="S60" s="325">
        <f>IF($A60="","",IF($L60=0,"Draft",IF($Q60&lt;=0,"Paid",IF($G60&gt;0,"Partial","Unpaid"))))</f>
        <v/>
      </c>
      <c r="T60" s="325">
        <f>IF($A60="","",IF($Q60&lt;=0,0,IF($R60="","",MAX(TODAY()-$R60,0))))</f>
        <v/>
      </c>
      <c r="U60" s="325">
        <f>IF($A60="","",IF($S60="Paid","Closed",IF($R60="","Review",IF(TODAY()&lt;=$R60,"Current",IF($T60&lt;=30,"1-30",IF($T60&lt;=60,"31-60",IF($T60&lt;=90,"61-90","90+")))))))</f>
        <v/>
      </c>
      <c r="V60" s="329">
        <f>IF($A60="","",IF(AND($S60="Paid",$H60&lt;&gt;""),$H60,""))</f>
        <v/>
      </c>
      <c r="W60" s="325">
        <f>IF($A60="","",IF(OR(COUNTIF($A$9:$A$108,$A60)&gt;1,$B60="",$C60="",$D60="",$E60="",$F60="",$J60="",$K60="",$L60&lt;=0,$G60&lt;0,$G60&gt;$L60,AND($S60="Paid",$H60="")),"REVIEW","OK"))</f>
        <v/>
      </c>
      <c r="X60" s="330">
        <f>IF($A60="","",LOWER($A60&amp;" "&amp;$C60&amp;" "&amp;$D60&amp;" "&amp;$S60&amp;" "&amp;$J60&amp;" "&amp;$K60&amp;" "&amp;$I60))</f>
        <v/>
      </c>
    </row>
    <row r="61">
      <c r="A61" s="205" t="n"/>
      <c r="B61" s="331" t="n"/>
      <c r="C61" s="207" t="n"/>
      <c r="D61" s="207" t="n"/>
      <c r="E61" s="207" t="n"/>
      <c r="F61" s="207" t="n"/>
      <c r="G61" s="332" t="n"/>
      <c r="H61" s="331" t="n"/>
      <c r="I61" s="207" t="n"/>
      <c r="J61" s="325">
        <f>IF($A61="","",IFERROR(VLOOKUP($C61,Setup!$A$36:$D$50,2,FALSE),""))</f>
        <v/>
      </c>
      <c r="K61" s="325">
        <f>IF($A61="","",IFERROR(VLOOKUP($C61,Setup!$A$36:$D$50,3,FALSE),""))</f>
        <v/>
      </c>
      <c r="L61" s="326">
        <f>IF($A61="","",SUMIF(Depletion!$A$9:$A$208,$A61,Depletion!$E$9:$E$208))</f>
        <v/>
      </c>
      <c r="M61" s="327">
        <f>IF($A61="","",SUMIF(Depletion!$A$9:$A$208,$A61,Depletion!$C$9:$C$208))</f>
        <v/>
      </c>
      <c r="N61" s="326">
        <f>IF($A61="","",SUMIF(Depletion!$A$9:$A$208,$A61,Depletion!$I$9:$I$208))</f>
        <v/>
      </c>
      <c r="O61" s="326">
        <f>IF($A61="","",$L61-$N61)</f>
        <v/>
      </c>
      <c r="P61" s="328">
        <f>IF($A61="","",IFERROR($O61/$L61,0))</f>
        <v/>
      </c>
      <c r="Q61" s="326">
        <f>IF($A61="","",MAX($L61-$G61,0))</f>
        <v/>
      </c>
      <c r="R61" s="329">
        <f>IF($A61="","",IFERROR($B61+VLOOKUP($F61,Setup!$A$82:$B$88,2,FALSE),""))</f>
        <v/>
      </c>
      <c r="S61" s="325">
        <f>IF($A61="","",IF($L61=0,"Draft",IF($Q61&lt;=0,"Paid",IF($G61&gt;0,"Partial","Unpaid"))))</f>
        <v/>
      </c>
      <c r="T61" s="325">
        <f>IF($A61="","",IF($Q61&lt;=0,0,IF($R61="","",MAX(TODAY()-$R61,0))))</f>
        <v/>
      </c>
      <c r="U61" s="325">
        <f>IF($A61="","",IF($S61="Paid","Closed",IF($R61="","Review",IF(TODAY()&lt;=$R61,"Current",IF($T61&lt;=30,"1-30",IF($T61&lt;=60,"31-60",IF($T61&lt;=90,"61-90","90+")))))))</f>
        <v/>
      </c>
      <c r="V61" s="329">
        <f>IF($A61="","",IF(AND($S61="Paid",$H61&lt;&gt;""),$H61,""))</f>
        <v/>
      </c>
      <c r="W61" s="325">
        <f>IF($A61="","",IF(OR(COUNTIF($A$9:$A$108,$A61)&gt;1,$B61="",$C61="",$D61="",$E61="",$F61="",$J61="",$K61="",$L61&lt;=0,$G61&lt;0,$G61&gt;$L61,AND($S61="Paid",$H61="")),"REVIEW","OK"))</f>
        <v/>
      </c>
      <c r="X61" s="330">
        <f>IF($A61="","",LOWER($A61&amp;" "&amp;$C61&amp;" "&amp;$D61&amp;" "&amp;$S61&amp;" "&amp;$J61&amp;" "&amp;$K61&amp;" "&amp;$I61))</f>
        <v/>
      </c>
    </row>
    <row r="62">
      <c r="A62" s="205" t="n"/>
      <c r="B62" s="331" t="n"/>
      <c r="C62" s="207" t="n"/>
      <c r="D62" s="207" t="n"/>
      <c r="E62" s="207" t="n"/>
      <c r="F62" s="207" t="n"/>
      <c r="G62" s="332" t="n"/>
      <c r="H62" s="331" t="n"/>
      <c r="I62" s="207" t="n"/>
      <c r="J62" s="325">
        <f>IF($A62="","",IFERROR(VLOOKUP($C62,Setup!$A$36:$D$50,2,FALSE),""))</f>
        <v/>
      </c>
      <c r="K62" s="325">
        <f>IF($A62="","",IFERROR(VLOOKUP($C62,Setup!$A$36:$D$50,3,FALSE),""))</f>
        <v/>
      </c>
      <c r="L62" s="326">
        <f>IF($A62="","",SUMIF(Depletion!$A$9:$A$208,$A62,Depletion!$E$9:$E$208))</f>
        <v/>
      </c>
      <c r="M62" s="327">
        <f>IF($A62="","",SUMIF(Depletion!$A$9:$A$208,$A62,Depletion!$C$9:$C$208))</f>
        <v/>
      </c>
      <c r="N62" s="326">
        <f>IF($A62="","",SUMIF(Depletion!$A$9:$A$208,$A62,Depletion!$I$9:$I$208))</f>
        <v/>
      </c>
      <c r="O62" s="326">
        <f>IF($A62="","",$L62-$N62)</f>
        <v/>
      </c>
      <c r="P62" s="328">
        <f>IF($A62="","",IFERROR($O62/$L62,0))</f>
        <v/>
      </c>
      <c r="Q62" s="326">
        <f>IF($A62="","",MAX($L62-$G62,0))</f>
        <v/>
      </c>
      <c r="R62" s="329">
        <f>IF($A62="","",IFERROR($B62+VLOOKUP($F62,Setup!$A$82:$B$88,2,FALSE),""))</f>
        <v/>
      </c>
      <c r="S62" s="325">
        <f>IF($A62="","",IF($L62=0,"Draft",IF($Q62&lt;=0,"Paid",IF($G62&gt;0,"Partial","Unpaid"))))</f>
        <v/>
      </c>
      <c r="T62" s="325">
        <f>IF($A62="","",IF($Q62&lt;=0,0,IF($R62="","",MAX(TODAY()-$R62,0))))</f>
        <v/>
      </c>
      <c r="U62" s="325">
        <f>IF($A62="","",IF($S62="Paid","Closed",IF($R62="","Review",IF(TODAY()&lt;=$R62,"Current",IF($T62&lt;=30,"1-30",IF($T62&lt;=60,"31-60",IF($T62&lt;=90,"61-90","90+")))))))</f>
        <v/>
      </c>
      <c r="V62" s="329">
        <f>IF($A62="","",IF(AND($S62="Paid",$H62&lt;&gt;""),$H62,""))</f>
        <v/>
      </c>
      <c r="W62" s="325">
        <f>IF($A62="","",IF(OR(COUNTIF($A$9:$A$108,$A62)&gt;1,$B62="",$C62="",$D62="",$E62="",$F62="",$J62="",$K62="",$L62&lt;=0,$G62&lt;0,$G62&gt;$L62,AND($S62="Paid",$H62="")),"REVIEW","OK"))</f>
        <v/>
      </c>
      <c r="X62" s="330">
        <f>IF($A62="","",LOWER($A62&amp;" "&amp;$C62&amp;" "&amp;$D62&amp;" "&amp;$S62&amp;" "&amp;$J62&amp;" "&amp;$K62&amp;" "&amp;$I62))</f>
        <v/>
      </c>
    </row>
    <row r="63">
      <c r="A63" s="205" t="n"/>
      <c r="B63" s="331" t="n"/>
      <c r="C63" s="207" t="n"/>
      <c r="D63" s="207" t="n"/>
      <c r="E63" s="207" t="n"/>
      <c r="F63" s="207" t="n"/>
      <c r="G63" s="332" t="n"/>
      <c r="H63" s="331" t="n"/>
      <c r="I63" s="207" t="n"/>
      <c r="J63" s="325">
        <f>IF($A63="","",IFERROR(VLOOKUP($C63,Setup!$A$36:$D$50,2,FALSE),""))</f>
        <v/>
      </c>
      <c r="K63" s="325">
        <f>IF($A63="","",IFERROR(VLOOKUP($C63,Setup!$A$36:$D$50,3,FALSE),""))</f>
        <v/>
      </c>
      <c r="L63" s="326">
        <f>IF($A63="","",SUMIF(Depletion!$A$9:$A$208,$A63,Depletion!$E$9:$E$208))</f>
        <v/>
      </c>
      <c r="M63" s="327">
        <f>IF($A63="","",SUMIF(Depletion!$A$9:$A$208,$A63,Depletion!$C$9:$C$208))</f>
        <v/>
      </c>
      <c r="N63" s="326">
        <f>IF($A63="","",SUMIF(Depletion!$A$9:$A$208,$A63,Depletion!$I$9:$I$208))</f>
        <v/>
      </c>
      <c r="O63" s="326">
        <f>IF($A63="","",$L63-$N63)</f>
        <v/>
      </c>
      <c r="P63" s="328">
        <f>IF($A63="","",IFERROR($O63/$L63,0))</f>
        <v/>
      </c>
      <c r="Q63" s="326">
        <f>IF($A63="","",MAX($L63-$G63,0))</f>
        <v/>
      </c>
      <c r="R63" s="329">
        <f>IF($A63="","",IFERROR($B63+VLOOKUP($F63,Setup!$A$82:$B$88,2,FALSE),""))</f>
        <v/>
      </c>
      <c r="S63" s="325">
        <f>IF($A63="","",IF($L63=0,"Draft",IF($Q63&lt;=0,"Paid",IF($G63&gt;0,"Partial","Unpaid"))))</f>
        <v/>
      </c>
      <c r="T63" s="325">
        <f>IF($A63="","",IF($Q63&lt;=0,0,IF($R63="","",MAX(TODAY()-$R63,0))))</f>
        <v/>
      </c>
      <c r="U63" s="325">
        <f>IF($A63="","",IF($S63="Paid","Closed",IF($R63="","Review",IF(TODAY()&lt;=$R63,"Current",IF($T63&lt;=30,"1-30",IF($T63&lt;=60,"31-60",IF($T63&lt;=90,"61-90","90+")))))))</f>
        <v/>
      </c>
      <c r="V63" s="329">
        <f>IF($A63="","",IF(AND($S63="Paid",$H63&lt;&gt;""),$H63,""))</f>
        <v/>
      </c>
      <c r="W63" s="325">
        <f>IF($A63="","",IF(OR(COUNTIF($A$9:$A$108,$A63)&gt;1,$B63="",$C63="",$D63="",$E63="",$F63="",$J63="",$K63="",$L63&lt;=0,$G63&lt;0,$G63&gt;$L63,AND($S63="Paid",$H63="")),"REVIEW","OK"))</f>
        <v/>
      </c>
      <c r="X63" s="330">
        <f>IF($A63="","",LOWER($A63&amp;" "&amp;$C63&amp;" "&amp;$D63&amp;" "&amp;$S63&amp;" "&amp;$J63&amp;" "&amp;$K63&amp;" "&amp;$I63))</f>
        <v/>
      </c>
    </row>
    <row r="64">
      <c r="A64" s="205" t="n"/>
      <c r="B64" s="331" t="n"/>
      <c r="C64" s="207" t="n"/>
      <c r="D64" s="207" t="n"/>
      <c r="E64" s="207" t="n"/>
      <c r="F64" s="207" t="n"/>
      <c r="G64" s="332" t="n"/>
      <c r="H64" s="331" t="n"/>
      <c r="I64" s="207" t="n"/>
      <c r="J64" s="325">
        <f>IF($A64="","",IFERROR(VLOOKUP($C64,Setup!$A$36:$D$50,2,FALSE),""))</f>
        <v/>
      </c>
      <c r="K64" s="325">
        <f>IF($A64="","",IFERROR(VLOOKUP($C64,Setup!$A$36:$D$50,3,FALSE),""))</f>
        <v/>
      </c>
      <c r="L64" s="326">
        <f>IF($A64="","",SUMIF(Depletion!$A$9:$A$208,$A64,Depletion!$E$9:$E$208))</f>
        <v/>
      </c>
      <c r="M64" s="327">
        <f>IF($A64="","",SUMIF(Depletion!$A$9:$A$208,$A64,Depletion!$C$9:$C$208))</f>
        <v/>
      </c>
      <c r="N64" s="326">
        <f>IF($A64="","",SUMIF(Depletion!$A$9:$A$208,$A64,Depletion!$I$9:$I$208))</f>
        <v/>
      </c>
      <c r="O64" s="326">
        <f>IF($A64="","",$L64-$N64)</f>
        <v/>
      </c>
      <c r="P64" s="328">
        <f>IF($A64="","",IFERROR($O64/$L64,0))</f>
        <v/>
      </c>
      <c r="Q64" s="326">
        <f>IF($A64="","",MAX($L64-$G64,0))</f>
        <v/>
      </c>
      <c r="R64" s="329">
        <f>IF($A64="","",IFERROR($B64+VLOOKUP($F64,Setup!$A$82:$B$88,2,FALSE),""))</f>
        <v/>
      </c>
      <c r="S64" s="325">
        <f>IF($A64="","",IF($L64=0,"Draft",IF($Q64&lt;=0,"Paid",IF($G64&gt;0,"Partial","Unpaid"))))</f>
        <v/>
      </c>
      <c r="T64" s="325">
        <f>IF($A64="","",IF($Q64&lt;=0,0,IF($R64="","",MAX(TODAY()-$R64,0))))</f>
        <v/>
      </c>
      <c r="U64" s="325">
        <f>IF($A64="","",IF($S64="Paid","Closed",IF($R64="","Review",IF(TODAY()&lt;=$R64,"Current",IF($T64&lt;=30,"1-30",IF($T64&lt;=60,"31-60",IF($T64&lt;=90,"61-90","90+")))))))</f>
        <v/>
      </c>
      <c r="V64" s="329">
        <f>IF($A64="","",IF(AND($S64="Paid",$H64&lt;&gt;""),$H64,""))</f>
        <v/>
      </c>
      <c r="W64" s="325">
        <f>IF($A64="","",IF(OR(COUNTIF($A$9:$A$108,$A64)&gt;1,$B64="",$C64="",$D64="",$E64="",$F64="",$J64="",$K64="",$L64&lt;=0,$G64&lt;0,$G64&gt;$L64,AND($S64="Paid",$H64="")),"REVIEW","OK"))</f>
        <v/>
      </c>
      <c r="X64" s="330">
        <f>IF($A64="","",LOWER($A64&amp;" "&amp;$C64&amp;" "&amp;$D64&amp;" "&amp;$S64&amp;" "&amp;$J64&amp;" "&amp;$K64&amp;" "&amp;$I64))</f>
        <v/>
      </c>
    </row>
    <row r="65">
      <c r="A65" s="205" t="n"/>
      <c r="B65" s="331" t="n"/>
      <c r="C65" s="207" t="n"/>
      <c r="D65" s="207" t="n"/>
      <c r="E65" s="207" t="n"/>
      <c r="F65" s="207" t="n"/>
      <c r="G65" s="332" t="n"/>
      <c r="H65" s="331" t="n"/>
      <c r="I65" s="207" t="n"/>
      <c r="J65" s="325">
        <f>IF($A65="","",IFERROR(VLOOKUP($C65,Setup!$A$36:$D$50,2,FALSE),""))</f>
        <v/>
      </c>
      <c r="K65" s="325">
        <f>IF($A65="","",IFERROR(VLOOKUP($C65,Setup!$A$36:$D$50,3,FALSE),""))</f>
        <v/>
      </c>
      <c r="L65" s="326">
        <f>IF($A65="","",SUMIF(Depletion!$A$9:$A$208,$A65,Depletion!$E$9:$E$208))</f>
        <v/>
      </c>
      <c r="M65" s="327">
        <f>IF($A65="","",SUMIF(Depletion!$A$9:$A$208,$A65,Depletion!$C$9:$C$208))</f>
        <v/>
      </c>
      <c r="N65" s="326">
        <f>IF($A65="","",SUMIF(Depletion!$A$9:$A$208,$A65,Depletion!$I$9:$I$208))</f>
        <v/>
      </c>
      <c r="O65" s="326">
        <f>IF($A65="","",$L65-$N65)</f>
        <v/>
      </c>
      <c r="P65" s="328">
        <f>IF($A65="","",IFERROR($O65/$L65,0))</f>
        <v/>
      </c>
      <c r="Q65" s="326">
        <f>IF($A65="","",MAX($L65-$G65,0))</f>
        <v/>
      </c>
      <c r="R65" s="329">
        <f>IF($A65="","",IFERROR($B65+VLOOKUP($F65,Setup!$A$82:$B$88,2,FALSE),""))</f>
        <v/>
      </c>
      <c r="S65" s="325">
        <f>IF($A65="","",IF($L65=0,"Draft",IF($Q65&lt;=0,"Paid",IF($G65&gt;0,"Partial","Unpaid"))))</f>
        <v/>
      </c>
      <c r="T65" s="325">
        <f>IF($A65="","",IF($Q65&lt;=0,0,IF($R65="","",MAX(TODAY()-$R65,0))))</f>
        <v/>
      </c>
      <c r="U65" s="325">
        <f>IF($A65="","",IF($S65="Paid","Closed",IF($R65="","Review",IF(TODAY()&lt;=$R65,"Current",IF($T65&lt;=30,"1-30",IF($T65&lt;=60,"31-60",IF($T65&lt;=90,"61-90","90+")))))))</f>
        <v/>
      </c>
      <c r="V65" s="329">
        <f>IF($A65="","",IF(AND($S65="Paid",$H65&lt;&gt;""),$H65,""))</f>
        <v/>
      </c>
      <c r="W65" s="325">
        <f>IF($A65="","",IF(OR(COUNTIF($A$9:$A$108,$A65)&gt;1,$B65="",$C65="",$D65="",$E65="",$F65="",$J65="",$K65="",$L65&lt;=0,$G65&lt;0,$G65&gt;$L65,AND($S65="Paid",$H65="")),"REVIEW","OK"))</f>
        <v/>
      </c>
      <c r="X65" s="330">
        <f>IF($A65="","",LOWER($A65&amp;" "&amp;$C65&amp;" "&amp;$D65&amp;" "&amp;$S65&amp;" "&amp;$J65&amp;" "&amp;$K65&amp;" "&amp;$I65))</f>
        <v/>
      </c>
    </row>
    <row r="66">
      <c r="A66" s="205" t="n"/>
      <c r="B66" s="331" t="n"/>
      <c r="C66" s="207" t="n"/>
      <c r="D66" s="207" t="n"/>
      <c r="E66" s="207" t="n"/>
      <c r="F66" s="207" t="n"/>
      <c r="G66" s="332" t="n"/>
      <c r="H66" s="331" t="n"/>
      <c r="I66" s="207" t="n"/>
      <c r="J66" s="325">
        <f>IF($A66="","",IFERROR(VLOOKUP($C66,Setup!$A$36:$D$50,2,FALSE),""))</f>
        <v/>
      </c>
      <c r="K66" s="325">
        <f>IF($A66="","",IFERROR(VLOOKUP($C66,Setup!$A$36:$D$50,3,FALSE),""))</f>
        <v/>
      </c>
      <c r="L66" s="326">
        <f>IF($A66="","",SUMIF(Depletion!$A$9:$A$208,$A66,Depletion!$E$9:$E$208))</f>
        <v/>
      </c>
      <c r="M66" s="327">
        <f>IF($A66="","",SUMIF(Depletion!$A$9:$A$208,$A66,Depletion!$C$9:$C$208))</f>
        <v/>
      </c>
      <c r="N66" s="326">
        <f>IF($A66="","",SUMIF(Depletion!$A$9:$A$208,$A66,Depletion!$I$9:$I$208))</f>
        <v/>
      </c>
      <c r="O66" s="326">
        <f>IF($A66="","",$L66-$N66)</f>
        <v/>
      </c>
      <c r="P66" s="328">
        <f>IF($A66="","",IFERROR($O66/$L66,0))</f>
        <v/>
      </c>
      <c r="Q66" s="326">
        <f>IF($A66="","",MAX($L66-$G66,0))</f>
        <v/>
      </c>
      <c r="R66" s="329">
        <f>IF($A66="","",IFERROR($B66+VLOOKUP($F66,Setup!$A$82:$B$88,2,FALSE),""))</f>
        <v/>
      </c>
      <c r="S66" s="325">
        <f>IF($A66="","",IF($L66=0,"Draft",IF($Q66&lt;=0,"Paid",IF($G66&gt;0,"Partial","Unpaid"))))</f>
        <v/>
      </c>
      <c r="T66" s="325">
        <f>IF($A66="","",IF($Q66&lt;=0,0,IF($R66="","",MAX(TODAY()-$R66,0))))</f>
        <v/>
      </c>
      <c r="U66" s="325">
        <f>IF($A66="","",IF($S66="Paid","Closed",IF($R66="","Review",IF(TODAY()&lt;=$R66,"Current",IF($T66&lt;=30,"1-30",IF($T66&lt;=60,"31-60",IF($T66&lt;=90,"61-90","90+")))))))</f>
        <v/>
      </c>
      <c r="V66" s="329">
        <f>IF($A66="","",IF(AND($S66="Paid",$H66&lt;&gt;""),$H66,""))</f>
        <v/>
      </c>
      <c r="W66" s="325">
        <f>IF($A66="","",IF(OR(COUNTIF($A$9:$A$108,$A66)&gt;1,$B66="",$C66="",$D66="",$E66="",$F66="",$J66="",$K66="",$L66&lt;=0,$G66&lt;0,$G66&gt;$L66,AND($S66="Paid",$H66="")),"REVIEW","OK"))</f>
        <v/>
      </c>
      <c r="X66" s="330">
        <f>IF($A66="","",LOWER($A66&amp;" "&amp;$C66&amp;" "&amp;$D66&amp;" "&amp;$S66&amp;" "&amp;$J66&amp;" "&amp;$K66&amp;" "&amp;$I66))</f>
        <v/>
      </c>
    </row>
    <row r="67">
      <c r="A67" s="205" t="n"/>
      <c r="B67" s="331" t="n"/>
      <c r="C67" s="207" t="n"/>
      <c r="D67" s="207" t="n"/>
      <c r="E67" s="207" t="n"/>
      <c r="F67" s="207" t="n"/>
      <c r="G67" s="332" t="n"/>
      <c r="H67" s="331" t="n"/>
      <c r="I67" s="207" t="n"/>
      <c r="J67" s="325">
        <f>IF($A67="","",IFERROR(VLOOKUP($C67,Setup!$A$36:$D$50,2,FALSE),""))</f>
        <v/>
      </c>
      <c r="K67" s="325">
        <f>IF($A67="","",IFERROR(VLOOKUP($C67,Setup!$A$36:$D$50,3,FALSE),""))</f>
        <v/>
      </c>
      <c r="L67" s="326">
        <f>IF($A67="","",SUMIF(Depletion!$A$9:$A$208,$A67,Depletion!$E$9:$E$208))</f>
        <v/>
      </c>
      <c r="M67" s="327">
        <f>IF($A67="","",SUMIF(Depletion!$A$9:$A$208,$A67,Depletion!$C$9:$C$208))</f>
        <v/>
      </c>
      <c r="N67" s="326">
        <f>IF($A67="","",SUMIF(Depletion!$A$9:$A$208,$A67,Depletion!$I$9:$I$208))</f>
        <v/>
      </c>
      <c r="O67" s="326">
        <f>IF($A67="","",$L67-$N67)</f>
        <v/>
      </c>
      <c r="P67" s="328">
        <f>IF($A67="","",IFERROR($O67/$L67,0))</f>
        <v/>
      </c>
      <c r="Q67" s="326">
        <f>IF($A67="","",MAX($L67-$G67,0))</f>
        <v/>
      </c>
      <c r="R67" s="329">
        <f>IF($A67="","",IFERROR($B67+VLOOKUP($F67,Setup!$A$82:$B$88,2,FALSE),""))</f>
        <v/>
      </c>
      <c r="S67" s="325">
        <f>IF($A67="","",IF($L67=0,"Draft",IF($Q67&lt;=0,"Paid",IF($G67&gt;0,"Partial","Unpaid"))))</f>
        <v/>
      </c>
      <c r="T67" s="325">
        <f>IF($A67="","",IF($Q67&lt;=0,0,IF($R67="","",MAX(TODAY()-$R67,0))))</f>
        <v/>
      </c>
      <c r="U67" s="325">
        <f>IF($A67="","",IF($S67="Paid","Closed",IF($R67="","Review",IF(TODAY()&lt;=$R67,"Current",IF($T67&lt;=30,"1-30",IF($T67&lt;=60,"31-60",IF($T67&lt;=90,"61-90","90+")))))))</f>
        <v/>
      </c>
      <c r="V67" s="329">
        <f>IF($A67="","",IF(AND($S67="Paid",$H67&lt;&gt;""),$H67,""))</f>
        <v/>
      </c>
      <c r="W67" s="325">
        <f>IF($A67="","",IF(OR(COUNTIF($A$9:$A$108,$A67)&gt;1,$B67="",$C67="",$D67="",$E67="",$F67="",$J67="",$K67="",$L67&lt;=0,$G67&lt;0,$G67&gt;$L67,AND($S67="Paid",$H67="")),"REVIEW","OK"))</f>
        <v/>
      </c>
      <c r="X67" s="330">
        <f>IF($A67="","",LOWER($A67&amp;" "&amp;$C67&amp;" "&amp;$D67&amp;" "&amp;$S67&amp;" "&amp;$J67&amp;" "&amp;$K67&amp;" "&amp;$I67))</f>
        <v/>
      </c>
    </row>
    <row r="68">
      <c r="A68" s="205" t="n"/>
      <c r="B68" s="331" t="n"/>
      <c r="C68" s="207" t="n"/>
      <c r="D68" s="207" t="n"/>
      <c r="E68" s="207" t="n"/>
      <c r="F68" s="207" t="n"/>
      <c r="G68" s="332" t="n"/>
      <c r="H68" s="331" t="n"/>
      <c r="I68" s="207" t="n"/>
      <c r="J68" s="325">
        <f>IF($A68="","",IFERROR(VLOOKUP($C68,Setup!$A$36:$D$50,2,FALSE),""))</f>
        <v/>
      </c>
      <c r="K68" s="325">
        <f>IF($A68="","",IFERROR(VLOOKUP($C68,Setup!$A$36:$D$50,3,FALSE),""))</f>
        <v/>
      </c>
      <c r="L68" s="326">
        <f>IF($A68="","",SUMIF(Depletion!$A$9:$A$208,$A68,Depletion!$E$9:$E$208))</f>
        <v/>
      </c>
      <c r="M68" s="327">
        <f>IF($A68="","",SUMIF(Depletion!$A$9:$A$208,$A68,Depletion!$C$9:$C$208))</f>
        <v/>
      </c>
      <c r="N68" s="326">
        <f>IF($A68="","",SUMIF(Depletion!$A$9:$A$208,$A68,Depletion!$I$9:$I$208))</f>
        <v/>
      </c>
      <c r="O68" s="326">
        <f>IF($A68="","",$L68-$N68)</f>
        <v/>
      </c>
      <c r="P68" s="328">
        <f>IF($A68="","",IFERROR($O68/$L68,0))</f>
        <v/>
      </c>
      <c r="Q68" s="326">
        <f>IF($A68="","",MAX($L68-$G68,0))</f>
        <v/>
      </c>
      <c r="R68" s="329">
        <f>IF($A68="","",IFERROR($B68+VLOOKUP($F68,Setup!$A$82:$B$88,2,FALSE),""))</f>
        <v/>
      </c>
      <c r="S68" s="325">
        <f>IF($A68="","",IF($L68=0,"Draft",IF($Q68&lt;=0,"Paid",IF($G68&gt;0,"Partial","Unpaid"))))</f>
        <v/>
      </c>
      <c r="T68" s="325">
        <f>IF($A68="","",IF($Q68&lt;=0,0,IF($R68="","",MAX(TODAY()-$R68,0))))</f>
        <v/>
      </c>
      <c r="U68" s="325">
        <f>IF($A68="","",IF($S68="Paid","Closed",IF($R68="","Review",IF(TODAY()&lt;=$R68,"Current",IF($T68&lt;=30,"1-30",IF($T68&lt;=60,"31-60",IF($T68&lt;=90,"61-90","90+")))))))</f>
        <v/>
      </c>
      <c r="V68" s="329">
        <f>IF($A68="","",IF(AND($S68="Paid",$H68&lt;&gt;""),$H68,""))</f>
        <v/>
      </c>
      <c r="W68" s="325">
        <f>IF($A68="","",IF(OR(COUNTIF($A$9:$A$108,$A68)&gt;1,$B68="",$C68="",$D68="",$E68="",$F68="",$J68="",$K68="",$L68&lt;=0,$G68&lt;0,$G68&gt;$L68,AND($S68="Paid",$H68="")),"REVIEW","OK"))</f>
        <v/>
      </c>
      <c r="X68" s="330">
        <f>IF($A68="","",LOWER($A68&amp;" "&amp;$C68&amp;" "&amp;$D68&amp;" "&amp;$S68&amp;" "&amp;$J68&amp;" "&amp;$K68&amp;" "&amp;$I68))</f>
        <v/>
      </c>
    </row>
    <row r="69">
      <c r="A69" s="205" t="n"/>
      <c r="B69" s="331" t="n"/>
      <c r="C69" s="207" t="n"/>
      <c r="D69" s="207" t="n"/>
      <c r="E69" s="207" t="n"/>
      <c r="F69" s="207" t="n"/>
      <c r="G69" s="332" t="n"/>
      <c r="H69" s="331" t="n"/>
      <c r="I69" s="207" t="n"/>
      <c r="J69" s="325">
        <f>IF($A69="","",IFERROR(VLOOKUP($C69,Setup!$A$36:$D$50,2,FALSE),""))</f>
        <v/>
      </c>
      <c r="K69" s="325">
        <f>IF($A69="","",IFERROR(VLOOKUP($C69,Setup!$A$36:$D$50,3,FALSE),""))</f>
        <v/>
      </c>
      <c r="L69" s="326">
        <f>IF($A69="","",SUMIF(Depletion!$A$9:$A$208,$A69,Depletion!$E$9:$E$208))</f>
        <v/>
      </c>
      <c r="M69" s="327">
        <f>IF($A69="","",SUMIF(Depletion!$A$9:$A$208,$A69,Depletion!$C$9:$C$208))</f>
        <v/>
      </c>
      <c r="N69" s="326">
        <f>IF($A69="","",SUMIF(Depletion!$A$9:$A$208,$A69,Depletion!$I$9:$I$208))</f>
        <v/>
      </c>
      <c r="O69" s="326">
        <f>IF($A69="","",$L69-$N69)</f>
        <v/>
      </c>
      <c r="P69" s="328">
        <f>IF($A69="","",IFERROR($O69/$L69,0))</f>
        <v/>
      </c>
      <c r="Q69" s="326">
        <f>IF($A69="","",MAX($L69-$G69,0))</f>
        <v/>
      </c>
      <c r="R69" s="329">
        <f>IF($A69="","",IFERROR($B69+VLOOKUP($F69,Setup!$A$82:$B$88,2,FALSE),""))</f>
        <v/>
      </c>
      <c r="S69" s="325">
        <f>IF($A69="","",IF($L69=0,"Draft",IF($Q69&lt;=0,"Paid",IF($G69&gt;0,"Partial","Unpaid"))))</f>
        <v/>
      </c>
      <c r="T69" s="325">
        <f>IF($A69="","",IF($Q69&lt;=0,0,IF($R69="","",MAX(TODAY()-$R69,0))))</f>
        <v/>
      </c>
      <c r="U69" s="325">
        <f>IF($A69="","",IF($S69="Paid","Closed",IF($R69="","Review",IF(TODAY()&lt;=$R69,"Current",IF($T69&lt;=30,"1-30",IF($T69&lt;=60,"31-60",IF($T69&lt;=90,"61-90","90+")))))))</f>
        <v/>
      </c>
      <c r="V69" s="329">
        <f>IF($A69="","",IF(AND($S69="Paid",$H69&lt;&gt;""),$H69,""))</f>
        <v/>
      </c>
      <c r="W69" s="325">
        <f>IF($A69="","",IF(OR(COUNTIF($A$9:$A$108,$A69)&gt;1,$B69="",$C69="",$D69="",$E69="",$F69="",$J69="",$K69="",$L69&lt;=0,$G69&lt;0,$G69&gt;$L69,AND($S69="Paid",$H69="")),"REVIEW","OK"))</f>
        <v/>
      </c>
      <c r="X69" s="330">
        <f>IF($A69="","",LOWER($A69&amp;" "&amp;$C69&amp;" "&amp;$D69&amp;" "&amp;$S69&amp;" "&amp;$J69&amp;" "&amp;$K69&amp;" "&amp;$I69))</f>
        <v/>
      </c>
    </row>
    <row r="70">
      <c r="A70" s="205" t="n"/>
      <c r="B70" s="331" t="n"/>
      <c r="C70" s="207" t="n"/>
      <c r="D70" s="207" t="n"/>
      <c r="E70" s="207" t="n"/>
      <c r="F70" s="207" t="n"/>
      <c r="G70" s="332" t="n"/>
      <c r="H70" s="331" t="n"/>
      <c r="I70" s="207" t="n"/>
      <c r="J70" s="325">
        <f>IF($A70="","",IFERROR(VLOOKUP($C70,Setup!$A$36:$D$50,2,FALSE),""))</f>
        <v/>
      </c>
      <c r="K70" s="325">
        <f>IF($A70="","",IFERROR(VLOOKUP($C70,Setup!$A$36:$D$50,3,FALSE),""))</f>
        <v/>
      </c>
      <c r="L70" s="326">
        <f>IF($A70="","",SUMIF(Depletion!$A$9:$A$208,$A70,Depletion!$E$9:$E$208))</f>
        <v/>
      </c>
      <c r="M70" s="327">
        <f>IF($A70="","",SUMIF(Depletion!$A$9:$A$208,$A70,Depletion!$C$9:$C$208))</f>
        <v/>
      </c>
      <c r="N70" s="326">
        <f>IF($A70="","",SUMIF(Depletion!$A$9:$A$208,$A70,Depletion!$I$9:$I$208))</f>
        <v/>
      </c>
      <c r="O70" s="326">
        <f>IF($A70="","",$L70-$N70)</f>
        <v/>
      </c>
      <c r="P70" s="328">
        <f>IF($A70="","",IFERROR($O70/$L70,0))</f>
        <v/>
      </c>
      <c r="Q70" s="326">
        <f>IF($A70="","",MAX($L70-$G70,0))</f>
        <v/>
      </c>
      <c r="R70" s="329">
        <f>IF($A70="","",IFERROR($B70+VLOOKUP($F70,Setup!$A$82:$B$88,2,FALSE),""))</f>
        <v/>
      </c>
      <c r="S70" s="325">
        <f>IF($A70="","",IF($L70=0,"Draft",IF($Q70&lt;=0,"Paid",IF($G70&gt;0,"Partial","Unpaid"))))</f>
        <v/>
      </c>
      <c r="T70" s="325">
        <f>IF($A70="","",IF($Q70&lt;=0,0,IF($R70="","",MAX(TODAY()-$R70,0))))</f>
        <v/>
      </c>
      <c r="U70" s="325">
        <f>IF($A70="","",IF($S70="Paid","Closed",IF($R70="","Review",IF(TODAY()&lt;=$R70,"Current",IF($T70&lt;=30,"1-30",IF($T70&lt;=60,"31-60",IF($T70&lt;=90,"61-90","90+")))))))</f>
        <v/>
      </c>
      <c r="V70" s="329">
        <f>IF($A70="","",IF(AND($S70="Paid",$H70&lt;&gt;""),$H70,""))</f>
        <v/>
      </c>
      <c r="W70" s="325">
        <f>IF($A70="","",IF(OR(COUNTIF($A$9:$A$108,$A70)&gt;1,$B70="",$C70="",$D70="",$E70="",$F70="",$J70="",$K70="",$L70&lt;=0,$G70&lt;0,$G70&gt;$L70,AND($S70="Paid",$H70="")),"REVIEW","OK"))</f>
        <v/>
      </c>
      <c r="X70" s="330">
        <f>IF($A70="","",LOWER($A70&amp;" "&amp;$C70&amp;" "&amp;$D70&amp;" "&amp;$S70&amp;" "&amp;$J70&amp;" "&amp;$K70&amp;" "&amp;$I70))</f>
        <v/>
      </c>
    </row>
    <row r="71">
      <c r="A71" s="205" t="n"/>
      <c r="B71" s="331" t="n"/>
      <c r="C71" s="207" t="n"/>
      <c r="D71" s="207" t="n"/>
      <c r="E71" s="207" t="n"/>
      <c r="F71" s="207" t="n"/>
      <c r="G71" s="332" t="n"/>
      <c r="H71" s="331" t="n"/>
      <c r="I71" s="207" t="n"/>
      <c r="J71" s="325">
        <f>IF($A71="","",IFERROR(VLOOKUP($C71,Setup!$A$36:$D$50,2,FALSE),""))</f>
        <v/>
      </c>
      <c r="K71" s="325">
        <f>IF($A71="","",IFERROR(VLOOKUP($C71,Setup!$A$36:$D$50,3,FALSE),""))</f>
        <v/>
      </c>
      <c r="L71" s="326">
        <f>IF($A71="","",SUMIF(Depletion!$A$9:$A$208,$A71,Depletion!$E$9:$E$208))</f>
        <v/>
      </c>
      <c r="M71" s="327">
        <f>IF($A71="","",SUMIF(Depletion!$A$9:$A$208,$A71,Depletion!$C$9:$C$208))</f>
        <v/>
      </c>
      <c r="N71" s="326">
        <f>IF($A71="","",SUMIF(Depletion!$A$9:$A$208,$A71,Depletion!$I$9:$I$208))</f>
        <v/>
      </c>
      <c r="O71" s="326">
        <f>IF($A71="","",$L71-$N71)</f>
        <v/>
      </c>
      <c r="P71" s="328">
        <f>IF($A71="","",IFERROR($O71/$L71,0))</f>
        <v/>
      </c>
      <c r="Q71" s="326">
        <f>IF($A71="","",MAX($L71-$G71,0))</f>
        <v/>
      </c>
      <c r="R71" s="329">
        <f>IF($A71="","",IFERROR($B71+VLOOKUP($F71,Setup!$A$82:$B$88,2,FALSE),""))</f>
        <v/>
      </c>
      <c r="S71" s="325">
        <f>IF($A71="","",IF($L71=0,"Draft",IF($Q71&lt;=0,"Paid",IF($G71&gt;0,"Partial","Unpaid"))))</f>
        <v/>
      </c>
      <c r="T71" s="325">
        <f>IF($A71="","",IF($Q71&lt;=0,0,IF($R71="","",MAX(TODAY()-$R71,0))))</f>
        <v/>
      </c>
      <c r="U71" s="325">
        <f>IF($A71="","",IF($S71="Paid","Closed",IF($R71="","Review",IF(TODAY()&lt;=$R71,"Current",IF($T71&lt;=30,"1-30",IF($T71&lt;=60,"31-60",IF($T71&lt;=90,"61-90","90+")))))))</f>
        <v/>
      </c>
      <c r="V71" s="329">
        <f>IF($A71="","",IF(AND($S71="Paid",$H71&lt;&gt;""),$H71,""))</f>
        <v/>
      </c>
      <c r="W71" s="325">
        <f>IF($A71="","",IF(OR(COUNTIF($A$9:$A$108,$A71)&gt;1,$B71="",$C71="",$D71="",$E71="",$F71="",$J71="",$K71="",$L71&lt;=0,$G71&lt;0,$G71&gt;$L71,AND($S71="Paid",$H71="")),"REVIEW","OK"))</f>
        <v/>
      </c>
      <c r="X71" s="330">
        <f>IF($A71="","",LOWER($A71&amp;" "&amp;$C71&amp;" "&amp;$D71&amp;" "&amp;$S71&amp;" "&amp;$J71&amp;" "&amp;$K71&amp;" "&amp;$I71))</f>
        <v/>
      </c>
    </row>
    <row r="72">
      <c r="A72" s="205" t="n"/>
      <c r="B72" s="331" t="n"/>
      <c r="C72" s="207" t="n"/>
      <c r="D72" s="207" t="n"/>
      <c r="E72" s="207" t="n"/>
      <c r="F72" s="207" t="n"/>
      <c r="G72" s="332" t="n"/>
      <c r="H72" s="331" t="n"/>
      <c r="I72" s="207" t="n"/>
      <c r="J72" s="325">
        <f>IF($A72="","",IFERROR(VLOOKUP($C72,Setup!$A$36:$D$50,2,FALSE),""))</f>
        <v/>
      </c>
      <c r="K72" s="325">
        <f>IF($A72="","",IFERROR(VLOOKUP($C72,Setup!$A$36:$D$50,3,FALSE),""))</f>
        <v/>
      </c>
      <c r="L72" s="326">
        <f>IF($A72="","",SUMIF(Depletion!$A$9:$A$208,$A72,Depletion!$E$9:$E$208))</f>
        <v/>
      </c>
      <c r="M72" s="327">
        <f>IF($A72="","",SUMIF(Depletion!$A$9:$A$208,$A72,Depletion!$C$9:$C$208))</f>
        <v/>
      </c>
      <c r="N72" s="326">
        <f>IF($A72="","",SUMIF(Depletion!$A$9:$A$208,$A72,Depletion!$I$9:$I$208))</f>
        <v/>
      </c>
      <c r="O72" s="326">
        <f>IF($A72="","",$L72-$N72)</f>
        <v/>
      </c>
      <c r="P72" s="328">
        <f>IF($A72="","",IFERROR($O72/$L72,0))</f>
        <v/>
      </c>
      <c r="Q72" s="326">
        <f>IF($A72="","",MAX($L72-$G72,0))</f>
        <v/>
      </c>
      <c r="R72" s="329">
        <f>IF($A72="","",IFERROR($B72+VLOOKUP($F72,Setup!$A$82:$B$88,2,FALSE),""))</f>
        <v/>
      </c>
      <c r="S72" s="325">
        <f>IF($A72="","",IF($L72=0,"Draft",IF($Q72&lt;=0,"Paid",IF($G72&gt;0,"Partial","Unpaid"))))</f>
        <v/>
      </c>
      <c r="T72" s="325">
        <f>IF($A72="","",IF($Q72&lt;=0,0,IF($R72="","",MAX(TODAY()-$R72,0))))</f>
        <v/>
      </c>
      <c r="U72" s="325">
        <f>IF($A72="","",IF($S72="Paid","Closed",IF($R72="","Review",IF(TODAY()&lt;=$R72,"Current",IF($T72&lt;=30,"1-30",IF($T72&lt;=60,"31-60",IF($T72&lt;=90,"61-90","90+")))))))</f>
        <v/>
      </c>
      <c r="V72" s="329">
        <f>IF($A72="","",IF(AND($S72="Paid",$H72&lt;&gt;""),$H72,""))</f>
        <v/>
      </c>
      <c r="W72" s="325">
        <f>IF($A72="","",IF(OR(COUNTIF($A$9:$A$108,$A72)&gt;1,$B72="",$C72="",$D72="",$E72="",$F72="",$J72="",$K72="",$L72&lt;=0,$G72&lt;0,$G72&gt;$L72,AND($S72="Paid",$H72="")),"REVIEW","OK"))</f>
        <v/>
      </c>
      <c r="X72" s="330">
        <f>IF($A72="","",LOWER($A72&amp;" "&amp;$C72&amp;" "&amp;$D72&amp;" "&amp;$S72&amp;" "&amp;$J72&amp;" "&amp;$K72&amp;" "&amp;$I72))</f>
        <v/>
      </c>
    </row>
    <row r="73">
      <c r="A73" s="205" t="n"/>
      <c r="B73" s="331" t="n"/>
      <c r="C73" s="207" t="n"/>
      <c r="D73" s="207" t="n"/>
      <c r="E73" s="207" t="n"/>
      <c r="F73" s="207" t="n"/>
      <c r="G73" s="332" t="n"/>
      <c r="H73" s="331" t="n"/>
      <c r="I73" s="207" t="n"/>
      <c r="J73" s="325">
        <f>IF($A73="","",IFERROR(VLOOKUP($C73,Setup!$A$36:$D$50,2,FALSE),""))</f>
        <v/>
      </c>
      <c r="K73" s="325">
        <f>IF($A73="","",IFERROR(VLOOKUP($C73,Setup!$A$36:$D$50,3,FALSE),""))</f>
        <v/>
      </c>
      <c r="L73" s="326">
        <f>IF($A73="","",SUMIF(Depletion!$A$9:$A$208,$A73,Depletion!$E$9:$E$208))</f>
        <v/>
      </c>
      <c r="M73" s="327">
        <f>IF($A73="","",SUMIF(Depletion!$A$9:$A$208,$A73,Depletion!$C$9:$C$208))</f>
        <v/>
      </c>
      <c r="N73" s="326">
        <f>IF($A73="","",SUMIF(Depletion!$A$9:$A$208,$A73,Depletion!$I$9:$I$208))</f>
        <v/>
      </c>
      <c r="O73" s="326">
        <f>IF($A73="","",$L73-$N73)</f>
        <v/>
      </c>
      <c r="P73" s="328">
        <f>IF($A73="","",IFERROR($O73/$L73,0))</f>
        <v/>
      </c>
      <c r="Q73" s="326">
        <f>IF($A73="","",MAX($L73-$G73,0))</f>
        <v/>
      </c>
      <c r="R73" s="329">
        <f>IF($A73="","",IFERROR($B73+VLOOKUP($F73,Setup!$A$82:$B$88,2,FALSE),""))</f>
        <v/>
      </c>
      <c r="S73" s="325">
        <f>IF($A73="","",IF($L73=0,"Draft",IF($Q73&lt;=0,"Paid",IF($G73&gt;0,"Partial","Unpaid"))))</f>
        <v/>
      </c>
      <c r="T73" s="325">
        <f>IF($A73="","",IF($Q73&lt;=0,0,IF($R73="","",MAX(TODAY()-$R73,0))))</f>
        <v/>
      </c>
      <c r="U73" s="325">
        <f>IF($A73="","",IF($S73="Paid","Closed",IF($R73="","Review",IF(TODAY()&lt;=$R73,"Current",IF($T73&lt;=30,"1-30",IF($T73&lt;=60,"31-60",IF($T73&lt;=90,"61-90","90+")))))))</f>
        <v/>
      </c>
      <c r="V73" s="329">
        <f>IF($A73="","",IF(AND($S73="Paid",$H73&lt;&gt;""),$H73,""))</f>
        <v/>
      </c>
      <c r="W73" s="325">
        <f>IF($A73="","",IF(OR(COUNTIF($A$9:$A$108,$A73)&gt;1,$B73="",$C73="",$D73="",$E73="",$F73="",$J73="",$K73="",$L73&lt;=0,$G73&lt;0,$G73&gt;$L73,AND($S73="Paid",$H73="")),"REVIEW","OK"))</f>
        <v/>
      </c>
      <c r="X73" s="330">
        <f>IF($A73="","",LOWER($A73&amp;" "&amp;$C73&amp;" "&amp;$D73&amp;" "&amp;$S73&amp;" "&amp;$J73&amp;" "&amp;$K73&amp;" "&amp;$I73))</f>
        <v/>
      </c>
    </row>
    <row r="74">
      <c r="A74" s="205" t="n"/>
      <c r="B74" s="331" t="n"/>
      <c r="C74" s="207" t="n"/>
      <c r="D74" s="207" t="n"/>
      <c r="E74" s="207" t="n"/>
      <c r="F74" s="207" t="n"/>
      <c r="G74" s="332" t="n"/>
      <c r="H74" s="331" t="n"/>
      <c r="I74" s="207" t="n"/>
      <c r="J74" s="325">
        <f>IF($A74="","",IFERROR(VLOOKUP($C74,Setup!$A$36:$D$50,2,FALSE),""))</f>
        <v/>
      </c>
      <c r="K74" s="325">
        <f>IF($A74="","",IFERROR(VLOOKUP($C74,Setup!$A$36:$D$50,3,FALSE),""))</f>
        <v/>
      </c>
      <c r="L74" s="326">
        <f>IF($A74="","",SUMIF(Depletion!$A$9:$A$208,$A74,Depletion!$E$9:$E$208))</f>
        <v/>
      </c>
      <c r="M74" s="327">
        <f>IF($A74="","",SUMIF(Depletion!$A$9:$A$208,$A74,Depletion!$C$9:$C$208))</f>
        <v/>
      </c>
      <c r="N74" s="326">
        <f>IF($A74="","",SUMIF(Depletion!$A$9:$A$208,$A74,Depletion!$I$9:$I$208))</f>
        <v/>
      </c>
      <c r="O74" s="326">
        <f>IF($A74="","",$L74-$N74)</f>
        <v/>
      </c>
      <c r="P74" s="328">
        <f>IF($A74="","",IFERROR($O74/$L74,0))</f>
        <v/>
      </c>
      <c r="Q74" s="326">
        <f>IF($A74="","",MAX($L74-$G74,0))</f>
        <v/>
      </c>
      <c r="R74" s="329">
        <f>IF($A74="","",IFERROR($B74+VLOOKUP($F74,Setup!$A$82:$B$88,2,FALSE),""))</f>
        <v/>
      </c>
      <c r="S74" s="325">
        <f>IF($A74="","",IF($L74=0,"Draft",IF($Q74&lt;=0,"Paid",IF($G74&gt;0,"Partial","Unpaid"))))</f>
        <v/>
      </c>
      <c r="T74" s="325">
        <f>IF($A74="","",IF($Q74&lt;=0,0,IF($R74="","",MAX(TODAY()-$R74,0))))</f>
        <v/>
      </c>
      <c r="U74" s="325">
        <f>IF($A74="","",IF($S74="Paid","Closed",IF($R74="","Review",IF(TODAY()&lt;=$R74,"Current",IF($T74&lt;=30,"1-30",IF($T74&lt;=60,"31-60",IF($T74&lt;=90,"61-90","90+")))))))</f>
        <v/>
      </c>
      <c r="V74" s="329">
        <f>IF($A74="","",IF(AND($S74="Paid",$H74&lt;&gt;""),$H74,""))</f>
        <v/>
      </c>
      <c r="W74" s="325">
        <f>IF($A74="","",IF(OR(COUNTIF($A$9:$A$108,$A74)&gt;1,$B74="",$C74="",$D74="",$E74="",$F74="",$J74="",$K74="",$L74&lt;=0,$G74&lt;0,$G74&gt;$L74,AND($S74="Paid",$H74="")),"REVIEW","OK"))</f>
        <v/>
      </c>
      <c r="X74" s="330">
        <f>IF($A74="","",LOWER($A74&amp;" "&amp;$C74&amp;" "&amp;$D74&amp;" "&amp;$S74&amp;" "&amp;$J74&amp;" "&amp;$K74&amp;" "&amp;$I74))</f>
        <v/>
      </c>
    </row>
    <row r="75">
      <c r="A75" s="205" t="n"/>
      <c r="B75" s="331" t="n"/>
      <c r="C75" s="207" t="n"/>
      <c r="D75" s="207" t="n"/>
      <c r="E75" s="207" t="n"/>
      <c r="F75" s="207" t="n"/>
      <c r="G75" s="332" t="n"/>
      <c r="H75" s="331" t="n"/>
      <c r="I75" s="207" t="n"/>
      <c r="J75" s="325">
        <f>IF($A75="","",IFERROR(VLOOKUP($C75,Setup!$A$36:$D$50,2,FALSE),""))</f>
        <v/>
      </c>
      <c r="K75" s="325">
        <f>IF($A75="","",IFERROR(VLOOKUP($C75,Setup!$A$36:$D$50,3,FALSE),""))</f>
        <v/>
      </c>
      <c r="L75" s="326">
        <f>IF($A75="","",SUMIF(Depletion!$A$9:$A$208,$A75,Depletion!$E$9:$E$208))</f>
        <v/>
      </c>
      <c r="M75" s="327">
        <f>IF($A75="","",SUMIF(Depletion!$A$9:$A$208,$A75,Depletion!$C$9:$C$208))</f>
        <v/>
      </c>
      <c r="N75" s="326">
        <f>IF($A75="","",SUMIF(Depletion!$A$9:$A$208,$A75,Depletion!$I$9:$I$208))</f>
        <v/>
      </c>
      <c r="O75" s="326">
        <f>IF($A75="","",$L75-$N75)</f>
        <v/>
      </c>
      <c r="P75" s="328">
        <f>IF($A75="","",IFERROR($O75/$L75,0))</f>
        <v/>
      </c>
      <c r="Q75" s="326">
        <f>IF($A75="","",MAX($L75-$G75,0))</f>
        <v/>
      </c>
      <c r="R75" s="329">
        <f>IF($A75="","",IFERROR($B75+VLOOKUP($F75,Setup!$A$82:$B$88,2,FALSE),""))</f>
        <v/>
      </c>
      <c r="S75" s="325">
        <f>IF($A75="","",IF($L75=0,"Draft",IF($Q75&lt;=0,"Paid",IF($G75&gt;0,"Partial","Unpaid"))))</f>
        <v/>
      </c>
      <c r="T75" s="325">
        <f>IF($A75="","",IF($Q75&lt;=0,0,IF($R75="","",MAX(TODAY()-$R75,0))))</f>
        <v/>
      </c>
      <c r="U75" s="325">
        <f>IF($A75="","",IF($S75="Paid","Closed",IF($R75="","Review",IF(TODAY()&lt;=$R75,"Current",IF($T75&lt;=30,"1-30",IF($T75&lt;=60,"31-60",IF($T75&lt;=90,"61-90","90+")))))))</f>
        <v/>
      </c>
      <c r="V75" s="329">
        <f>IF($A75="","",IF(AND($S75="Paid",$H75&lt;&gt;""),$H75,""))</f>
        <v/>
      </c>
      <c r="W75" s="325">
        <f>IF($A75="","",IF(OR(COUNTIF($A$9:$A$108,$A75)&gt;1,$B75="",$C75="",$D75="",$E75="",$F75="",$J75="",$K75="",$L75&lt;=0,$G75&lt;0,$G75&gt;$L75,AND($S75="Paid",$H75="")),"REVIEW","OK"))</f>
        <v/>
      </c>
      <c r="X75" s="330">
        <f>IF($A75="","",LOWER($A75&amp;" "&amp;$C75&amp;" "&amp;$D75&amp;" "&amp;$S75&amp;" "&amp;$J75&amp;" "&amp;$K75&amp;" "&amp;$I75))</f>
        <v/>
      </c>
    </row>
    <row r="76">
      <c r="A76" s="205" t="n"/>
      <c r="B76" s="331" t="n"/>
      <c r="C76" s="207" t="n"/>
      <c r="D76" s="207" t="n"/>
      <c r="E76" s="207" t="n"/>
      <c r="F76" s="207" t="n"/>
      <c r="G76" s="332" t="n"/>
      <c r="H76" s="331" t="n"/>
      <c r="I76" s="207" t="n"/>
      <c r="J76" s="325">
        <f>IF($A76="","",IFERROR(VLOOKUP($C76,Setup!$A$36:$D$50,2,FALSE),""))</f>
        <v/>
      </c>
      <c r="K76" s="325">
        <f>IF($A76="","",IFERROR(VLOOKUP($C76,Setup!$A$36:$D$50,3,FALSE),""))</f>
        <v/>
      </c>
      <c r="L76" s="326">
        <f>IF($A76="","",SUMIF(Depletion!$A$9:$A$208,$A76,Depletion!$E$9:$E$208))</f>
        <v/>
      </c>
      <c r="M76" s="327">
        <f>IF($A76="","",SUMIF(Depletion!$A$9:$A$208,$A76,Depletion!$C$9:$C$208))</f>
        <v/>
      </c>
      <c r="N76" s="326">
        <f>IF($A76="","",SUMIF(Depletion!$A$9:$A$208,$A76,Depletion!$I$9:$I$208))</f>
        <v/>
      </c>
      <c r="O76" s="326">
        <f>IF($A76="","",$L76-$N76)</f>
        <v/>
      </c>
      <c r="P76" s="328">
        <f>IF($A76="","",IFERROR($O76/$L76,0))</f>
        <v/>
      </c>
      <c r="Q76" s="326">
        <f>IF($A76="","",MAX($L76-$G76,0))</f>
        <v/>
      </c>
      <c r="R76" s="329">
        <f>IF($A76="","",IFERROR($B76+VLOOKUP($F76,Setup!$A$82:$B$88,2,FALSE),""))</f>
        <v/>
      </c>
      <c r="S76" s="325">
        <f>IF($A76="","",IF($L76=0,"Draft",IF($Q76&lt;=0,"Paid",IF($G76&gt;0,"Partial","Unpaid"))))</f>
        <v/>
      </c>
      <c r="T76" s="325">
        <f>IF($A76="","",IF($Q76&lt;=0,0,IF($R76="","",MAX(TODAY()-$R76,0))))</f>
        <v/>
      </c>
      <c r="U76" s="325">
        <f>IF($A76="","",IF($S76="Paid","Closed",IF($R76="","Review",IF(TODAY()&lt;=$R76,"Current",IF($T76&lt;=30,"1-30",IF($T76&lt;=60,"31-60",IF($T76&lt;=90,"61-90","90+")))))))</f>
        <v/>
      </c>
      <c r="V76" s="329">
        <f>IF($A76="","",IF(AND($S76="Paid",$H76&lt;&gt;""),$H76,""))</f>
        <v/>
      </c>
      <c r="W76" s="325">
        <f>IF($A76="","",IF(OR(COUNTIF($A$9:$A$108,$A76)&gt;1,$B76="",$C76="",$D76="",$E76="",$F76="",$J76="",$K76="",$L76&lt;=0,$G76&lt;0,$G76&gt;$L76,AND($S76="Paid",$H76="")),"REVIEW","OK"))</f>
        <v/>
      </c>
      <c r="X76" s="330">
        <f>IF($A76="","",LOWER($A76&amp;" "&amp;$C76&amp;" "&amp;$D76&amp;" "&amp;$S76&amp;" "&amp;$J76&amp;" "&amp;$K76&amp;" "&amp;$I76))</f>
        <v/>
      </c>
    </row>
    <row r="77">
      <c r="A77" s="205" t="n"/>
      <c r="B77" s="331" t="n"/>
      <c r="C77" s="207" t="n"/>
      <c r="D77" s="207" t="n"/>
      <c r="E77" s="207" t="n"/>
      <c r="F77" s="207" t="n"/>
      <c r="G77" s="332" t="n"/>
      <c r="H77" s="331" t="n"/>
      <c r="I77" s="207" t="n"/>
      <c r="J77" s="325">
        <f>IF($A77="","",IFERROR(VLOOKUP($C77,Setup!$A$36:$D$50,2,FALSE),""))</f>
        <v/>
      </c>
      <c r="K77" s="325">
        <f>IF($A77="","",IFERROR(VLOOKUP($C77,Setup!$A$36:$D$50,3,FALSE),""))</f>
        <v/>
      </c>
      <c r="L77" s="326">
        <f>IF($A77="","",SUMIF(Depletion!$A$9:$A$208,$A77,Depletion!$E$9:$E$208))</f>
        <v/>
      </c>
      <c r="M77" s="327">
        <f>IF($A77="","",SUMIF(Depletion!$A$9:$A$208,$A77,Depletion!$C$9:$C$208))</f>
        <v/>
      </c>
      <c r="N77" s="326">
        <f>IF($A77="","",SUMIF(Depletion!$A$9:$A$208,$A77,Depletion!$I$9:$I$208))</f>
        <v/>
      </c>
      <c r="O77" s="326">
        <f>IF($A77="","",$L77-$N77)</f>
        <v/>
      </c>
      <c r="P77" s="328">
        <f>IF($A77="","",IFERROR($O77/$L77,0))</f>
        <v/>
      </c>
      <c r="Q77" s="326">
        <f>IF($A77="","",MAX($L77-$G77,0))</f>
        <v/>
      </c>
      <c r="R77" s="329">
        <f>IF($A77="","",IFERROR($B77+VLOOKUP($F77,Setup!$A$82:$B$88,2,FALSE),""))</f>
        <v/>
      </c>
      <c r="S77" s="325">
        <f>IF($A77="","",IF($L77=0,"Draft",IF($Q77&lt;=0,"Paid",IF($G77&gt;0,"Partial","Unpaid"))))</f>
        <v/>
      </c>
      <c r="T77" s="325">
        <f>IF($A77="","",IF($Q77&lt;=0,0,IF($R77="","",MAX(TODAY()-$R77,0))))</f>
        <v/>
      </c>
      <c r="U77" s="325">
        <f>IF($A77="","",IF($S77="Paid","Closed",IF($R77="","Review",IF(TODAY()&lt;=$R77,"Current",IF($T77&lt;=30,"1-30",IF($T77&lt;=60,"31-60",IF($T77&lt;=90,"61-90","90+")))))))</f>
        <v/>
      </c>
      <c r="V77" s="329">
        <f>IF($A77="","",IF(AND($S77="Paid",$H77&lt;&gt;""),$H77,""))</f>
        <v/>
      </c>
      <c r="W77" s="325">
        <f>IF($A77="","",IF(OR(COUNTIF($A$9:$A$108,$A77)&gt;1,$B77="",$C77="",$D77="",$E77="",$F77="",$J77="",$K77="",$L77&lt;=0,$G77&lt;0,$G77&gt;$L77,AND($S77="Paid",$H77="")),"REVIEW","OK"))</f>
        <v/>
      </c>
      <c r="X77" s="330">
        <f>IF($A77="","",LOWER($A77&amp;" "&amp;$C77&amp;" "&amp;$D77&amp;" "&amp;$S77&amp;" "&amp;$J77&amp;" "&amp;$K77&amp;" "&amp;$I77))</f>
        <v/>
      </c>
    </row>
    <row r="78">
      <c r="A78" s="205" t="n"/>
      <c r="B78" s="331" t="n"/>
      <c r="C78" s="207" t="n"/>
      <c r="D78" s="207" t="n"/>
      <c r="E78" s="207" t="n"/>
      <c r="F78" s="207" t="n"/>
      <c r="G78" s="332" t="n"/>
      <c r="H78" s="331" t="n"/>
      <c r="I78" s="207" t="n"/>
      <c r="J78" s="325">
        <f>IF($A78="","",IFERROR(VLOOKUP($C78,Setup!$A$36:$D$50,2,FALSE),""))</f>
        <v/>
      </c>
      <c r="K78" s="325">
        <f>IF($A78="","",IFERROR(VLOOKUP($C78,Setup!$A$36:$D$50,3,FALSE),""))</f>
        <v/>
      </c>
      <c r="L78" s="326">
        <f>IF($A78="","",SUMIF(Depletion!$A$9:$A$208,$A78,Depletion!$E$9:$E$208))</f>
        <v/>
      </c>
      <c r="M78" s="327">
        <f>IF($A78="","",SUMIF(Depletion!$A$9:$A$208,$A78,Depletion!$C$9:$C$208))</f>
        <v/>
      </c>
      <c r="N78" s="326">
        <f>IF($A78="","",SUMIF(Depletion!$A$9:$A$208,$A78,Depletion!$I$9:$I$208))</f>
        <v/>
      </c>
      <c r="O78" s="326">
        <f>IF($A78="","",$L78-$N78)</f>
        <v/>
      </c>
      <c r="P78" s="328">
        <f>IF($A78="","",IFERROR($O78/$L78,0))</f>
        <v/>
      </c>
      <c r="Q78" s="326">
        <f>IF($A78="","",MAX($L78-$G78,0))</f>
        <v/>
      </c>
      <c r="R78" s="329">
        <f>IF($A78="","",IFERROR($B78+VLOOKUP($F78,Setup!$A$82:$B$88,2,FALSE),""))</f>
        <v/>
      </c>
      <c r="S78" s="325">
        <f>IF($A78="","",IF($L78=0,"Draft",IF($Q78&lt;=0,"Paid",IF($G78&gt;0,"Partial","Unpaid"))))</f>
        <v/>
      </c>
      <c r="T78" s="325">
        <f>IF($A78="","",IF($Q78&lt;=0,0,IF($R78="","",MAX(TODAY()-$R78,0))))</f>
        <v/>
      </c>
      <c r="U78" s="325">
        <f>IF($A78="","",IF($S78="Paid","Closed",IF($R78="","Review",IF(TODAY()&lt;=$R78,"Current",IF($T78&lt;=30,"1-30",IF($T78&lt;=60,"31-60",IF($T78&lt;=90,"61-90","90+")))))))</f>
        <v/>
      </c>
      <c r="V78" s="329">
        <f>IF($A78="","",IF(AND($S78="Paid",$H78&lt;&gt;""),$H78,""))</f>
        <v/>
      </c>
      <c r="W78" s="325">
        <f>IF($A78="","",IF(OR(COUNTIF($A$9:$A$108,$A78)&gt;1,$B78="",$C78="",$D78="",$E78="",$F78="",$J78="",$K78="",$L78&lt;=0,$G78&lt;0,$G78&gt;$L78,AND($S78="Paid",$H78="")),"REVIEW","OK"))</f>
        <v/>
      </c>
      <c r="X78" s="330">
        <f>IF($A78="","",LOWER($A78&amp;" "&amp;$C78&amp;" "&amp;$D78&amp;" "&amp;$S78&amp;" "&amp;$J78&amp;" "&amp;$K78&amp;" "&amp;$I78))</f>
        <v/>
      </c>
    </row>
    <row r="79">
      <c r="A79" s="205" t="n"/>
      <c r="B79" s="331" t="n"/>
      <c r="C79" s="207" t="n"/>
      <c r="D79" s="207" t="n"/>
      <c r="E79" s="207" t="n"/>
      <c r="F79" s="207" t="n"/>
      <c r="G79" s="332" t="n"/>
      <c r="H79" s="331" t="n"/>
      <c r="I79" s="207" t="n"/>
      <c r="J79" s="325">
        <f>IF($A79="","",IFERROR(VLOOKUP($C79,Setup!$A$36:$D$50,2,FALSE),""))</f>
        <v/>
      </c>
      <c r="K79" s="325">
        <f>IF($A79="","",IFERROR(VLOOKUP($C79,Setup!$A$36:$D$50,3,FALSE),""))</f>
        <v/>
      </c>
      <c r="L79" s="326">
        <f>IF($A79="","",SUMIF(Depletion!$A$9:$A$208,$A79,Depletion!$E$9:$E$208))</f>
        <v/>
      </c>
      <c r="M79" s="327">
        <f>IF($A79="","",SUMIF(Depletion!$A$9:$A$208,$A79,Depletion!$C$9:$C$208))</f>
        <v/>
      </c>
      <c r="N79" s="326">
        <f>IF($A79="","",SUMIF(Depletion!$A$9:$A$208,$A79,Depletion!$I$9:$I$208))</f>
        <v/>
      </c>
      <c r="O79" s="326">
        <f>IF($A79="","",$L79-$N79)</f>
        <v/>
      </c>
      <c r="P79" s="328">
        <f>IF($A79="","",IFERROR($O79/$L79,0))</f>
        <v/>
      </c>
      <c r="Q79" s="326">
        <f>IF($A79="","",MAX($L79-$G79,0))</f>
        <v/>
      </c>
      <c r="R79" s="329">
        <f>IF($A79="","",IFERROR($B79+VLOOKUP($F79,Setup!$A$82:$B$88,2,FALSE),""))</f>
        <v/>
      </c>
      <c r="S79" s="325">
        <f>IF($A79="","",IF($L79=0,"Draft",IF($Q79&lt;=0,"Paid",IF($G79&gt;0,"Partial","Unpaid"))))</f>
        <v/>
      </c>
      <c r="T79" s="325">
        <f>IF($A79="","",IF($Q79&lt;=0,0,IF($R79="","",MAX(TODAY()-$R79,0))))</f>
        <v/>
      </c>
      <c r="U79" s="325">
        <f>IF($A79="","",IF($S79="Paid","Closed",IF($R79="","Review",IF(TODAY()&lt;=$R79,"Current",IF($T79&lt;=30,"1-30",IF($T79&lt;=60,"31-60",IF($T79&lt;=90,"61-90","90+")))))))</f>
        <v/>
      </c>
      <c r="V79" s="329">
        <f>IF($A79="","",IF(AND($S79="Paid",$H79&lt;&gt;""),$H79,""))</f>
        <v/>
      </c>
      <c r="W79" s="325">
        <f>IF($A79="","",IF(OR(COUNTIF($A$9:$A$108,$A79)&gt;1,$B79="",$C79="",$D79="",$E79="",$F79="",$J79="",$K79="",$L79&lt;=0,$G79&lt;0,$G79&gt;$L79,AND($S79="Paid",$H79="")),"REVIEW","OK"))</f>
        <v/>
      </c>
      <c r="X79" s="330">
        <f>IF($A79="","",LOWER($A79&amp;" "&amp;$C79&amp;" "&amp;$D79&amp;" "&amp;$S79&amp;" "&amp;$J79&amp;" "&amp;$K79&amp;" "&amp;$I79))</f>
        <v/>
      </c>
    </row>
    <row r="80">
      <c r="A80" s="205" t="n"/>
      <c r="B80" s="331" t="n"/>
      <c r="C80" s="207" t="n"/>
      <c r="D80" s="207" t="n"/>
      <c r="E80" s="207" t="n"/>
      <c r="F80" s="207" t="n"/>
      <c r="G80" s="332" t="n"/>
      <c r="H80" s="331" t="n"/>
      <c r="I80" s="207" t="n"/>
      <c r="J80" s="325">
        <f>IF($A80="","",IFERROR(VLOOKUP($C80,Setup!$A$36:$D$50,2,FALSE),""))</f>
        <v/>
      </c>
      <c r="K80" s="325">
        <f>IF($A80="","",IFERROR(VLOOKUP($C80,Setup!$A$36:$D$50,3,FALSE),""))</f>
        <v/>
      </c>
      <c r="L80" s="326">
        <f>IF($A80="","",SUMIF(Depletion!$A$9:$A$208,$A80,Depletion!$E$9:$E$208))</f>
        <v/>
      </c>
      <c r="M80" s="327">
        <f>IF($A80="","",SUMIF(Depletion!$A$9:$A$208,$A80,Depletion!$C$9:$C$208))</f>
        <v/>
      </c>
      <c r="N80" s="326">
        <f>IF($A80="","",SUMIF(Depletion!$A$9:$A$208,$A80,Depletion!$I$9:$I$208))</f>
        <v/>
      </c>
      <c r="O80" s="326">
        <f>IF($A80="","",$L80-$N80)</f>
        <v/>
      </c>
      <c r="P80" s="328">
        <f>IF($A80="","",IFERROR($O80/$L80,0))</f>
        <v/>
      </c>
      <c r="Q80" s="326">
        <f>IF($A80="","",MAX($L80-$G80,0))</f>
        <v/>
      </c>
      <c r="R80" s="329">
        <f>IF($A80="","",IFERROR($B80+VLOOKUP($F80,Setup!$A$82:$B$88,2,FALSE),""))</f>
        <v/>
      </c>
      <c r="S80" s="325">
        <f>IF($A80="","",IF($L80=0,"Draft",IF($Q80&lt;=0,"Paid",IF($G80&gt;0,"Partial","Unpaid"))))</f>
        <v/>
      </c>
      <c r="T80" s="325">
        <f>IF($A80="","",IF($Q80&lt;=0,0,IF($R80="","",MAX(TODAY()-$R80,0))))</f>
        <v/>
      </c>
      <c r="U80" s="325">
        <f>IF($A80="","",IF($S80="Paid","Closed",IF($R80="","Review",IF(TODAY()&lt;=$R80,"Current",IF($T80&lt;=30,"1-30",IF($T80&lt;=60,"31-60",IF($T80&lt;=90,"61-90","90+")))))))</f>
        <v/>
      </c>
      <c r="V80" s="329">
        <f>IF($A80="","",IF(AND($S80="Paid",$H80&lt;&gt;""),$H80,""))</f>
        <v/>
      </c>
      <c r="W80" s="325">
        <f>IF($A80="","",IF(OR(COUNTIF($A$9:$A$108,$A80)&gt;1,$B80="",$C80="",$D80="",$E80="",$F80="",$J80="",$K80="",$L80&lt;=0,$G80&lt;0,$G80&gt;$L80,AND($S80="Paid",$H80="")),"REVIEW","OK"))</f>
        <v/>
      </c>
      <c r="X80" s="330">
        <f>IF($A80="","",LOWER($A80&amp;" "&amp;$C80&amp;" "&amp;$D80&amp;" "&amp;$S80&amp;" "&amp;$J80&amp;" "&amp;$K80&amp;" "&amp;$I80))</f>
        <v/>
      </c>
    </row>
    <row r="81">
      <c r="A81" s="205" t="n"/>
      <c r="B81" s="331" t="n"/>
      <c r="C81" s="207" t="n"/>
      <c r="D81" s="207" t="n"/>
      <c r="E81" s="207" t="n"/>
      <c r="F81" s="207" t="n"/>
      <c r="G81" s="332" t="n"/>
      <c r="H81" s="331" t="n"/>
      <c r="I81" s="207" t="n"/>
      <c r="J81" s="325">
        <f>IF($A81="","",IFERROR(VLOOKUP($C81,Setup!$A$36:$D$50,2,FALSE),""))</f>
        <v/>
      </c>
      <c r="K81" s="325">
        <f>IF($A81="","",IFERROR(VLOOKUP($C81,Setup!$A$36:$D$50,3,FALSE),""))</f>
        <v/>
      </c>
      <c r="L81" s="326">
        <f>IF($A81="","",SUMIF(Depletion!$A$9:$A$208,$A81,Depletion!$E$9:$E$208))</f>
        <v/>
      </c>
      <c r="M81" s="327">
        <f>IF($A81="","",SUMIF(Depletion!$A$9:$A$208,$A81,Depletion!$C$9:$C$208))</f>
        <v/>
      </c>
      <c r="N81" s="326">
        <f>IF($A81="","",SUMIF(Depletion!$A$9:$A$208,$A81,Depletion!$I$9:$I$208))</f>
        <v/>
      </c>
      <c r="O81" s="326">
        <f>IF($A81="","",$L81-$N81)</f>
        <v/>
      </c>
      <c r="P81" s="328">
        <f>IF($A81="","",IFERROR($O81/$L81,0))</f>
        <v/>
      </c>
      <c r="Q81" s="326">
        <f>IF($A81="","",MAX($L81-$G81,0))</f>
        <v/>
      </c>
      <c r="R81" s="329">
        <f>IF($A81="","",IFERROR($B81+VLOOKUP($F81,Setup!$A$82:$B$88,2,FALSE),""))</f>
        <v/>
      </c>
      <c r="S81" s="325">
        <f>IF($A81="","",IF($L81=0,"Draft",IF($Q81&lt;=0,"Paid",IF($G81&gt;0,"Partial","Unpaid"))))</f>
        <v/>
      </c>
      <c r="T81" s="325">
        <f>IF($A81="","",IF($Q81&lt;=0,0,IF($R81="","",MAX(TODAY()-$R81,0))))</f>
        <v/>
      </c>
      <c r="U81" s="325">
        <f>IF($A81="","",IF($S81="Paid","Closed",IF($R81="","Review",IF(TODAY()&lt;=$R81,"Current",IF($T81&lt;=30,"1-30",IF($T81&lt;=60,"31-60",IF($T81&lt;=90,"61-90","90+")))))))</f>
        <v/>
      </c>
      <c r="V81" s="329">
        <f>IF($A81="","",IF(AND($S81="Paid",$H81&lt;&gt;""),$H81,""))</f>
        <v/>
      </c>
      <c r="W81" s="325">
        <f>IF($A81="","",IF(OR(COUNTIF($A$9:$A$108,$A81)&gt;1,$B81="",$C81="",$D81="",$E81="",$F81="",$J81="",$K81="",$L81&lt;=0,$G81&lt;0,$G81&gt;$L81,AND($S81="Paid",$H81="")),"REVIEW","OK"))</f>
        <v/>
      </c>
      <c r="X81" s="330">
        <f>IF($A81="","",LOWER($A81&amp;" "&amp;$C81&amp;" "&amp;$D81&amp;" "&amp;$S81&amp;" "&amp;$J81&amp;" "&amp;$K81&amp;" "&amp;$I81))</f>
        <v/>
      </c>
    </row>
    <row r="82">
      <c r="A82" s="205" t="n"/>
      <c r="B82" s="331" t="n"/>
      <c r="C82" s="207" t="n"/>
      <c r="D82" s="207" t="n"/>
      <c r="E82" s="207" t="n"/>
      <c r="F82" s="207" t="n"/>
      <c r="G82" s="332" t="n"/>
      <c r="H82" s="331" t="n"/>
      <c r="I82" s="207" t="n"/>
      <c r="J82" s="325">
        <f>IF($A82="","",IFERROR(VLOOKUP($C82,Setup!$A$36:$D$50,2,FALSE),""))</f>
        <v/>
      </c>
      <c r="K82" s="325">
        <f>IF($A82="","",IFERROR(VLOOKUP($C82,Setup!$A$36:$D$50,3,FALSE),""))</f>
        <v/>
      </c>
      <c r="L82" s="326">
        <f>IF($A82="","",SUMIF(Depletion!$A$9:$A$208,$A82,Depletion!$E$9:$E$208))</f>
        <v/>
      </c>
      <c r="M82" s="327">
        <f>IF($A82="","",SUMIF(Depletion!$A$9:$A$208,$A82,Depletion!$C$9:$C$208))</f>
        <v/>
      </c>
      <c r="N82" s="326">
        <f>IF($A82="","",SUMIF(Depletion!$A$9:$A$208,$A82,Depletion!$I$9:$I$208))</f>
        <v/>
      </c>
      <c r="O82" s="326">
        <f>IF($A82="","",$L82-$N82)</f>
        <v/>
      </c>
      <c r="P82" s="328">
        <f>IF($A82="","",IFERROR($O82/$L82,0))</f>
        <v/>
      </c>
      <c r="Q82" s="326">
        <f>IF($A82="","",MAX($L82-$G82,0))</f>
        <v/>
      </c>
      <c r="R82" s="329">
        <f>IF($A82="","",IFERROR($B82+VLOOKUP($F82,Setup!$A$82:$B$88,2,FALSE),""))</f>
        <v/>
      </c>
      <c r="S82" s="325">
        <f>IF($A82="","",IF($L82=0,"Draft",IF($Q82&lt;=0,"Paid",IF($G82&gt;0,"Partial","Unpaid"))))</f>
        <v/>
      </c>
      <c r="T82" s="325">
        <f>IF($A82="","",IF($Q82&lt;=0,0,IF($R82="","",MAX(TODAY()-$R82,0))))</f>
        <v/>
      </c>
      <c r="U82" s="325">
        <f>IF($A82="","",IF($S82="Paid","Closed",IF($R82="","Review",IF(TODAY()&lt;=$R82,"Current",IF($T82&lt;=30,"1-30",IF($T82&lt;=60,"31-60",IF($T82&lt;=90,"61-90","90+")))))))</f>
        <v/>
      </c>
      <c r="V82" s="329">
        <f>IF($A82="","",IF(AND($S82="Paid",$H82&lt;&gt;""),$H82,""))</f>
        <v/>
      </c>
      <c r="W82" s="325">
        <f>IF($A82="","",IF(OR(COUNTIF($A$9:$A$108,$A82)&gt;1,$B82="",$C82="",$D82="",$E82="",$F82="",$J82="",$K82="",$L82&lt;=0,$G82&lt;0,$G82&gt;$L82,AND($S82="Paid",$H82="")),"REVIEW","OK"))</f>
        <v/>
      </c>
      <c r="X82" s="330">
        <f>IF($A82="","",LOWER($A82&amp;" "&amp;$C82&amp;" "&amp;$D82&amp;" "&amp;$S82&amp;" "&amp;$J82&amp;" "&amp;$K82&amp;" "&amp;$I82))</f>
        <v/>
      </c>
    </row>
    <row r="83">
      <c r="A83" s="205" t="n"/>
      <c r="B83" s="331" t="n"/>
      <c r="C83" s="207" t="n"/>
      <c r="D83" s="207" t="n"/>
      <c r="E83" s="207" t="n"/>
      <c r="F83" s="207" t="n"/>
      <c r="G83" s="332" t="n"/>
      <c r="H83" s="331" t="n"/>
      <c r="I83" s="207" t="n"/>
      <c r="J83" s="325">
        <f>IF($A83="","",IFERROR(VLOOKUP($C83,Setup!$A$36:$D$50,2,FALSE),""))</f>
        <v/>
      </c>
      <c r="K83" s="325">
        <f>IF($A83="","",IFERROR(VLOOKUP($C83,Setup!$A$36:$D$50,3,FALSE),""))</f>
        <v/>
      </c>
      <c r="L83" s="326">
        <f>IF($A83="","",SUMIF(Depletion!$A$9:$A$208,$A83,Depletion!$E$9:$E$208))</f>
        <v/>
      </c>
      <c r="M83" s="327">
        <f>IF($A83="","",SUMIF(Depletion!$A$9:$A$208,$A83,Depletion!$C$9:$C$208))</f>
        <v/>
      </c>
      <c r="N83" s="326">
        <f>IF($A83="","",SUMIF(Depletion!$A$9:$A$208,$A83,Depletion!$I$9:$I$208))</f>
        <v/>
      </c>
      <c r="O83" s="326">
        <f>IF($A83="","",$L83-$N83)</f>
        <v/>
      </c>
      <c r="P83" s="328">
        <f>IF($A83="","",IFERROR($O83/$L83,0))</f>
        <v/>
      </c>
      <c r="Q83" s="326">
        <f>IF($A83="","",MAX($L83-$G83,0))</f>
        <v/>
      </c>
      <c r="R83" s="329">
        <f>IF($A83="","",IFERROR($B83+VLOOKUP($F83,Setup!$A$82:$B$88,2,FALSE),""))</f>
        <v/>
      </c>
      <c r="S83" s="325">
        <f>IF($A83="","",IF($L83=0,"Draft",IF($Q83&lt;=0,"Paid",IF($G83&gt;0,"Partial","Unpaid"))))</f>
        <v/>
      </c>
      <c r="T83" s="325">
        <f>IF($A83="","",IF($Q83&lt;=0,0,IF($R83="","",MAX(TODAY()-$R83,0))))</f>
        <v/>
      </c>
      <c r="U83" s="325">
        <f>IF($A83="","",IF($S83="Paid","Closed",IF($R83="","Review",IF(TODAY()&lt;=$R83,"Current",IF($T83&lt;=30,"1-30",IF($T83&lt;=60,"31-60",IF($T83&lt;=90,"61-90","90+")))))))</f>
        <v/>
      </c>
      <c r="V83" s="329">
        <f>IF($A83="","",IF(AND($S83="Paid",$H83&lt;&gt;""),$H83,""))</f>
        <v/>
      </c>
      <c r="W83" s="325">
        <f>IF($A83="","",IF(OR(COUNTIF($A$9:$A$108,$A83)&gt;1,$B83="",$C83="",$D83="",$E83="",$F83="",$J83="",$K83="",$L83&lt;=0,$G83&lt;0,$G83&gt;$L83,AND($S83="Paid",$H83="")),"REVIEW","OK"))</f>
        <v/>
      </c>
      <c r="X83" s="330">
        <f>IF($A83="","",LOWER($A83&amp;" "&amp;$C83&amp;" "&amp;$D83&amp;" "&amp;$S83&amp;" "&amp;$J83&amp;" "&amp;$K83&amp;" "&amp;$I83))</f>
        <v/>
      </c>
    </row>
    <row r="84">
      <c r="A84" s="205" t="n"/>
      <c r="B84" s="331" t="n"/>
      <c r="C84" s="207" t="n"/>
      <c r="D84" s="207" t="n"/>
      <c r="E84" s="207" t="n"/>
      <c r="F84" s="207" t="n"/>
      <c r="G84" s="332" t="n"/>
      <c r="H84" s="331" t="n"/>
      <c r="I84" s="207" t="n"/>
      <c r="J84" s="325">
        <f>IF($A84="","",IFERROR(VLOOKUP($C84,Setup!$A$36:$D$50,2,FALSE),""))</f>
        <v/>
      </c>
      <c r="K84" s="325">
        <f>IF($A84="","",IFERROR(VLOOKUP($C84,Setup!$A$36:$D$50,3,FALSE),""))</f>
        <v/>
      </c>
      <c r="L84" s="326">
        <f>IF($A84="","",SUMIF(Depletion!$A$9:$A$208,$A84,Depletion!$E$9:$E$208))</f>
        <v/>
      </c>
      <c r="M84" s="327">
        <f>IF($A84="","",SUMIF(Depletion!$A$9:$A$208,$A84,Depletion!$C$9:$C$208))</f>
        <v/>
      </c>
      <c r="N84" s="326">
        <f>IF($A84="","",SUMIF(Depletion!$A$9:$A$208,$A84,Depletion!$I$9:$I$208))</f>
        <v/>
      </c>
      <c r="O84" s="326">
        <f>IF($A84="","",$L84-$N84)</f>
        <v/>
      </c>
      <c r="P84" s="328">
        <f>IF($A84="","",IFERROR($O84/$L84,0))</f>
        <v/>
      </c>
      <c r="Q84" s="326">
        <f>IF($A84="","",MAX($L84-$G84,0))</f>
        <v/>
      </c>
      <c r="R84" s="329">
        <f>IF($A84="","",IFERROR($B84+VLOOKUP($F84,Setup!$A$82:$B$88,2,FALSE),""))</f>
        <v/>
      </c>
      <c r="S84" s="325">
        <f>IF($A84="","",IF($L84=0,"Draft",IF($Q84&lt;=0,"Paid",IF($G84&gt;0,"Partial","Unpaid"))))</f>
        <v/>
      </c>
      <c r="T84" s="325">
        <f>IF($A84="","",IF($Q84&lt;=0,0,IF($R84="","",MAX(TODAY()-$R84,0))))</f>
        <v/>
      </c>
      <c r="U84" s="325">
        <f>IF($A84="","",IF($S84="Paid","Closed",IF($R84="","Review",IF(TODAY()&lt;=$R84,"Current",IF($T84&lt;=30,"1-30",IF($T84&lt;=60,"31-60",IF($T84&lt;=90,"61-90","90+")))))))</f>
        <v/>
      </c>
      <c r="V84" s="329">
        <f>IF($A84="","",IF(AND($S84="Paid",$H84&lt;&gt;""),$H84,""))</f>
        <v/>
      </c>
      <c r="W84" s="325">
        <f>IF($A84="","",IF(OR(COUNTIF($A$9:$A$108,$A84)&gt;1,$B84="",$C84="",$D84="",$E84="",$F84="",$J84="",$K84="",$L84&lt;=0,$G84&lt;0,$G84&gt;$L84,AND($S84="Paid",$H84="")),"REVIEW","OK"))</f>
        <v/>
      </c>
      <c r="X84" s="330">
        <f>IF($A84="","",LOWER($A84&amp;" "&amp;$C84&amp;" "&amp;$D84&amp;" "&amp;$S84&amp;" "&amp;$J84&amp;" "&amp;$K84&amp;" "&amp;$I84))</f>
        <v/>
      </c>
    </row>
    <row r="85">
      <c r="A85" s="205" t="n"/>
      <c r="B85" s="331" t="n"/>
      <c r="C85" s="207" t="n"/>
      <c r="D85" s="207" t="n"/>
      <c r="E85" s="207" t="n"/>
      <c r="F85" s="207" t="n"/>
      <c r="G85" s="332" t="n"/>
      <c r="H85" s="331" t="n"/>
      <c r="I85" s="207" t="n"/>
      <c r="J85" s="325">
        <f>IF($A85="","",IFERROR(VLOOKUP($C85,Setup!$A$36:$D$50,2,FALSE),""))</f>
        <v/>
      </c>
      <c r="K85" s="325">
        <f>IF($A85="","",IFERROR(VLOOKUP($C85,Setup!$A$36:$D$50,3,FALSE),""))</f>
        <v/>
      </c>
      <c r="L85" s="326">
        <f>IF($A85="","",SUMIF(Depletion!$A$9:$A$208,$A85,Depletion!$E$9:$E$208))</f>
        <v/>
      </c>
      <c r="M85" s="327">
        <f>IF($A85="","",SUMIF(Depletion!$A$9:$A$208,$A85,Depletion!$C$9:$C$208))</f>
        <v/>
      </c>
      <c r="N85" s="326">
        <f>IF($A85="","",SUMIF(Depletion!$A$9:$A$208,$A85,Depletion!$I$9:$I$208))</f>
        <v/>
      </c>
      <c r="O85" s="326">
        <f>IF($A85="","",$L85-$N85)</f>
        <v/>
      </c>
      <c r="P85" s="328">
        <f>IF($A85="","",IFERROR($O85/$L85,0))</f>
        <v/>
      </c>
      <c r="Q85" s="326">
        <f>IF($A85="","",MAX($L85-$G85,0))</f>
        <v/>
      </c>
      <c r="R85" s="329">
        <f>IF($A85="","",IFERROR($B85+VLOOKUP($F85,Setup!$A$82:$B$88,2,FALSE),""))</f>
        <v/>
      </c>
      <c r="S85" s="325">
        <f>IF($A85="","",IF($L85=0,"Draft",IF($Q85&lt;=0,"Paid",IF($G85&gt;0,"Partial","Unpaid"))))</f>
        <v/>
      </c>
      <c r="T85" s="325">
        <f>IF($A85="","",IF($Q85&lt;=0,0,IF($R85="","",MAX(TODAY()-$R85,0))))</f>
        <v/>
      </c>
      <c r="U85" s="325">
        <f>IF($A85="","",IF($S85="Paid","Closed",IF($R85="","Review",IF(TODAY()&lt;=$R85,"Current",IF($T85&lt;=30,"1-30",IF($T85&lt;=60,"31-60",IF($T85&lt;=90,"61-90","90+")))))))</f>
        <v/>
      </c>
      <c r="V85" s="329">
        <f>IF($A85="","",IF(AND($S85="Paid",$H85&lt;&gt;""),$H85,""))</f>
        <v/>
      </c>
      <c r="W85" s="325">
        <f>IF($A85="","",IF(OR(COUNTIF($A$9:$A$108,$A85)&gt;1,$B85="",$C85="",$D85="",$E85="",$F85="",$J85="",$K85="",$L85&lt;=0,$G85&lt;0,$G85&gt;$L85,AND($S85="Paid",$H85="")),"REVIEW","OK"))</f>
        <v/>
      </c>
      <c r="X85" s="330">
        <f>IF($A85="","",LOWER($A85&amp;" "&amp;$C85&amp;" "&amp;$D85&amp;" "&amp;$S85&amp;" "&amp;$J85&amp;" "&amp;$K85&amp;" "&amp;$I85))</f>
        <v/>
      </c>
    </row>
    <row r="86">
      <c r="A86" s="205" t="n"/>
      <c r="B86" s="331" t="n"/>
      <c r="C86" s="207" t="n"/>
      <c r="D86" s="207" t="n"/>
      <c r="E86" s="207" t="n"/>
      <c r="F86" s="207" t="n"/>
      <c r="G86" s="332" t="n"/>
      <c r="H86" s="331" t="n"/>
      <c r="I86" s="207" t="n"/>
      <c r="J86" s="325">
        <f>IF($A86="","",IFERROR(VLOOKUP($C86,Setup!$A$36:$D$50,2,FALSE),""))</f>
        <v/>
      </c>
      <c r="K86" s="325">
        <f>IF($A86="","",IFERROR(VLOOKUP($C86,Setup!$A$36:$D$50,3,FALSE),""))</f>
        <v/>
      </c>
      <c r="L86" s="326">
        <f>IF($A86="","",SUMIF(Depletion!$A$9:$A$208,$A86,Depletion!$E$9:$E$208))</f>
        <v/>
      </c>
      <c r="M86" s="327">
        <f>IF($A86="","",SUMIF(Depletion!$A$9:$A$208,$A86,Depletion!$C$9:$C$208))</f>
        <v/>
      </c>
      <c r="N86" s="326">
        <f>IF($A86="","",SUMIF(Depletion!$A$9:$A$208,$A86,Depletion!$I$9:$I$208))</f>
        <v/>
      </c>
      <c r="O86" s="326">
        <f>IF($A86="","",$L86-$N86)</f>
        <v/>
      </c>
      <c r="P86" s="328">
        <f>IF($A86="","",IFERROR($O86/$L86,0))</f>
        <v/>
      </c>
      <c r="Q86" s="326">
        <f>IF($A86="","",MAX($L86-$G86,0))</f>
        <v/>
      </c>
      <c r="R86" s="329">
        <f>IF($A86="","",IFERROR($B86+VLOOKUP($F86,Setup!$A$82:$B$88,2,FALSE),""))</f>
        <v/>
      </c>
      <c r="S86" s="325">
        <f>IF($A86="","",IF($L86=0,"Draft",IF($Q86&lt;=0,"Paid",IF($G86&gt;0,"Partial","Unpaid"))))</f>
        <v/>
      </c>
      <c r="T86" s="325">
        <f>IF($A86="","",IF($Q86&lt;=0,0,IF($R86="","",MAX(TODAY()-$R86,0))))</f>
        <v/>
      </c>
      <c r="U86" s="325">
        <f>IF($A86="","",IF($S86="Paid","Closed",IF($R86="","Review",IF(TODAY()&lt;=$R86,"Current",IF($T86&lt;=30,"1-30",IF($T86&lt;=60,"31-60",IF($T86&lt;=90,"61-90","90+")))))))</f>
        <v/>
      </c>
      <c r="V86" s="329">
        <f>IF($A86="","",IF(AND($S86="Paid",$H86&lt;&gt;""),$H86,""))</f>
        <v/>
      </c>
      <c r="W86" s="325">
        <f>IF($A86="","",IF(OR(COUNTIF($A$9:$A$108,$A86)&gt;1,$B86="",$C86="",$D86="",$E86="",$F86="",$J86="",$K86="",$L86&lt;=0,$G86&lt;0,$G86&gt;$L86,AND($S86="Paid",$H86="")),"REVIEW","OK"))</f>
        <v/>
      </c>
      <c r="X86" s="330">
        <f>IF($A86="","",LOWER($A86&amp;" "&amp;$C86&amp;" "&amp;$D86&amp;" "&amp;$S86&amp;" "&amp;$J86&amp;" "&amp;$K86&amp;" "&amp;$I86))</f>
        <v/>
      </c>
    </row>
    <row r="87">
      <c r="A87" s="205" t="n"/>
      <c r="B87" s="331" t="n"/>
      <c r="C87" s="207" t="n"/>
      <c r="D87" s="207" t="n"/>
      <c r="E87" s="207" t="n"/>
      <c r="F87" s="207" t="n"/>
      <c r="G87" s="332" t="n"/>
      <c r="H87" s="331" t="n"/>
      <c r="I87" s="207" t="n"/>
      <c r="J87" s="325">
        <f>IF($A87="","",IFERROR(VLOOKUP($C87,Setup!$A$36:$D$50,2,FALSE),""))</f>
        <v/>
      </c>
      <c r="K87" s="325">
        <f>IF($A87="","",IFERROR(VLOOKUP($C87,Setup!$A$36:$D$50,3,FALSE),""))</f>
        <v/>
      </c>
      <c r="L87" s="326">
        <f>IF($A87="","",SUMIF(Depletion!$A$9:$A$208,$A87,Depletion!$E$9:$E$208))</f>
        <v/>
      </c>
      <c r="M87" s="327">
        <f>IF($A87="","",SUMIF(Depletion!$A$9:$A$208,$A87,Depletion!$C$9:$C$208))</f>
        <v/>
      </c>
      <c r="N87" s="326">
        <f>IF($A87="","",SUMIF(Depletion!$A$9:$A$208,$A87,Depletion!$I$9:$I$208))</f>
        <v/>
      </c>
      <c r="O87" s="326">
        <f>IF($A87="","",$L87-$N87)</f>
        <v/>
      </c>
      <c r="P87" s="328">
        <f>IF($A87="","",IFERROR($O87/$L87,0))</f>
        <v/>
      </c>
      <c r="Q87" s="326">
        <f>IF($A87="","",MAX($L87-$G87,0))</f>
        <v/>
      </c>
      <c r="R87" s="329">
        <f>IF($A87="","",IFERROR($B87+VLOOKUP($F87,Setup!$A$82:$B$88,2,FALSE),""))</f>
        <v/>
      </c>
      <c r="S87" s="325">
        <f>IF($A87="","",IF($L87=0,"Draft",IF($Q87&lt;=0,"Paid",IF($G87&gt;0,"Partial","Unpaid"))))</f>
        <v/>
      </c>
      <c r="T87" s="325">
        <f>IF($A87="","",IF($Q87&lt;=0,0,IF($R87="","",MAX(TODAY()-$R87,0))))</f>
        <v/>
      </c>
      <c r="U87" s="325">
        <f>IF($A87="","",IF($S87="Paid","Closed",IF($R87="","Review",IF(TODAY()&lt;=$R87,"Current",IF($T87&lt;=30,"1-30",IF($T87&lt;=60,"31-60",IF($T87&lt;=90,"61-90","90+")))))))</f>
        <v/>
      </c>
      <c r="V87" s="329">
        <f>IF($A87="","",IF(AND($S87="Paid",$H87&lt;&gt;""),$H87,""))</f>
        <v/>
      </c>
      <c r="W87" s="325">
        <f>IF($A87="","",IF(OR(COUNTIF($A$9:$A$108,$A87)&gt;1,$B87="",$C87="",$D87="",$E87="",$F87="",$J87="",$K87="",$L87&lt;=0,$G87&lt;0,$G87&gt;$L87,AND($S87="Paid",$H87="")),"REVIEW","OK"))</f>
        <v/>
      </c>
      <c r="X87" s="330">
        <f>IF($A87="","",LOWER($A87&amp;" "&amp;$C87&amp;" "&amp;$D87&amp;" "&amp;$S87&amp;" "&amp;$J87&amp;" "&amp;$K87&amp;" "&amp;$I87))</f>
        <v/>
      </c>
    </row>
    <row r="88">
      <c r="A88" s="205" t="n"/>
      <c r="B88" s="331" t="n"/>
      <c r="C88" s="207" t="n"/>
      <c r="D88" s="207" t="n"/>
      <c r="E88" s="207" t="n"/>
      <c r="F88" s="207" t="n"/>
      <c r="G88" s="332" t="n"/>
      <c r="H88" s="331" t="n"/>
      <c r="I88" s="207" t="n"/>
      <c r="J88" s="325">
        <f>IF($A88="","",IFERROR(VLOOKUP($C88,Setup!$A$36:$D$50,2,FALSE),""))</f>
        <v/>
      </c>
      <c r="K88" s="325">
        <f>IF($A88="","",IFERROR(VLOOKUP($C88,Setup!$A$36:$D$50,3,FALSE),""))</f>
        <v/>
      </c>
      <c r="L88" s="326">
        <f>IF($A88="","",SUMIF(Depletion!$A$9:$A$208,$A88,Depletion!$E$9:$E$208))</f>
        <v/>
      </c>
      <c r="M88" s="327">
        <f>IF($A88="","",SUMIF(Depletion!$A$9:$A$208,$A88,Depletion!$C$9:$C$208))</f>
        <v/>
      </c>
      <c r="N88" s="326">
        <f>IF($A88="","",SUMIF(Depletion!$A$9:$A$208,$A88,Depletion!$I$9:$I$208))</f>
        <v/>
      </c>
      <c r="O88" s="326">
        <f>IF($A88="","",$L88-$N88)</f>
        <v/>
      </c>
      <c r="P88" s="328">
        <f>IF($A88="","",IFERROR($O88/$L88,0))</f>
        <v/>
      </c>
      <c r="Q88" s="326">
        <f>IF($A88="","",MAX($L88-$G88,0))</f>
        <v/>
      </c>
      <c r="R88" s="329">
        <f>IF($A88="","",IFERROR($B88+VLOOKUP($F88,Setup!$A$82:$B$88,2,FALSE),""))</f>
        <v/>
      </c>
      <c r="S88" s="325">
        <f>IF($A88="","",IF($L88=0,"Draft",IF($Q88&lt;=0,"Paid",IF($G88&gt;0,"Partial","Unpaid"))))</f>
        <v/>
      </c>
      <c r="T88" s="325">
        <f>IF($A88="","",IF($Q88&lt;=0,0,IF($R88="","",MAX(TODAY()-$R88,0))))</f>
        <v/>
      </c>
      <c r="U88" s="325">
        <f>IF($A88="","",IF($S88="Paid","Closed",IF($R88="","Review",IF(TODAY()&lt;=$R88,"Current",IF($T88&lt;=30,"1-30",IF($T88&lt;=60,"31-60",IF($T88&lt;=90,"61-90","90+")))))))</f>
        <v/>
      </c>
      <c r="V88" s="329">
        <f>IF($A88="","",IF(AND($S88="Paid",$H88&lt;&gt;""),$H88,""))</f>
        <v/>
      </c>
      <c r="W88" s="325">
        <f>IF($A88="","",IF(OR(COUNTIF($A$9:$A$108,$A88)&gt;1,$B88="",$C88="",$D88="",$E88="",$F88="",$J88="",$K88="",$L88&lt;=0,$G88&lt;0,$G88&gt;$L88,AND($S88="Paid",$H88="")),"REVIEW","OK"))</f>
        <v/>
      </c>
      <c r="X88" s="330">
        <f>IF($A88="","",LOWER($A88&amp;" "&amp;$C88&amp;" "&amp;$D88&amp;" "&amp;$S88&amp;" "&amp;$J88&amp;" "&amp;$K88&amp;" "&amp;$I88))</f>
        <v/>
      </c>
    </row>
    <row r="89">
      <c r="A89" s="205" t="n"/>
      <c r="B89" s="331" t="n"/>
      <c r="C89" s="207" t="n"/>
      <c r="D89" s="207" t="n"/>
      <c r="E89" s="207" t="n"/>
      <c r="F89" s="207" t="n"/>
      <c r="G89" s="332" t="n"/>
      <c r="H89" s="331" t="n"/>
      <c r="I89" s="207" t="n"/>
      <c r="J89" s="325">
        <f>IF($A89="","",IFERROR(VLOOKUP($C89,Setup!$A$36:$D$50,2,FALSE),""))</f>
        <v/>
      </c>
      <c r="K89" s="325">
        <f>IF($A89="","",IFERROR(VLOOKUP($C89,Setup!$A$36:$D$50,3,FALSE),""))</f>
        <v/>
      </c>
      <c r="L89" s="326">
        <f>IF($A89="","",SUMIF(Depletion!$A$9:$A$208,$A89,Depletion!$E$9:$E$208))</f>
        <v/>
      </c>
      <c r="M89" s="327">
        <f>IF($A89="","",SUMIF(Depletion!$A$9:$A$208,$A89,Depletion!$C$9:$C$208))</f>
        <v/>
      </c>
      <c r="N89" s="326">
        <f>IF($A89="","",SUMIF(Depletion!$A$9:$A$208,$A89,Depletion!$I$9:$I$208))</f>
        <v/>
      </c>
      <c r="O89" s="326">
        <f>IF($A89="","",$L89-$N89)</f>
        <v/>
      </c>
      <c r="P89" s="328">
        <f>IF($A89="","",IFERROR($O89/$L89,0))</f>
        <v/>
      </c>
      <c r="Q89" s="326">
        <f>IF($A89="","",MAX($L89-$G89,0))</f>
        <v/>
      </c>
      <c r="R89" s="329">
        <f>IF($A89="","",IFERROR($B89+VLOOKUP($F89,Setup!$A$82:$B$88,2,FALSE),""))</f>
        <v/>
      </c>
      <c r="S89" s="325">
        <f>IF($A89="","",IF($L89=0,"Draft",IF($Q89&lt;=0,"Paid",IF($G89&gt;0,"Partial","Unpaid"))))</f>
        <v/>
      </c>
      <c r="T89" s="325">
        <f>IF($A89="","",IF($Q89&lt;=0,0,IF($R89="","",MAX(TODAY()-$R89,0))))</f>
        <v/>
      </c>
      <c r="U89" s="325">
        <f>IF($A89="","",IF($S89="Paid","Closed",IF($R89="","Review",IF(TODAY()&lt;=$R89,"Current",IF($T89&lt;=30,"1-30",IF($T89&lt;=60,"31-60",IF($T89&lt;=90,"61-90","90+")))))))</f>
        <v/>
      </c>
      <c r="V89" s="329">
        <f>IF($A89="","",IF(AND($S89="Paid",$H89&lt;&gt;""),$H89,""))</f>
        <v/>
      </c>
      <c r="W89" s="325">
        <f>IF($A89="","",IF(OR(COUNTIF($A$9:$A$108,$A89)&gt;1,$B89="",$C89="",$D89="",$E89="",$F89="",$J89="",$K89="",$L89&lt;=0,$G89&lt;0,$G89&gt;$L89,AND($S89="Paid",$H89="")),"REVIEW","OK"))</f>
        <v/>
      </c>
      <c r="X89" s="330">
        <f>IF($A89="","",LOWER($A89&amp;" "&amp;$C89&amp;" "&amp;$D89&amp;" "&amp;$S89&amp;" "&amp;$J89&amp;" "&amp;$K89&amp;" "&amp;$I89))</f>
        <v/>
      </c>
    </row>
    <row r="90">
      <c r="A90" s="205" t="n"/>
      <c r="B90" s="331" t="n"/>
      <c r="C90" s="207" t="n"/>
      <c r="D90" s="207" t="n"/>
      <c r="E90" s="207" t="n"/>
      <c r="F90" s="207" t="n"/>
      <c r="G90" s="332" t="n"/>
      <c r="H90" s="331" t="n"/>
      <c r="I90" s="207" t="n"/>
      <c r="J90" s="325">
        <f>IF($A90="","",IFERROR(VLOOKUP($C90,Setup!$A$36:$D$50,2,FALSE),""))</f>
        <v/>
      </c>
      <c r="K90" s="325">
        <f>IF($A90="","",IFERROR(VLOOKUP($C90,Setup!$A$36:$D$50,3,FALSE),""))</f>
        <v/>
      </c>
      <c r="L90" s="326">
        <f>IF($A90="","",SUMIF(Depletion!$A$9:$A$208,$A90,Depletion!$E$9:$E$208))</f>
        <v/>
      </c>
      <c r="M90" s="327">
        <f>IF($A90="","",SUMIF(Depletion!$A$9:$A$208,$A90,Depletion!$C$9:$C$208))</f>
        <v/>
      </c>
      <c r="N90" s="326">
        <f>IF($A90="","",SUMIF(Depletion!$A$9:$A$208,$A90,Depletion!$I$9:$I$208))</f>
        <v/>
      </c>
      <c r="O90" s="326">
        <f>IF($A90="","",$L90-$N90)</f>
        <v/>
      </c>
      <c r="P90" s="328">
        <f>IF($A90="","",IFERROR($O90/$L90,0))</f>
        <v/>
      </c>
      <c r="Q90" s="326">
        <f>IF($A90="","",MAX($L90-$G90,0))</f>
        <v/>
      </c>
      <c r="R90" s="329">
        <f>IF($A90="","",IFERROR($B90+VLOOKUP($F90,Setup!$A$82:$B$88,2,FALSE),""))</f>
        <v/>
      </c>
      <c r="S90" s="325">
        <f>IF($A90="","",IF($L90=0,"Draft",IF($Q90&lt;=0,"Paid",IF($G90&gt;0,"Partial","Unpaid"))))</f>
        <v/>
      </c>
      <c r="T90" s="325">
        <f>IF($A90="","",IF($Q90&lt;=0,0,IF($R90="","",MAX(TODAY()-$R90,0))))</f>
        <v/>
      </c>
      <c r="U90" s="325">
        <f>IF($A90="","",IF($S90="Paid","Closed",IF($R90="","Review",IF(TODAY()&lt;=$R90,"Current",IF($T90&lt;=30,"1-30",IF($T90&lt;=60,"31-60",IF($T90&lt;=90,"61-90","90+")))))))</f>
        <v/>
      </c>
      <c r="V90" s="329">
        <f>IF($A90="","",IF(AND($S90="Paid",$H90&lt;&gt;""),$H90,""))</f>
        <v/>
      </c>
      <c r="W90" s="325">
        <f>IF($A90="","",IF(OR(COUNTIF($A$9:$A$108,$A90)&gt;1,$B90="",$C90="",$D90="",$E90="",$F90="",$J90="",$K90="",$L90&lt;=0,$G90&lt;0,$G90&gt;$L90,AND($S90="Paid",$H90="")),"REVIEW","OK"))</f>
        <v/>
      </c>
      <c r="X90" s="330">
        <f>IF($A90="","",LOWER($A90&amp;" "&amp;$C90&amp;" "&amp;$D90&amp;" "&amp;$S90&amp;" "&amp;$J90&amp;" "&amp;$K90&amp;" "&amp;$I90))</f>
        <v/>
      </c>
    </row>
    <row r="91">
      <c r="A91" s="205" t="n"/>
      <c r="B91" s="331" t="n"/>
      <c r="C91" s="207" t="n"/>
      <c r="D91" s="207" t="n"/>
      <c r="E91" s="207" t="n"/>
      <c r="F91" s="207" t="n"/>
      <c r="G91" s="332" t="n"/>
      <c r="H91" s="331" t="n"/>
      <c r="I91" s="207" t="n"/>
      <c r="J91" s="325">
        <f>IF($A91="","",IFERROR(VLOOKUP($C91,Setup!$A$36:$D$50,2,FALSE),""))</f>
        <v/>
      </c>
      <c r="K91" s="325">
        <f>IF($A91="","",IFERROR(VLOOKUP($C91,Setup!$A$36:$D$50,3,FALSE),""))</f>
        <v/>
      </c>
      <c r="L91" s="326">
        <f>IF($A91="","",SUMIF(Depletion!$A$9:$A$208,$A91,Depletion!$E$9:$E$208))</f>
        <v/>
      </c>
      <c r="M91" s="327">
        <f>IF($A91="","",SUMIF(Depletion!$A$9:$A$208,$A91,Depletion!$C$9:$C$208))</f>
        <v/>
      </c>
      <c r="N91" s="326">
        <f>IF($A91="","",SUMIF(Depletion!$A$9:$A$208,$A91,Depletion!$I$9:$I$208))</f>
        <v/>
      </c>
      <c r="O91" s="326">
        <f>IF($A91="","",$L91-$N91)</f>
        <v/>
      </c>
      <c r="P91" s="328">
        <f>IF($A91="","",IFERROR($O91/$L91,0))</f>
        <v/>
      </c>
      <c r="Q91" s="326">
        <f>IF($A91="","",MAX($L91-$G91,0))</f>
        <v/>
      </c>
      <c r="R91" s="329">
        <f>IF($A91="","",IFERROR($B91+VLOOKUP($F91,Setup!$A$82:$B$88,2,FALSE),""))</f>
        <v/>
      </c>
      <c r="S91" s="325">
        <f>IF($A91="","",IF($L91=0,"Draft",IF($Q91&lt;=0,"Paid",IF($G91&gt;0,"Partial","Unpaid"))))</f>
        <v/>
      </c>
      <c r="T91" s="325">
        <f>IF($A91="","",IF($Q91&lt;=0,0,IF($R91="","",MAX(TODAY()-$R91,0))))</f>
        <v/>
      </c>
      <c r="U91" s="325">
        <f>IF($A91="","",IF($S91="Paid","Closed",IF($R91="","Review",IF(TODAY()&lt;=$R91,"Current",IF($T91&lt;=30,"1-30",IF($T91&lt;=60,"31-60",IF($T91&lt;=90,"61-90","90+")))))))</f>
        <v/>
      </c>
      <c r="V91" s="329">
        <f>IF($A91="","",IF(AND($S91="Paid",$H91&lt;&gt;""),$H91,""))</f>
        <v/>
      </c>
      <c r="W91" s="325">
        <f>IF($A91="","",IF(OR(COUNTIF($A$9:$A$108,$A91)&gt;1,$B91="",$C91="",$D91="",$E91="",$F91="",$J91="",$K91="",$L91&lt;=0,$G91&lt;0,$G91&gt;$L91,AND($S91="Paid",$H91="")),"REVIEW","OK"))</f>
        <v/>
      </c>
      <c r="X91" s="330">
        <f>IF($A91="","",LOWER($A91&amp;" "&amp;$C91&amp;" "&amp;$D91&amp;" "&amp;$S91&amp;" "&amp;$J91&amp;" "&amp;$K91&amp;" "&amp;$I91))</f>
        <v/>
      </c>
    </row>
    <row r="92">
      <c r="A92" s="205" t="n"/>
      <c r="B92" s="331" t="n"/>
      <c r="C92" s="207" t="n"/>
      <c r="D92" s="207" t="n"/>
      <c r="E92" s="207" t="n"/>
      <c r="F92" s="207" t="n"/>
      <c r="G92" s="332" t="n"/>
      <c r="H92" s="331" t="n"/>
      <c r="I92" s="207" t="n"/>
      <c r="J92" s="325">
        <f>IF($A92="","",IFERROR(VLOOKUP($C92,Setup!$A$36:$D$50,2,FALSE),""))</f>
        <v/>
      </c>
      <c r="K92" s="325">
        <f>IF($A92="","",IFERROR(VLOOKUP($C92,Setup!$A$36:$D$50,3,FALSE),""))</f>
        <v/>
      </c>
      <c r="L92" s="326">
        <f>IF($A92="","",SUMIF(Depletion!$A$9:$A$208,$A92,Depletion!$E$9:$E$208))</f>
        <v/>
      </c>
      <c r="M92" s="327">
        <f>IF($A92="","",SUMIF(Depletion!$A$9:$A$208,$A92,Depletion!$C$9:$C$208))</f>
        <v/>
      </c>
      <c r="N92" s="326">
        <f>IF($A92="","",SUMIF(Depletion!$A$9:$A$208,$A92,Depletion!$I$9:$I$208))</f>
        <v/>
      </c>
      <c r="O92" s="326">
        <f>IF($A92="","",$L92-$N92)</f>
        <v/>
      </c>
      <c r="P92" s="328">
        <f>IF($A92="","",IFERROR($O92/$L92,0))</f>
        <v/>
      </c>
      <c r="Q92" s="326">
        <f>IF($A92="","",MAX($L92-$G92,0))</f>
        <v/>
      </c>
      <c r="R92" s="329">
        <f>IF($A92="","",IFERROR($B92+VLOOKUP($F92,Setup!$A$82:$B$88,2,FALSE),""))</f>
        <v/>
      </c>
      <c r="S92" s="325">
        <f>IF($A92="","",IF($L92=0,"Draft",IF($Q92&lt;=0,"Paid",IF($G92&gt;0,"Partial","Unpaid"))))</f>
        <v/>
      </c>
      <c r="T92" s="325">
        <f>IF($A92="","",IF($Q92&lt;=0,0,IF($R92="","",MAX(TODAY()-$R92,0))))</f>
        <v/>
      </c>
      <c r="U92" s="325">
        <f>IF($A92="","",IF($S92="Paid","Closed",IF($R92="","Review",IF(TODAY()&lt;=$R92,"Current",IF($T92&lt;=30,"1-30",IF($T92&lt;=60,"31-60",IF($T92&lt;=90,"61-90","90+")))))))</f>
        <v/>
      </c>
      <c r="V92" s="329">
        <f>IF($A92="","",IF(AND($S92="Paid",$H92&lt;&gt;""),$H92,""))</f>
        <v/>
      </c>
      <c r="W92" s="325">
        <f>IF($A92="","",IF(OR(COUNTIF($A$9:$A$108,$A92)&gt;1,$B92="",$C92="",$D92="",$E92="",$F92="",$J92="",$K92="",$L92&lt;=0,$G92&lt;0,$G92&gt;$L92,AND($S92="Paid",$H92="")),"REVIEW","OK"))</f>
        <v/>
      </c>
      <c r="X92" s="330">
        <f>IF($A92="","",LOWER($A92&amp;" "&amp;$C92&amp;" "&amp;$D92&amp;" "&amp;$S92&amp;" "&amp;$J92&amp;" "&amp;$K92&amp;" "&amp;$I92))</f>
        <v/>
      </c>
    </row>
    <row r="93">
      <c r="A93" s="205" t="n"/>
      <c r="B93" s="331" t="n"/>
      <c r="C93" s="207" t="n"/>
      <c r="D93" s="207" t="n"/>
      <c r="E93" s="207" t="n"/>
      <c r="F93" s="207" t="n"/>
      <c r="G93" s="332" t="n"/>
      <c r="H93" s="331" t="n"/>
      <c r="I93" s="207" t="n"/>
      <c r="J93" s="325">
        <f>IF($A93="","",IFERROR(VLOOKUP($C93,Setup!$A$36:$D$50,2,FALSE),""))</f>
        <v/>
      </c>
      <c r="K93" s="325">
        <f>IF($A93="","",IFERROR(VLOOKUP($C93,Setup!$A$36:$D$50,3,FALSE),""))</f>
        <v/>
      </c>
      <c r="L93" s="326">
        <f>IF($A93="","",SUMIF(Depletion!$A$9:$A$208,$A93,Depletion!$E$9:$E$208))</f>
        <v/>
      </c>
      <c r="M93" s="327">
        <f>IF($A93="","",SUMIF(Depletion!$A$9:$A$208,$A93,Depletion!$C$9:$C$208))</f>
        <v/>
      </c>
      <c r="N93" s="326">
        <f>IF($A93="","",SUMIF(Depletion!$A$9:$A$208,$A93,Depletion!$I$9:$I$208))</f>
        <v/>
      </c>
      <c r="O93" s="326">
        <f>IF($A93="","",$L93-$N93)</f>
        <v/>
      </c>
      <c r="P93" s="328">
        <f>IF($A93="","",IFERROR($O93/$L93,0))</f>
        <v/>
      </c>
      <c r="Q93" s="326">
        <f>IF($A93="","",MAX($L93-$G93,0))</f>
        <v/>
      </c>
      <c r="R93" s="329">
        <f>IF($A93="","",IFERROR($B93+VLOOKUP($F93,Setup!$A$82:$B$88,2,FALSE),""))</f>
        <v/>
      </c>
      <c r="S93" s="325">
        <f>IF($A93="","",IF($L93=0,"Draft",IF($Q93&lt;=0,"Paid",IF($G93&gt;0,"Partial","Unpaid"))))</f>
        <v/>
      </c>
      <c r="T93" s="325">
        <f>IF($A93="","",IF($Q93&lt;=0,0,IF($R93="","",MAX(TODAY()-$R93,0))))</f>
        <v/>
      </c>
      <c r="U93" s="325">
        <f>IF($A93="","",IF($S93="Paid","Closed",IF($R93="","Review",IF(TODAY()&lt;=$R93,"Current",IF($T93&lt;=30,"1-30",IF($T93&lt;=60,"31-60",IF($T93&lt;=90,"61-90","90+")))))))</f>
        <v/>
      </c>
      <c r="V93" s="329">
        <f>IF($A93="","",IF(AND($S93="Paid",$H93&lt;&gt;""),$H93,""))</f>
        <v/>
      </c>
      <c r="W93" s="325">
        <f>IF($A93="","",IF(OR(COUNTIF($A$9:$A$108,$A93)&gt;1,$B93="",$C93="",$D93="",$E93="",$F93="",$J93="",$K93="",$L93&lt;=0,$G93&lt;0,$G93&gt;$L93,AND($S93="Paid",$H93="")),"REVIEW","OK"))</f>
        <v/>
      </c>
      <c r="X93" s="330">
        <f>IF($A93="","",LOWER($A93&amp;" "&amp;$C93&amp;" "&amp;$D93&amp;" "&amp;$S93&amp;" "&amp;$J93&amp;" "&amp;$K93&amp;" "&amp;$I93))</f>
        <v/>
      </c>
    </row>
    <row r="94">
      <c r="A94" s="205" t="n"/>
      <c r="B94" s="331" t="n"/>
      <c r="C94" s="207" t="n"/>
      <c r="D94" s="207" t="n"/>
      <c r="E94" s="207" t="n"/>
      <c r="F94" s="207" t="n"/>
      <c r="G94" s="332" t="n"/>
      <c r="H94" s="331" t="n"/>
      <c r="I94" s="207" t="n"/>
      <c r="J94" s="325">
        <f>IF($A94="","",IFERROR(VLOOKUP($C94,Setup!$A$36:$D$50,2,FALSE),""))</f>
        <v/>
      </c>
      <c r="K94" s="325">
        <f>IF($A94="","",IFERROR(VLOOKUP($C94,Setup!$A$36:$D$50,3,FALSE),""))</f>
        <v/>
      </c>
      <c r="L94" s="326">
        <f>IF($A94="","",SUMIF(Depletion!$A$9:$A$208,$A94,Depletion!$E$9:$E$208))</f>
        <v/>
      </c>
      <c r="M94" s="327">
        <f>IF($A94="","",SUMIF(Depletion!$A$9:$A$208,$A94,Depletion!$C$9:$C$208))</f>
        <v/>
      </c>
      <c r="N94" s="326">
        <f>IF($A94="","",SUMIF(Depletion!$A$9:$A$208,$A94,Depletion!$I$9:$I$208))</f>
        <v/>
      </c>
      <c r="O94" s="326">
        <f>IF($A94="","",$L94-$N94)</f>
        <v/>
      </c>
      <c r="P94" s="328">
        <f>IF($A94="","",IFERROR($O94/$L94,0))</f>
        <v/>
      </c>
      <c r="Q94" s="326">
        <f>IF($A94="","",MAX($L94-$G94,0))</f>
        <v/>
      </c>
      <c r="R94" s="329">
        <f>IF($A94="","",IFERROR($B94+VLOOKUP($F94,Setup!$A$82:$B$88,2,FALSE),""))</f>
        <v/>
      </c>
      <c r="S94" s="325">
        <f>IF($A94="","",IF($L94=0,"Draft",IF($Q94&lt;=0,"Paid",IF($G94&gt;0,"Partial","Unpaid"))))</f>
        <v/>
      </c>
      <c r="T94" s="325">
        <f>IF($A94="","",IF($Q94&lt;=0,0,IF($R94="","",MAX(TODAY()-$R94,0))))</f>
        <v/>
      </c>
      <c r="U94" s="325">
        <f>IF($A94="","",IF($S94="Paid","Closed",IF($R94="","Review",IF(TODAY()&lt;=$R94,"Current",IF($T94&lt;=30,"1-30",IF($T94&lt;=60,"31-60",IF($T94&lt;=90,"61-90","90+")))))))</f>
        <v/>
      </c>
      <c r="V94" s="329">
        <f>IF($A94="","",IF(AND($S94="Paid",$H94&lt;&gt;""),$H94,""))</f>
        <v/>
      </c>
      <c r="W94" s="325">
        <f>IF($A94="","",IF(OR(COUNTIF($A$9:$A$108,$A94)&gt;1,$B94="",$C94="",$D94="",$E94="",$F94="",$J94="",$K94="",$L94&lt;=0,$G94&lt;0,$G94&gt;$L94,AND($S94="Paid",$H94="")),"REVIEW","OK"))</f>
        <v/>
      </c>
      <c r="X94" s="330">
        <f>IF($A94="","",LOWER($A94&amp;" "&amp;$C94&amp;" "&amp;$D94&amp;" "&amp;$S94&amp;" "&amp;$J94&amp;" "&amp;$K94&amp;" "&amp;$I94))</f>
        <v/>
      </c>
    </row>
    <row r="95">
      <c r="A95" s="205" t="n"/>
      <c r="B95" s="331" t="n"/>
      <c r="C95" s="207" t="n"/>
      <c r="D95" s="207" t="n"/>
      <c r="E95" s="207" t="n"/>
      <c r="F95" s="207" t="n"/>
      <c r="G95" s="332" t="n"/>
      <c r="H95" s="331" t="n"/>
      <c r="I95" s="207" t="n"/>
      <c r="J95" s="325">
        <f>IF($A95="","",IFERROR(VLOOKUP($C95,Setup!$A$36:$D$50,2,FALSE),""))</f>
        <v/>
      </c>
      <c r="K95" s="325">
        <f>IF($A95="","",IFERROR(VLOOKUP($C95,Setup!$A$36:$D$50,3,FALSE),""))</f>
        <v/>
      </c>
      <c r="L95" s="326">
        <f>IF($A95="","",SUMIF(Depletion!$A$9:$A$208,$A95,Depletion!$E$9:$E$208))</f>
        <v/>
      </c>
      <c r="M95" s="327">
        <f>IF($A95="","",SUMIF(Depletion!$A$9:$A$208,$A95,Depletion!$C$9:$C$208))</f>
        <v/>
      </c>
      <c r="N95" s="326">
        <f>IF($A95="","",SUMIF(Depletion!$A$9:$A$208,$A95,Depletion!$I$9:$I$208))</f>
        <v/>
      </c>
      <c r="O95" s="326">
        <f>IF($A95="","",$L95-$N95)</f>
        <v/>
      </c>
      <c r="P95" s="328">
        <f>IF($A95="","",IFERROR($O95/$L95,0))</f>
        <v/>
      </c>
      <c r="Q95" s="326">
        <f>IF($A95="","",MAX($L95-$G95,0))</f>
        <v/>
      </c>
      <c r="R95" s="329">
        <f>IF($A95="","",IFERROR($B95+VLOOKUP($F95,Setup!$A$82:$B$88,2,FALSE),""))</f>
        <v/>
      </c>
      <c r="S95" s="325">
        <f>IF($A95="","",IF($L95=0,"Draft",IF($Q95&lt;=0,"Paid",IF($G95&gt;0,"Partial","Unpaid"))))</f>
        <v/>
      </c>
      <c r="T95" s="325">
        <f>IF($A95="","",IF($Q95&lt;=0,0,IF($R95="","",MAX(TODAY()-$R95,0))))</f>
        <v/>
      </c>
      <c r="U95" s="325">
        <f>IF($A95="","",IF($S95="Paid","Closed",IF($R95="","Review",IF(TODAY()&lt;=$R95,"Current",IF($T95&lt;=30,"1-30",IF($T95&lt;=60,"31-60",IF($T95&lt;=90,"61-90","90+")))))))</f>
        <v/>
      </c>
      <c r="V95" s="329">
        <f>IF($A95="","",IF(AND($S95="Paid",$H95&lt;&gt;""),$H95,""))</f>
        <v/>
      </c>
      <c r="W95" s="325">
        <f>IF($A95="","",IF(OR(COUNTIF($A$9:$A$108,$A95)&gt;1,$B95="",$C95="",$D95="",$E95="",$F95="",$J95="",$K95="",$L95&lt;=0,$G95&lt;0,$G95&gt;$L95,AND($S95="Paid",$H95="")),"REVIEW","OK"))</f>
        <v/>
      </c>
      <c r="X95" s="330">
        <f>IF($A95="","",LOWER($A95&amp;" "&amp;$C95&amp;" "&amp;$D95&amp;" "&amp;$S95&amp;" "&amp;$J95&amp;" "&amp;$K95&amp;" "&amp;$I95))</f>
        <v/>
      </c>
    </row>
    <row r="96">
      <c r="A96" s="205" t="n"/>
      <c r="B96" s="331" t="n"/>
      <c r="C96" s="207" t="n"/>
      <c r="D96" s="207" t="n"/>
      <c r="E96" s="207" t="n"/>
      <c r="F96" s="207" t="n"/>
      <c r="G96" s="332" t="n"/>
      <c r="H96" s="331" t="n"/>
      <c r="I96" s="207" t="n"/>
      <c r="J96" s="325">
        <f>IF($A96="","",IFERROR(VLOOKUP($C96,Setup!$A$36:$D$50,2,FALSE),""))</f>
        <v/>
      </c>
      <c r="K96" s="325">
        <f>IF($A96="","",IFERROR(VLOOKUP($C96,Setup!$A$36:$D$50,3,FALSE),""))</f>
        <v/>
      </c>
      <c r="L96" s="326">
        <f>IF($A96="","",SUMIF(Depletion!$A$9:$A$208,$A96,Depletion!$E$9:$E$208))</f>
        <v/>
      </c>
      <c r="M96" s="327">
        <f>IF($A96="","",SUMIF(Depletion!$A$9:$A$208,$A96,Depletion!$C$9:$C$208))</f>
        <v/>
      </c>
      <c r="N96" s="326">
        <f>IF($A96="","",SUMIF(Depletion!$A$9:$A$208,$A96,Depletion!$I$9:$I$208))</f>
        <v/>
      </c>
      <c r="O96" s="326">
        <f>IF($A96="","",$L96-$N96)</f>
        <v/>
      </c>
      <c r="P96" s="328">
        <f>IF($A96="","",IFERROR($O96/$L96,0))</f>
        <v/>
      </c>
      <c r="Q96" s="326">
        <f>IF($A96="","",MAX($L96-$G96,0))</f>
        <v/>
      </c>
      <c r="R96" s="329">
        <f>IF($A96="","",IFERROR($B96+VLOOKUP($F96,Setup!$A$82:$B$88,2,FALSE),""))</f>
        <v/>
      </c>
      <c r="S96" s="325">
        <f>IF($A96="","",IF($L96=0,"Draft",IF($Q96&lt;=0,"Paid",IF($G96&gt;0,"Partial","Unpaid"))))</f>
        <v/>
      </c>
      <c r="T96" s="325">
        <f>IF($A96="","",IF($Q96&lt;=0,0,IF($R96="","",MAX(TODAY()-$R96,0))))</f>
        <v/>
      </c>
      <c r="U96" s="325">
        <f>IF($A96="","",IF($S96="Paid","Closed",IF($R96="","Review",IF(TODAY()&lt;=$R96,"Current",IF($T96&lt;=30,"1-30",IF($T96&lt;=60,"31-60",IF($T96&lt;=90,"61-90","90+")))))))</f>
        <v/>
      </c>
      <c r="V96" s="329">
        <f>IF($A96="","",IF(AND($S96="Paid",$H96&lt;&gt;""),$H96,""))</f>
        <v/>
      </c>
      <c r="W96" s="325">
        <f>IF($A96="","",IF(OR(COUNTIF($A$9:$A$108,$A96)&gt;1,$B96="",$C96="",$D96="",$E96="",$F96="",$J96="",$K96="",$L96&lt;=0,$G96&lt;0,$G96&gt;$L96,AND($S96="Paid",$H96="")),"REVIEW","OK"))</f>
        <v/>
      </c>
      <c r="X96" s="330">
        <f>IF($A96="","",LOWER($A96&amp;" "&amp;$C96&amp;" "&amp;$D96&amp;" "&amp;$S96&amp;" "&amp;$J96&amp;" "&amp;$K96&amp;" "&amp;$I96))</f>
        <v/>
      </c>
    </row>
    <row r="97">
      <c r="A97" s="205" t="n"/>
      <c r="B97" s="331" t="n"/>
      <c r="C97" s="207" t="n"/>
      <c r="D97" s="207" t="n"/>
      <c r="E97" s="207" t="n"/>
      <c r="F97" s="207" t="n"/>
      <c r="G97" s="332" t="n"/>
      <c r="H97" s="331" t="n"/>
      <c r="I97" s="207" t="n"/>
      <c r="J97" s="325">
        <f>IF($A97="","",IFERROR(VLOOKUP($C97,Setup!$A$36:$D$50,2,FALSE),""))</f>
        <v/>
      </c>
      <c r="K97" s="325">
        <f>IF($A97="","",IFERROR(VLOOKUP($C97,Setup!$A$36:$D$50,3,FALSE),""))</f>
        <v/>
      </c>
      <c r="L97" s="326">
        <f>IF($A97="","",SUMIF(Depletion!$A$9:$A$208,$A97,Depletion!$E$9:$E$208))</f>
        <v/>
      </c>
      <c r="M97" s="327">
        <f>IF($A97="","",SUMIF(Depletion!$A$9:$A$208,$A97,Depletion!$C$9:$C$208))</f>
        <v/>
      </c>
      <c r="N97" s="326">
        <f>IF($A97="","",SUMIF(Depletion!$A$9:$A$208,$A97,Depletion!$I$9:$I$208))</f>
        <v/>
      </c>
      <c r="O97" s="326">
        <f>IF($A97="","",$L97-$N97)</f>
        <v/>
      </c>
      <c r="P97" s="328">
        <f>IF($A97="","",IFERROR($O97/$L97,0))</f>
        <v/>
      </c>
      <c r="Q97" s="326">
        <f>IF($A97="","",MAX($L97-$G97,0))</f>
        <v/>
      </c>
      <c r="R97" s="329">
        <f>IF($A97="","",IFERROR($B97+VLOOKUP($F97,Setup!$A$82:$B$88,2,FALSE),""))</f>
        <v/>
      </c>
      <c r="S97" s="325">
        <f>IF($A97="","",IF($L97=0,"Draft",IF($Q97&lt;=0,"Paid",IF($G97&gt;0,"Partial","Unpaid"))))</f>
        <v/>
      </c>
      <c r="T97" s="325">
        <f>IF($A97="","",IF($Q97&lt;=0,0,IF($R97="","",MAX(TODAY()-$R97,0))))</f>
        <v/>
      </c>
      <c r="U97" s="325">
        <f>IF($A97="","",IF($S97="Paid","Closed",IF($R97="","Review",IF(TODAY()&lt;=$R97,"Current",IF($T97&lt;=30,"1-30",IF($T97&lt;=60,"31-60",IF($T97&lt;=90,"61-90","90+")))))))</f>
        <v/>
      </c>
      <c r="V97" s="329">
        <f>IF($A97="","",IF(AND($S97="Paid",$H97&lt;&gt;""),$H97,""))</f>
        <v/>
      </c>
      <c r="W97" s="325">
        <f>IF($A97="","",IF(OR(COUNTIF($A$9:$A$108,$A97)&gt;1,$B97="",$C97="",$D97="",$E97="",$F97="",$J97="",$K97="",$L97&lt;=0,$G97&lt;0,$G97&gt;$L97,AND($S97="Paid",$H97="")),"REVIEW","OK"))</f>
        <v/>
      </c>
      <c r="X97" s="330">
        <f>IF($A97="","",LOWER($A97&amp;" "&amp;$C97&amp;" "&amp;$D97&amp;" "&amp;$S97&amp;" "&amp;$J97&amp;" "&amp;$K97&amp;" "&amp;$I97))</f>
        <v/>
      </c>
    </row>
    <row r="98">
      <c r="A98" s="205" t="n"/>
      <c r="B98" s="331" t="n"/>
      <c r="C98" s="207" t="n"/>
      <c r="D98" s="207" t="n"/>
      <c r="E98" s="207" t="n"/>
      <c r="F98" s="207" t="n"/>
      <c r="G98" s="332" t="n"/>
      <c r="H98" s="331" t="n"/>
      <c r="I98" s="207" t="n"/>
      <c r="J98" s="325">
        <f>IF($A98="","",IFERROR(VLOOKUP($C98,Setup!$A$36:$D$50,2,FALSE),""))</f>
        <v/>
      </c>
      <c r="K98" s="325">
        <f>IF($A98="","",IFERROR(VLOOKUP($C98,Setup!$A$36:$D$50,3,FALSE),""))</f>
        <v/>
      </c>
      <c r="L98" s="326">
        <f>IF($A98="","",SUMIF(Depletion!$A$9:$A$208,$A98,Depletion!$E$9:$E$208))</f>
        <v/>
      </c>
      <c r="M98" s="327">
        <f>IF($A98="","",SUMIF(Depletion!$A$9:$A$208,$A98,Depletion!$C$9:$C$208))</f>
        <v/>
      </c>
      <c r="N98" s="326">
        <f>IF($A98="","",SUMIF(Depletion!$A$9:$A$208,$A98,Depletion!$I$9:$I$208))</f>
        <v/>
      </c>
      <c r="O98" s="326">
        <f>IF($A98="","",$L98-$N98)</f>
        <v/>
      </c>
      <c r="P98" s="328">
        <f>IF($A98="","",IFERROR($O98/$L98,0))</f>
        <v/>
      </c>
      <c r="Q98" s="326">
        <f>IF($A98="","",MAX($L98-$G98,0))</f>
        <v/>
      </c>
      <c r="R98" s="329">
        <f>IF($A98="","",IFERROR($B98+VLOOKUP($F98,Setup!$A$82:$B$88,2,FALSE),""))</f>
        <v/>
      </c>
      <c r="S98" s="325">
        <f>IF($A98="","",IF($L98=0,"Draft",IF($Q98&lt;=0,"Paid",IF($G98&gt;0,"Partial","Unpaid"))))</f>
        <v/>
      </c>
      <c r="T98" s="325">
        <f>IF($A98="","",IF($Q98&lt;=0,0,IF($R98="","",MAX(TODAY()-$R98,0))))</f>
        <v/>
      </c>
      <c r="U98" s="325">
        <f>IF($A98="","",IF($S98="Paid","Closed",IF($R98="","Review",IF(TODAY()&lt;=$R98,"Current",IF($T98&lt;=30,"1-30",IF($T98&lt;=60,"31-60",IF($T98&lt;=90,"61-90","90+")))))))</f>
        <v/>
      </c>
      <c r="V98" s="329">
        <f>IF($A98="","",IF(AND($S98="Paid",$H98&lt;&gt;""),$H98,""))</f>
        <v/>
      </c>
      <c r="W98" s="325">
        <f>IF($A98="","",IF(OR(COUNTIF($A$9:$A$108,$A98)&gt;1,$B98="",$C98="",$D98="",$E98="",$F98="",$J98="",$K98="",$L98&lt;=0,$G98&lt;0,$G98&gt;$L98,AND($S98="Paid",$H98="")),"REVIEW","OK"))</f>
        <v/>
      </c>
      <c r="X98" s="330">
        <f>IF($A98="","",LOWER($A98&amp;" "&amp;$C98&amp;" "&amp;$D98&amp;" "&amp;$S98&amp;" "&amp;$J98&amp;" "&amp;$K98&amp;" "&amp;$I98))</f>
        <v/>
      </c>
    </row>
    <row r="99">
      <c r="A99" s="205" t="n"/>
      <c r="B99" s="331" t="n"/>
      <c r="C99" s="207" t="n"/>
      <c r="D99" s="207" t="n"/>
      <c r="E99" s="207" t="n"/>
      <c r="F99" s="207" t="n"/>
      <c r="G99" s="332" t="n"/>
      <c r="H99" s="331" t="n"/>
      <c r="I99" s="207" t="n"/>
      <c r="J99" s="325">
        <f>IF($A99="","",IFERROR(VLOOKUP($C99,Setup!$A$36:$D$50,2,FALSE),""))</f>
        <v/>
      </c>
      <c r="K99" s="325">
        <f>IF($A99="","",IFERROR(VLOOKUP($C99,Setup!$A$36:$D$50,3,FALSE),""))</f>
        <v/>
      </c>
      <c r="L99" s="326">
        <f>IF($A99="","",SUMIF(Depletion!$A$9:$A$208,$A99,Depletion!$E$9:$E$208))</f>
        <v/>
      </c>
      <c r="M99" s="327">
        <f>IF($A99="","",SUMIF(Depletion!$A$9:$A$208,$A99,Depletion!$C$9:$C$208))</f>
        <v/>
      </c>
      <c r="N99" s="326">
        <f>IF($A99="","",SUMIF(Depletion!$A$9:$A$208,$A99,Depletion!$I$9:$I$208))</f>
        <v/>
      </c>
      <c r="O99" s="326">
        <f>IF($A99="","",$L99-$N99)</f>
        <v/>
      </c>
      <c r="P99" s="328">
        <f>IF($A99="","",IFERROR($O99/$L99,0))</f>
        <v/>
      </c>
      <c r="Q99" s="326">
        <f>IF($A99="","",MAX($L99-$G99,0))</f>
        <v/>
      </c>
      <c r="R99" s="329">
        <f>IF($A99="","",IFERROR($B99+VLOOKUP($F99,Setup!$A$82:$B$88,2,FALSE),""))</f>
        <v/>
      </c>
      <c r="S99" s="325">
        <f>IF($A99="","",IF($L99=0,"Draft",IF($Q99&lt;=0,"Paid",IF($G99&gt;0,"Partial","Unpaid"))))</f>
        <v/>
      </c>
      <c r="T99" s="325">
        <f>IF($A99="","",IF($Q99&lt;=0,0,IF($R99="","",MAX(TODAY()-$R99,0))))</f>
        <v/>
      </c>
      <c r="U99" s="325">
        <f>IF($A99="","",IF($S99="Paid","Closed",IF($R99="","Review",IF(TODAY()&lt;=$R99,"Current",IF($T99&lt;=30,"1-30",IF($T99&lt;=60,"31-60",IF($T99&lt;=90,"61-90","90+")))))))</f>
        <v/>
      </c>
      <c r="V99" s="329">
        <f>IF($A99="","",IF(AND($S99="Paid",$H99&lt;&gt;""),$H99,""))</f>
        <v/>
      </c>
      <c r="W99" s="325">
        <f>IF($A99="","",IF(OR(COUNTIF($A$9:$A$108,$A99)&gt;1,$B99="",$C99="",$D99="",$E99="",$F99="",$J99="",$K99="",$L99&lt;=0,$G99&lt;0,$G99&gt;$L99,AND($S99="Paid",$H99="")),"REVIEW","OK"))</f>
        <v/>
      </c>
      <c r="X99" s="330">
        <f>IF($A99="","",LOWER($A99&amp;" "&amp;$C99&amp;" "&amp;$D99&amp;" "&amp;$S99&amp;" "&amp;$J99&amp;" "&amp;$K99&amp;" "&amp;$I99))</f>
        <v/>
      </c>
    </row>
    <row r="100">
      <c r="A100" s="205" t="n"/>
      <c r="B100" s="331" t="n"/>
      <c r="C100" s="207" t="n"/>
      <c r="D100" s="207" t="n"/>
      <c r="E100" s="207" t="n"/>
      <c r="F100" s="207" t="n"/>
      <c r="G100" s="332" t="n"/>
      <c r="H100" s="331" t="n"/>
      <c r="I100" s="207" t="n"/>
      <c r="J100" s="325">
        <f>IF($A100="","",IFERROR(VLOOKUP($C100,Setup!$A$36:$D$50,2,FALSE),""))</f>
        <v/>
      </c>
      <c r="K100" s="325">
        <f>IF($A100="","",IFERROR(VLOOKUP($C100,Setup!$A$36:$D$50,3,FALSE),""))</f>
        <v/>
      </c>
      <c r="L100" s="326">
        <f>IF($A100="","",SUMIF(Depletion!$A$9:$A$208,$A100,Depletion!$E$9:$E$208))</f>
        <v/>
      </c>
      <c r="M100" s="327">
        <f>IF($A100="","",SUMIF(Depletion!$A$9:$A$208,$A100,Depletion!$C$9:$C$208))</f>
        <v/>
      </c>
      <c r="N100" s="326">
        <f>IF($A100="","",SUMIF(Depletion!$A$9:$A$208,$A100,Depletion!$I$9:$I$208))</f>
        <v/>
      </c>
      <c r="O100" s="326">
        <f>IF($A100="","",$L100-$N100)</f>
        <v/>
      </c>
      <c r="P100" s="328">
        <f>IF($A100="","",IFERROR($O100/$L100,0))</f>
        <v/>
      </c>
      <c r="Q100" s="326">
        <f>IF($A100="","",MAX($L100-$G100,0))</f>
        <v/>
      </c>
      <c r="R100" s="329">
        <f>IF($A100="","",IFERROR($B100+VLOOKUP($F100,Setup!$A$82:$B$88,2,FALSE),""))</f>
        <v/>
      </c>
      <c r="S100" s="325">
        <f>IF($A100="","",IF($L100=0,"Draft",IF($Q100&lt;=0,"Paid",IF($G100&gt;0,"Partial","Unpaid"))))</f>
        <v/>
      </c>
      <c r="T100" s="325">
        <f>IF($A100="","",IF($Q100&lt;=0,0,IF($R100="","",MAX(TODAY()-$R100,0))))</f>
        <v/>
      </c>
      <c r="U100" s="325">
        <f>IF($A100="","",IF($S100="Paid","Closed",IF($R100="","Review",IF(TODAY()&lt;=$R100,"Current",IF($T100&lt;=30,"1-30",IF($T100&lt;=60,"31-60",IF($T100&lt;=90,"61-90","90+")))))))</f>
        <v/>
      </c>
      <c r="V100" s="329">
        <f>IF($A100="","",IF(AND($S100="Paid",$H100&lt;&gt;""),$H100,""))</f>
        <v/>
      </c>
      <c r="W100" s="325">
        <f>IF($A100="","",IF(OR(COUNTIF($A$9:$A$108,$A100)&gt;1,$B100="",$C100="",$D100="",$E100="",$F100="",$J100="",$K100="",$L100&lt;=0,$G100&lt;0,$G100&gt;$L100,AND($S100="Paid",$H100="")),"REVIEW","OK"))</f>
        <v/>
      </c>
      <c r="X100" s="330">
        <f>IF($A100="","",LOWER($A100&amp;" "&amp;$C100&amp;" "&amp;$D100&amp;" "&amp;$S100&amp;" "&amp;$J100&amp;" "&amp;$K100&amp;" "&amp;$I100))</f>
        <v/>
      </c>
    </row>
    <row r="101">
      <c r="A101" s="205" t="n"/>
      <c r="B101" s="331" t="n"/>
      <c r="C101" s="207" t="n"/>
      <c r="D101" s="207" t="n"/>
      <c r="E101" s="207" t="n"/>
      <c r="F101" s="207" t="n"/>
      <c r="G101" s="332" t="n"/>
      <c r="H101" s="331" t="n"/>
      <c r="I101" s="207" t="n"/>
      <c r="J101" s="325">
        <f>IF($A101="","",IFERROR(VLOOKUP($C101,Setup!$A$36:$D$50,2,FALSE),""))</f>
        <v/>
      </c>
      <c r="K101" s="325">
        <f>IF($A101="","",IFERROR(VLOOKUP($C101,Setup!$A$36:$D$50,3,FALSE),""))</f>
        <v/>
      </c>
      <c r="L101" s="326">
        <f>IF($A101="","",SUMIF(Depletion!$A$9:$A$208,$A101,Depletion!$E$9:$E$208))</f>
        <v/>
      </c>
      <c r="M101" s="327">
        <f>IF($A101="","",SUMIF(Depletion!$A$9:$A$208,$A101,Depletion!$C$9:$C$208))</f>
        <v/>
      </c>
      <c r="N101" s="326">
        <f>IF($A101="","",SUMIF(Depletion!$A$9:$A$208,$A101,Depletion!$I$9:$I$208))</f>
        <v/>
      </c>
      <c r="O101" s="326">
        <f>IF($A101="","",$L101-$N101)</f>
        <v/>
      </c>
      <c r="P101" s="328">
        <f>IF($A101="","",IFERROR($O101/$L101,0))</f>
        <v/>
      </c>
      <c r="Q101" s="326">
        <f>IF($A101="","",MAX($L101-$G101,0))</f>
        <v/>
      </c>
      <c r="R101" s="329">
        <f>IF($A101="","",IFERROR($B101+VLOOKUP($F101,Setup!$A$82:$B$88,2,FALSE),""))</f>
        <v/>
      </c>
      <c r="S101" s="325">
        <f>IF($A101="","",IF($L101=0,"Draft",IF($Q101&lt;=0,"Paid",IF($G101&gt;0,"Partial","Unpaid"))))</f>
        <v/>
      </c>
      <c r="T101" s="325">
        <f>IF($A101="","",IF($Q101&lt;=0,0,IF($R101="","",MAX(TODAY()-$R101,0))))</f>
        <v/>
      </c>
      <c r="U101" s="325">
        <f>IF($A101="","",IF($S101="Paid","Closed",IF($R101="","Review",IF(TODAY()&lt;=$R101,"Current",IF($T101&lt;=30,"1-30",IF($T101&lt;=60,"31-60",IF($T101&lt;=90,"61-90","90+")))))))</f>
        <v/>
      </c>
      <c r="V101" s="329">
        <f>IF($A101="","",IF(AND($S101="Paid",$H101&lt;&gt;""),$H101,""))</f>
        <v/>
      </c>
      <c r="W101" s="325">
        <f>IF($A101="","",IF(OR(COUNTIF($A$9:$A$108,$A101)&gt;1,$B101="",$C101="",$D101="",$E101="",$F101="",$J101="",$K101="",$L101&lt;=0,$G101&lt;0,$G101&gt;$L101,AND($S101="Paid",$H101="")),"REVIEW","OK"))</f>
        <v/>
      </c>
      <c r="X101" s="330">
        <f>IF($A101="","",LOWER($A101&amp;" "&amp;$C101&amp;" "&amp;$D101&amp;" "&amp;$S101&amp;" "&amp;$J101&amp;" "&amp;$K101&amp;" "&amp;$I101))</f>
        <v/>
      </c>
    </row>
    <row r="102">
      <c r="A102" s="205" t="n"/>
      <c r="B102" s="331" t="n"/>
      <c r="C102" s="207" t="n"/>
      <c r="D102" s="207" t="n"/>
      <c r="E102" s="207" t="n"/>
      <c r="F102" s="207" t="n"/>
      <c r="G102" s="332" t="n"/>
      <c r="H102" s="331" t="n"/>
      <c r="I102" s="207" t="n"/>
      <c r="J102" s="325">
        <f>IF($A102="","",IFERROR(VLOOKUP($C102,Setup!$A$36:$D$50,2,FALSE),""))</f>
        <v/>
      </c>
      <c r="K102" s="325">
        <f>IF($A102="","",IFERROR(VLOOKUP($C102,Setup!$A$36:$D$50,3,FALSE),""))</f>
        <v/>
      </c>
      <c r="L102" s="326">
        <f>IF($A102="","",SUMIF(Depletion!$A$9:$A$208,$A102,Depletion!$E$9:$E$208))</f>
        <v/>
      </c>
      <c r="M102" s="327">
        <f>IF($A102="","",SUMIF(Depletion!$A$9:$A$208,$A102,Depletion!$C$9:$C$208))</f>
        <v/>
      </c>
      <c r="N102" s="326">
        <f>IF($A102="","",SUMIF(Depletion!$A$9:$A$208,$A102,Depletion!$I$9:$I$208))</f>
        <v/>
      </c>
      <c r="O102" s="326">
        <f>IF($A102="","",$L102-$N102)</f>
        <v/>
      </c>
      <c r="P102" s="328">
        <f>IF($A102="","",IFERROR($O102/$L102,0))</f>
        <v/>
      </c>
      <c r="Q102" s="326">
        <f>IF($A102="","",MAX($L102-$G102,0))</f>
        <v/>
      </c>
      <c r="R102" s="329">
        <f>IF($A102="","",IFERROR($B102+VLOOKUP($F102,Setup!$A$82:$B$88,2,FALSE),""))</f>
        <v/>
      </c>
      <c r="S102" s="325">
        <f>IF($A102="","",IF($L102=0,"Draft",IF($Q102&lt;=0,"Paid",IF($G102&gt;0,"Partial","Unpaid"))))</f>
        <v/>
      </c>
      <c r="T102" s="325">
        <f>IF($A102="","",IF($Q102&lt;=0,0,IF($R102="","",MAX(TODAY()-$R102,0))))</f>
        <v/>
      </c>
      <c r="U102" s="325">
        <f>IF($A102="","",IF($S102="Paid","Closed",IF($R102="","Review",IF(TODAY()&lt;=$R102,"Current",IF($T102&lt;=30,"1-30",IF($T102&lt;=60,"31-60",IF($T102&lt;=90,"61-90","90+")))))))</f>
        <v/>
      </c>
      <c r="V102" s="329">
        <f>IF($A102="","",IF(AND($S102="Paid",$H102&lt;&gt;""),$H102,""))</f>
        <v/>
      </c>
      <c r="W102" s="325">
        <f>IF($A102="","",IF(OR(COUNTIF($A$9:$A$108,$A102)&gt;1,$B102="",$C102="",$D102="",$E102="",$F102="",$J102="",$K102="",$L102&lt;=0,$G102&lt;0,$G102&gt;$L102,AND($S102="Paid",$H102="")),"REVIEW","OK"))</f>
        <v/>
      </c>
      <c r="X102" s="330">
        <f>IF($A102="","",LOWER($A102&amp;" "&amp;$C102&amp;" "&amp;$D102&amp;" "&amp;$S102&amp;" "&amp;$J102&amp;" "&amp;$K102&amp;" "&amp;$I102))</f>
        <v/>
      </c>
    </row>
    <row r="103">
      <c r="A103" s="205" t="n"/>
      <c r="B103" s="331" t="n"/>
      <c r="C103" s="207" t="n"/>
      <c r="D103" s="207" t="n"/>
      <c r="E103" s="207" t="n"/>
      <c r="F103" s="207" t="n"/>
      <c r="G103" s="332" t="n"/>
      <c r="H103" s="331" t="n"/>
      <c r="I103" s="207" t="n"/>
      <c r="J103" s="325">
        <f>IF($A103="","",IFERROR(VLOOKUP($C103,Setup!$A$36:$D$50,2,FALSE),""))</f>
        <v/>
      </c>
      <c r="K103" s="325">
        <f>IF($A103="","",IFERROR(VLOOKUP($C103,Setup!$A$36:$D$50,3,FALSE),""))</f>
        <v/>
      </c>
      <c r="L103" s="326">
        <f>IF($A103="","",SUMIF(Depletion!$A$9:$A$208,$A103,Depletion!$E$9:$E$208))</f>
        <v/>
      </c>
      <c r="M103" s="327">
        <f>IF($A103="","",SUMIF(Depletion!$A$9:$A$208,$A103,Depletion!$C$9:$C$208))</f>
        <v/>
      </c>
      <c r="N103" s="326">
        <f>IF($A103="","",SUMIF(Depletion!$A$9:$A$208,$A103,Depletion!$I$9:$I$208))</f>
        <v/>
      </c>
      <c r="O103" s="326">
        <f>IF($A103="","",$L103-$N103)</f>
        <v/>
      </c>
      <c r="P103" s="328">
        <f>IF($A103="","",IFERROR($O103/$L103,0))</f>
        <v/>
      </c>
      <c r="Q103" s="326">
        <f>IF($A103="","",MAX($L103-$G103,0))</f>
        <v/>
      </c>
      <c r="R103" s="329">
        <f>IF($A103="","",IFERROR($B103+VLOOKUP($F103,Setup!$A$82:$B$88,2,FALSE),""))</f>
        <v/>
      </c>
      <c r="S103" s="325">
        <f>IF($A103="","",IF($L103=0,"Draft",IF($Q103&lt;=0,"Paid",IF($G103&gt;0,"Partial","Unpaid"))))</f>
        <v/>
      </c>
      <c r="T103" s="325">
        <f>IF($A103="","",IF($Q103&lt;=0,0,IF($R103="","",MAX(TODAY()-$R103,0))))</f>
        <v/>
      </c>
      <c r="U103" s="325">
        <f>IF($A103="","",IF($S103="Paid","Closed",IF($R103="","Review",IF(TODAY()&lt;=$R103,"Current",IF($T103&lt;=30,"1-30",IF($T103&lt;=60,"31-60",IF($T103&lt;=90,"61-90","90+")))))))</f>
        <v/>
      </c>
      <c r="V103" s="329">
        <f>IF($A103="","",IF(AND($S103="Paid",$H103&lt;&gt;""),$H103,""))</f>
        <v/>
      </c>
      <c r="W103" s="325">
        <f>IF($A103="","",IF(OR(COUNTIF($A$9:$A$108,$A103)&gt;1,$B103="",$C103="",$D103="",$E103="",$F103="",$J103="",$K103="",$L103&lt;=0,$G103&lt;0,$G103&gt;$L103,AND($S103="Paid",$H103="")),"REVIEW","OK"))</f>
        <v/>
      </c>
      <c r="X103" s="330">
        <f>IF($A103="","",LOWER($A103&amp;" "&amp;$C103&amp;" "&amp;$D103&amp;" "&amp;$S103&amp;" "&amp;$J103&amp;" "&amp;$K103&amp;" "&amp;$I103))</f>
        <v/>
      </c>
    </row>
    <row r="104">
      <c r="A104" s="205" t="n"/>
      <c r="B104" s="331" t="n"/>
      <c r="C104" s="207" t="n"/>
      <c r="D104" s="207" t="n"/>
      <c r="E104" s="207" t="n"/>
      <c r="F104" s="207" t="n"/>
      <c r="G104" s="332" t="n"/>
      <c r="H104" s="331" t="n"/>
      <c r="I104" s="207" t="n"/>
      <c r="J104" s="325">
        <f>IF($A104="","",IFERROR(VLOOKUP($C104,Setup!$A$36:$D$50,2,FALSE),""))</f>
        <v/>
      </c>
      <c r="K104" s="325">
        <f>IF($A104="","",IFERROR(VLOOKUP($C104,Setup!$A$36:$D$50,3,FALSE),""))</f>
        <v/>
      </c>
      <c r="L104" s="326">
        <f>IF($A104="","",SUMIF(Depletion!$A$9:$A$208,$A104,Depletion!$E$9:$E$208))</f>
        <v/>
      </c>
      <c r="M104" s="327">
        <f>IF($A104="","",SUMIF(Depletion!$A$9:$A$208,$A104,Depletion!$C$9:$C$208))</f>
        <v/>
      </c>
      <c r="N104" s="326">
        <f>IF($A104="","",SUMIF(Depletion!$A$9:$A$208,$A104,Depletion!$I$9:$I$208))</f>
        <v/>
      </c>
      <c r="O104" s="326">
        <f>IF($A104="","",$L104-$N104)</f>
        <v/>
      </c>
      <c r="P104" s="328">
        <f>IF($A104="","",IFERROR($O104/$L104,0))</f>
        <v/>
      </c>
      <c r="Q104" s="326">
        <f>IF($A104="","",MAX($L104-$G104,0))</f>
        <v/>
      </c>
      <c r="R104" s="329">
        <f>IF($A104="","",IFERROR($B104+VLOOKUP($F104,Setup!$A$82:$B$88,2,FALSE),""))</f>
        <v/>
      </c>
      <c r="S104" s="325">
        <f>IF($A104="","",IF($L104=0,"Draft",IF($Q104&lt;=0,"Paid",IF($G104&gt;0,"Partial","Unpaid"))))</f>
        <v/>
      </c>
      <c r="T104" s="325">
        <f>IF($A104="","",IF($Q104&lt;=0,0,IF($R104="","",MAX(TODAY()-$R104,0))))</f>
        <v/>
      </c>
      <c r="U104" s="325">
        <f>IF($A104="","",IF($S104="Paid","Closed",IF($R104="","Review",IF(TODAY()&lt;=$R104,"Current",IF($T104&lt;=30,"1-30",IF($T104&lt;=60,"31-60",IF($T104&lt;=90,"61-90","90+")))))))</f>
        <v/>
      </c>
      <c r="V104" s="329">
        <f>IF($A104="","",IF(AND($S104="Paid",$H104&lt;&gt;""),$H104,""))</f>
        <v/>
      </c>
      <c r="W104" s="325">
        <f>IF($A104="","",IF(OR(COUNTIF($A$9:$A$108,$A104)&gt;1,$B104="",$C104="",$D104="",$E104="",$F104="",$J104="",$K104="",$L104&lt;=0,$G104&lt;0,$G104&gt;$L104,AND($S104="Paid",$H104="")),"REVIEW","OK"))</f>
        <v/>
      </c>
      <c r="X104" s="330">
        <f>IF($A104="","",LOWER($A104&amp;" "&amp;$C104&amp;" "&amp;$D104&amp;" "&amp;$S104&amp;" "&amp;$J104&amp;" "&amp;$K104&amp;" "&amp;$I104))</f>
        <v/>
      </c>
    </row>
    <row r="105">
      <c r="A105" s="205" t="n"/>
      <c r="B105" s="331" t="n"/>
      <c r="C105" s="207" t="n"/>
      <c r="D105" s="207" t="n"/>
      <c r="E105" s="207" t="n"/>
      <c r="F105" s="207" t="n"/>
      <c r="G105" s="332" t="n"/>
      <c r="H105" s="331" t="n"/>
      <c r="I105" s="207" t="n"/>
      <c r="J105" s="325">
        <f>IF($A105="","",IFERROR(VLOOKUP($C105,Setup!$A$36:$D$50,2,FALSE),""))</f>
        <v/>
      </c>
      <c r="K105" s="325">
        <f>IF($A105="","",IFERROR(VLOOKUP($C105,Setup!$A$36:$D$50,3,FALSE),""))</f>
        <v/>
      </c>
      <c r="L105" s="326">
        <f>IF($A105="","",SUMIF(Depletion!$A$9:$A$208,$A105,Depletion!$E$9:$E$208))</f>
        <v/>
      </c>
      <c r="M105" s="327">
        <f>IF($A105="","",SUMIF(Depletion!$A$9:$A$208,$A105,Depletion!$C$9:$C$208))</f>
        <v/>
      </c>
      <c r="N105" s="326">
        <f>IF($A105="","",SUMIF(Depletion!$A$9:$A$208,$A105,Depletion!$I$9:$I$208))</f>
        <v/>
      </c>
      <c r="O105" s="326">
        <f>IF($A105="","",$L105-$N105)</f>
        <v/>
      </c>
      <c r="P105" s="328">
        <f>IF($A105="","",IFERROR($O105/$L105,0))</f>
        <v/>
      </c>
      <c r="Q105" s="326">
        <f>IF($A105="","",MAX($L105-$G105,0))</f>
        <v/>
      </c>
      <c r="R105" s="329">
        <f>IF($A105="","",IFERROR($B105+VLOOKUP($F105,Setup!$A$82:$B$88,2,FALSE),""))</f>
        <v/>
      </c>
      <c r="S105" s="325">
        <f>IF($A105="","",IF($L105=0,"Draft",IF($Q105&lt;=0,"Paid",IF($G105&gt;0,"Partial","Unpaid"))))</f>
        <v/>
      </c>
      <c r="T105" s="325">
        <f>IF($A105="","",IF($Q105&lt;=0,0,IF($R105="","",MAX(TODAY()-$R105,0))))</f>
        <v/>
      </c>
      <c r="U105" s="325">
        <f>IF($A105="","",IF($S105="Paid","Closed",IF($R105="","Review",IF(TODAY()&lt;=$R105,"Current",IF($T105&lt;=30,"1-30",IF($T105&lt;=60,"31-60",IF($T105&lt;=90,"61-90","90+")))))))</f>
        <v/>
      </c>
      <c r="V105" s="329">
        <f>IF($A105="","",IF(AND($S105="Paid",$H105&lt;&gt;""),$H105,""))</f>
        <v/>
      </c>
      <c r="W105" s="325">
        <f>IF($A105="","",IF(OR(COUNTIF($A$9:$A$108,$A105)&gt;1,$B105="",$C105="",$D105="",$E105="",$F105="",$J105="",$K105="",$L105&lt;=0,$G105&lt;0,$G105&gt;$L105,AND($S105="Paid",$H105="")),"REVIEW","OK"))</f>
        <v/>
      </c>
      <c r="X105" s="330">
        <f>IF($A105="","",LOWER($A105&amp;" "&amp;$C105&amp;" "&amp;$D105&amp;" "&amp;$S105&amp;" "&amp;$J105&amp;" "&amp;$K105&amp;" "&amp;$I105))</f>
        <v/>
      </c>
    </row>
    <row r="106">
      <c r="A106" s="205" t="n"/>
      <c r="B106" s="331" t="n"/>
      <c r="C106" s="207" t="n"/>
      <c r="D106" s="207" t="n"/>
      <c r="E106" s="207" t="n"/>
      <c r="F106" s="207" t="n"/>
      <c r="G106" s="332" t="n"/>
      <c r="H106" s="331" t="n"/>
      <c r="I106" s="207" t="n"/>
      <c r="J106" s="325">
        <f>IF($A106="","",IFERROR(VLOOKUP($C106,Setup!$A$36:$D$50,2,FALSE),""))</f>
        <v/>
      </c>
      <c r="K106" s="325">
        <f>IF($A106="","",IFERROR(VLOOKUP($C106,Setup!$A$36:$D$50,3,FALSE),""))</f>
        <v/>
      </c>
      <c r="L106" s="326">
        <f>IF($A106="","",SUMIF(Depletion!$A$9:$A$208,$A106,Depletion!$E$9:$E$208))</f>
        <v/>
      </c>
      <c r="M106" s="327">
        <f>IF($A106="","",SUMIF(Depletion!$A$9:$A$208,$A106,Depletion!$C$9:$C$208))</f>
        <v/>
      </c>
      <c r="N106" s="326">
        <f>IF($A106="","",SUMIF(Depletion!$A$9:$A$208,$A106,Depletion!$I$9:$I$208))</f>
        <v/>
      </c>
      <c r="O106" s="326">
        <f>IF($A106="","",$L106-$N106)</f>
        <v/>
      </c>
      <c r="P106" s="328">
        <f>IF($A106="","",IFERROR($O106/$L106,0))</f>
        <v/>
      </c>
      <c r="Q106" s="326">
        <f>IF($A106="","",MAX($L106-$G106,0))</f>
        <v/>
      </c>
      <c r="R106" s="329">
        <f>IF($A106="","",IFERROR($B106+VLOOKUP($F106,Setup!$A$82:$B$88,2,FALSE),""))</f>
        <v/>
      </c>
      <c r="S106" s="325">
        <f>IF($A106="","",IF($L106=0,"Draft",IF($Q106&lt;=0,"Paid",IF($G106&gt;0,"Partial","Unpaid"))))</f>
        <v/>
      </c>
      <c r="T106" s="325">
        <f>IF($A106="","",IF($Q106&lt;=0,0,IF($R106="","",MAX(TODAY()-$R106,0))))</f>
        <v/>
      </c>
      <c r="U106" s="325">
        <f>IF($A106="","",IF($S106="Paid","Closed",IF($R106="","Review",IF(TODAY()&lt;=$R106,"Current",IF($T106&lt;=30,"1-30",IF($T106&lt;=60,"31-60",IF($T106&lt;=90,"61-90","90+")))))))</f>
        <v/>
      </c>
      <c r="V106" s="329">
        <f>IF($A106="","",IF(AND($S106="Paid",$H106&lt;&gt;""),$H106,""))</f>
        <v/>
      </c>
      <c r="W106" s="325">
        <f>IF($A106="","",IF(OR(COUNTIF($A$9:$A$108,$A106)&gt;1,$B106="",$C106="",$D106="",$E106="",$F106="",$J106="",$K106="",$L106&lt;=0,$G106&lt;0,$G106&gt;$L106,AND($S106="Paid",$H106="")),"REVIEW","OK"))</f>
        <v/>
      </c>
      <c r="X106" s="330">
        <f>IF($A106="","",LOWER($A106&amp;" "&amp;$C106&amp;" "&amp;$D106&amp;" "&amp;$S106&amp;" "&amp;$J106&amp;" "&amp;$K106&amp;" "&amp;$I106))</f>
        <v/>
      </c>
    </row>
    <row r="107">
      <c r="A107" s="205" t="n"/>
      <c r="B107" s="331" t="n"/>
      <c r="C107" s="207" t="n"/>
      <c r="D107" s="207" t="n"/>
      <c r="E107" s="207" t="n"/>
      <c r="F107" s="207" t="n"/>
      <c r="G107" s="332" t="n"/>
      <c r="H107" s="331" t="n"/>
      <c r="I107" s="207" t="n"/>
      <c r="J107" s="325">
        <f>IF($A107="","",IFERROR(VLOOKUP($C107,Setup!$A$36:$D$50,2,FALSE),""))</f>
        <v/>
      </c>
      <c r="K107" s="325">
        <f>IF($A107="","",IFERROR(VLOOKUP($C107,Setup!$A$36:$D$50,3,FALSE),""))</f>
        <v/>
      </c>
      <c r="L107" s="326">
        <f>IF($A107="","",SUMIF(Depletion!$A$9:$A$208,$A107,Depletion!$E$9:$E$208))</f>
        <v/>
      </c>
      <c r="M107" s="327">
        <f>IF($A107="","",SUMIF(Depletion!$A$9:$A$208,$A107,Depletion!$C$9:$C$208))</f>
        <v/>
      </c>
      <c r="N107" s="326">
        <f>IF($A107="","",SUMIF(Depletion!$A$9:$A$208,$A107,Depletion!$I$9:$I$208))</f>
        <v/>
      </c>
      <c r="O107" s="326">
        <f>IF($A107="","",$L107-$N107)</f>
        <v/>
      </c>
      <c r="P107" s="328">
        <f>IF($A107="","",IFERROR($O107/$L107,0))</f>
        <v/>
      </c>
      <c r="Q107" s="326">
        <f>IF($A107="","",MAX($L107-$G107,0))</f>
        <v/>
      </c>
      <c r="R107" s="329">
        <f>IF($A107="","",IFERROR($B107+VLOOKUP($F107,Setup!$A$82:$B$88,2,FALSE),""))</f>
        <v/>
      </c>
      <c r="S107" s="325">
        <f>IF($A107="","",IF($L107=0,"Draft",IF($Q107&lt;=0,"Paid",IF($G107&gt;0,"Partial","Unpaid"))))</f>
        <v/>
      </c>
      <c r="T107" s="325">
        <f>IF($A107="","",IF($Q107&lt;=0,0,IF($R107="","",MAX(TODAY()-$R107,0))))</f>
        <v/>
      </c>
      <c r="U107" s="325">
        <f>IF($A107="","",IF($S107="Paid","Closed",IF($R107="","Review",IF(TODAY()&lt;=$R107,"Current",IF($T107&lt;=30,"1-30",IF($T107&lt;=60,"31-60",IF($T107&lt;=90,"61-90","90+")))))))</f>
        <v/>
      </c>
      <c r="V107" s="329">
        <f>IF($A107="","",IF(AND($S107="Paid",$H107&lt;&gt;""),$H107,""))</f>
        <v/>
      </c>
      <c r="W107" s="325">
        <f>IF($A107="","",IF(OR(COUNTIF($A$9:$A$108,$A107)&gt;1,$B107="",$C107="",$D107="",$E107="",$F107="",$J107="",$K107="",$L107&lt;=0,$G107&lt;0,$G107&gt;$L107,AND($S107="Paid",$H107="")),"REVIEW","OK"))</f>
        <v/>
      </c>
      <c r="X107" s="330">
        <f>IF($A107="","",LOWER($A107&amp;" "&amp;$C107&amp;" "&amp;$D107&amp;" "&amp;$S107&amp;" "&amp;$J107&amp;" "&amp;$K107&amp;" "&amp;$I107))</f>
        <v/>
      </c>
    </row>
    <row r="108">
      <c r="A108" s="215" t="n"/>
      <c r="B108" s="333" t="n"/>
      <c r="C108" s="217" t="n"/>
      <c r="D108" s="217" t="n"/>
      <c r="E108" s="217" t="n"/>
      <c r="F108" s="217" t="n"/>
      <c r="G108" s="334" t="n"/>
      <c r="H108" s="333" t="n"/>
      <c r="I108" s="217" t="n"/>
      <c r="J108" s="335">
        <f>IF($A108="","",IFERROR(VLOOKUP($C108,Setup!$A$36:$D$50,2,FALSE),""))</f>
        <v/>
      </c>
      <c r="K108" s="335">
        <f>IF($A108="","",IFERROR(VLOOKUP($C108,Setup!$A$36:$D$50,3,FALSE),""))</f>
        <v/>
      </c>
      <c r="L108" s="336">
        <f>IF($A108="","",SUMIF(Depletion!$A$9:$A$208,$A108,Depletion!$E$9:$E$208))</f>
        <v/>
      </c>
      <c r="M108" s="337">
        <f>IF($A108="","",SUMIF(Depletion!$A$9:$A$208,$A108,Depletion!$C$9:$C$208))</f>
        <v/>
      </c>
      <c r="N108" s="336">
        <f>IF($A108="","",SUMIF(Depletion!$A$9:$A$208,$A108,Depletion!$I$9:$I$208))</f>
        <v/>
      </c>
      <c r="O108" s="336">
        <f>IF($A108="","",$L108-$N108)</f>
        <v/>
      </c>
      <c r="P108" s="338">
        <f>IF($A108="","",IFERROR($O108/$L108,0))</f>
        <v/>
      </c>
      <c r="Q108" s="336">
        <f>IF($A108="","",MAX($L108-$G108,0))</f>
        <v/>
      </c>
      <c r="R108" s="339">
        <f>IF($A108="","",IFERROR($B108+VLOOKUP($F108,Setup!$A$82:$B$88,2,FALSE),""))</f>
        <v/>
      </c>
      <c r="S108" s="335">
        <f>IF($A108="","",IF($L108=0,"Draft",IF($Q108&lt;=0,"Paid",IF($G108&gt;0,"Partial","Unpaid"))))</f>
        <v/>
      </c>
      <c r="T108" s="335">
        <f>IF($A108="","",IF($Q108&lt;=0,0,IF($R108="","",MAX(TODAY()-$R108,0))))</f>
        <v/>
      </c>
      <c r="U108" s="335">
        <f>IF($A108="","",IF($S108="Paid","Closed",IF($R108="","Review",IF(TODAY()&lt;=$R108,"Current",IF($T108&lt;=30,"1-30",IF($T108&lt;=60,"31-60",IF($T108&lt;=90,"61-90","90+")))))))</f>
        <v/>
      </c>
      <c r="V108" s="339">
        <f>IF($A108="","",IF(AND($S108="Paid",$H108&lt;&gt;""),$H108,""))</f>
        <v/>
      </c>
      <c r="W108" s="335">
        <f>IF($A108="","",IF(OR(COUNTIF($A$9:$A$108,$A108)&gt;1,$B108="",$C108="",$D108="",$E108="",$F108="",$J108="",$K108="",$L108&lt;=0,$G108&lt;0,$G108&gt;$L108,AND($S108="Paid",$H108="")),"REVIEW","OK"))</f>
        <v/>
      </c>
      <c r="X108" s="340">
        <f>IF($A108="","",LOWER($A108&amp;" "&amp;$C108&amp;" "&amp;$D108&amp;" "&amp;$S108&amp;" "&amp;$J108&amp;" "&amp;$K108&amp;" "&amp;$I108))</f>
        <v/>
      </c>
    </row>
    <row r="109">
      <c r="A109" s="27" t="n"/>
      <c r="B109" s="341" t="n"/>
      <c r="C109" s="27" t="n"/>
      <c r="D109" s="27" t="n"/>
      <c r="E109" s="27" t="n"/>
      <c r="F109" s="27" t="n"/>
      <c r="G109" s="342" t="n"/>
      <c r="H109" s="341" t="n"/>
      <c r="I109" s="27" t="n"/>
      <c r="J109" s="30" t="n"/>
      <c r="K109" s="30" t="n"/>
      <c r="L109" s="343" t="n"/>
      <c r="M109" s="344" t="n"/>
      <c r="N109" s="343" t="n"/>
      <c r="O109" s="343" t="n"/>
      <c r="P109" s="345" t="n"/>
      <c r="Q109" s="343" t="n"/>
      <c r="R109" s="346" t="n"/>
      <c r="S109" s="30" t="n"/>
      <c r="T109" s="30" t="n"/>
      <c r="U109" s="30" t="n"/>
      <c r="V109" s="346" t="n"/>
      <c r="W109" s="30" t="n"/>
      <c r="X109" s="30" t="n"/>
    </row>
    <row r="110">
      <c r="A110" s="27" t="n"/>
      <c r="B110" s="341" t="n"/>
      <c r="C110" s="27" t="n"/>
      <c r="D110" s="27" t="n"/>
      <c r="E110" s="27" t="n"/>
      <c r="F110" s="27" t="n"/>
      <c r="G110" s="342" t="n"/>
      <c r="H110" s="341" t="n"/>
      <c r="I110" s="27" t="n"/>
      <c r="J110" s="30" t="n"/>
      <c r="K110" s="30" t="n"/>
      <c r="L110" s="343" t="n"/>
      <c r="M110" s="344" t="n"/>
      <c r="N110" s="343" t="n"/>
      <c r="O110" s="343" t="n"/>
      <c r="P110" s="345" t="n"/>
      <c r="Q110" s="343" t="n"/>
      <c r="R110" s="346" t="n"/>
      <c r="S110" s="30" t="n"/>
      <c r="T110" s="30" t="n"/>
      <c r="U110" s="30" t="n"/>
      <c r="V110" s="346" t="n"/>
      <c r="W110" s="30" t="n"/>
      <c r="X110" s="30" t="n"/>
    </row>
    <row r="111">
      <c r="A111" s="27" t="n"/>
      <c r="B111" s="341" t="n"/>
      <c r="C111" s="27" t="n"/>
      <c r="D111" s="27" t="n"/>
      <c r="E111" s="27" t="n"/>
      <c r="F111" s="27" t="n"/>
      <c r="G111" s="342" t="n"/>
      <c r="H111" s="341" t="n"/>
      <c r="I111" s="27" t="n"/>
      <c r="J111" s="30" t="n"/>
      <c r="K111" s="30" t="n"/>
      <c r="L111" s="343" t="n"/>
      <c r="M111" s="344" t="n"/>
      <c r="N111" s="343" t="n"/>
      <c r="O111" s="343" t="n"/>
      <c r="P111" s="345" t="n"/>
      <c r="Q111" s="343" t="n"/>
      <c r="R111" s="346" t="n"/>
      <c r="S111" s="30" t="n"/>
      <c r="T111" s="30" t="n"/>
      <c r="U111" s="30" t="n"/>
      <c r="V111" s="346" t="n"/>
      <c r="W111" s="30" t="n"/>
      <c r="X111" s="30" t="n"/>
    </row>
    <row r="112">
      <c r="A112" s="27" t="n"/>
      <c r="B112" s="341" t="n"/>
      <c r="C112" s="27" t="n"/>
      <c r="D112" s="27" t="n"/>
      <c r="E112" s="27" t="n"/>
      <c r="F112" s="27" t="n"/>
      <c r="G112" s="342" t="n"/>
      <c r="H112" s="341" t="n"/>
      <c r="I112" s="27" t="n"/>
      <c r="J112" s="30" t="n"/>
      <c r="K112" s="30" t="n"/>
      <c r="L112" s="343" t="n"/>
      <c r="M112" s="344" t="n"/>
      <c r="N112" s="343" t="n"/>
      <c r="O112" s="343" t="n"/>
      <c r="P112" s="345" t="n"/>
      <c r="Q112" s="343" t="n"/>
      <c r="R112" s="346" t="n"/>
      <c r="S112" s="30" t="n"/>
      <c r="T112" s="30" t="n"/>
      <c r="U112" s="30" t="n"/>
      <c r="V112" s="346" t="n"/>
      <c r="W112" s="30" t="n"/>
      <c r="X112" s="30" t="n"/>
    </row>
    <row r="113">
      <c r="A113" s="27" t="n"/>
      <c r="B113" s="341" t="n"/>
      <c r="C113" s="27" t="n"/>
      <c r="D113" s="27" t="n"/>
      <c r="E113" s="27" t="n"/>
      <c r="F113" s="27" t="n"/>
      <c r="G113" s="342" t="n"/>
      <c r="H113" s="341" t="n"/>
      <c r="I113" s="27" t="n"/>
      <c r="J113" s="30" t="n"/>
      <c r="K113" s="30" t="n"/>
      <c r="L113" s="343" t="n"/>
      <c r="M113" s="344" t="n"/>
      <c r="N113" s="343" t="n"/>
      <c r="O113" s="343" t="n"/>
      <c r="P113" s="345" t="n"/>
      <c r="Q113" s="343" t="n"/>
      <c r="R113" s="346" t="n"/>
      <c r="S113" s="30" t="n"/>
      <c r="T113" s="30" t="n"/>
      <c r="U113" s="30" t="n"/>
      <c r="V113" s="346" t="n"/>
      <c r="W113" s="30" t="n"/>
      <c r="X113" s="30" t="n"/>
    </row>
    <row r="114">
      <c r="A114" s="27" t="n"/>
      <c r="B114" s="341" t="n"/>
      <c r="C114" s="27" t="n"/>
      <c r="D114" s="27" t="n"/>
      <c r="E114" s="27" t="n"/>
      <c r="F114" s="27" t="n"/>
      <c r="G114" s="342" t="n"/>
      <c r="H114" s="341" t="n"/>
      <c r="I114" s="27" t="n"/>
      <c r="J114" s="30" t="n"/>
      <c r="K114" s="30" t="n"/>
      <c r="L114" s="343" t="n"/>
      <c r="M114" s="344" t="n"/>
      <c r="N114" s="343" t="n"/>
      <c r="O114" s="343" t="n"/>
      <c r="P114" s="345" t="n"/>
      <c r="Q114" s="343" t="n"/>
      <c r="R114" s="346" t="n"/>
      <c r="S114" s="30" t="n"/>
      <c r="T114" s="30" t="n"/>
      <c r="U114" s="30" t="n"/>
      <c r="V114" s="346" t="n"/>
      <c r="W114" s="30" t="n"/>
      <c r="X114" s="30" t="n"/>
    </row>
    <row r="115">
      <c r="A115" s="27" t="n"/>
      <c r="B115" s="341" t="n"/>
      <c r="C115" s="27" t="n"/>
      <c r="D115" s="27" t="n"/>
      <c r="E115" s="27" t="n"/>
      <c r="F115" s="27" t="n"/>
      <c r="G115" s="342" t="n"/>
      <c r="H115" s="341" t="n"/>
      <c r="I115" s="27" t="n"/>
      <c r="J115" s="30" t="n"/>
      <c r="K115" s="30" t="n"/>
      <c r="L115" s="343" t="n"/>
      <c r="M115" s="344" t="n"/>
      <c r="N115" s="343" t="n"/>
      <c r="O115" s="343" t="n"/>
      <c r="P115" s="345" t="n"/>
      <c r="Q115" s="343" t="n"/>
      <c r="R115" s="346" t="n"/>
      <c r="S115" s="30" t="n"/>
      <c r="T115" s="30" t="n"/>
      <c r="U115" s="30" t="n"/>
      <c r="V115" s="346" t="n"/>
      <c r="W115" s="30" t="n"/>
      <c r="X115" s="30" t="n"/>
    </row>
    <row r="116">
      <c r="A116" s="27" t="n"/>
      <c r="B116" s="341" t="n"/>
      <c r="C116" s="27" t="n"/>
      <c r="D116" s="27" t="n"/>
      <c r="E116" s="27" t="n"/>
      <c r="F116" s="27" t="n"/>
      <c r="G116" s="342" t="n"/>
      <c r="H116" s="341" t="n"/>
      <c r="I116" s="27" t="n"/>
      <c r="J116" s="30" t="n"/>
      <c r="K116" s="30" t="n"/>
      <c r="L116" s="343" t="n"/>
      <c r="M116" s="344" t="n"/>
      <c r="N116" s="343" t="n"/>
      <c r="O116" s="343" t="n"/>
      <c r="P116" s="345" t="n"/>
      <c r="Q116" s="343" t="n"/>
      <c r="R116" s="346" t="n"/>
      <c r="S116" s="30" t="n"/>
      <c r="T116" s="30" t="n"/>
      <c r="U116" s="30" t="n"/>
      <c r="V116" s="346" t="n"/>
      <c r="W116" s="30" t="n"/>
      <c r="X116" s="30" t="n"/>
    </row>
    <row r="117">
      <c r="A117" s="27" t="n"/>
      <c r="B117" s="341" t="n"/>
      <c r="C117" s="27" t="n"/>
      <c r="D117" s="27" t="n"/>
      <c r="E117" s="27" t="n"/>
      <c r="F117" s="27" t="n"/>
      <c r="G117" s="342" t="n"/>
      <c r="H117" s="341" t="n"/>
      <c r="I117" s="27" t="n"/>
      <c r="J117" s="30" t="n"/>
      <c r="K117" s="30" t="n"/>
      <c r="L117" s="343" t="n"/>
      <c r="M117" s="344" t="n"/>
      <c r="N117" s="343" t="n"/>
      <c r="O117" s="343" t="n"/>
      <c r="P117" s="345" t="n"/>
      <c r="Q117" s="343" t="n"/>
      <c r="R117" s="346" t="n"/>
      <c r="S117" s="30" t="n"/>
      <c r="T117" s="30" t="n"/>
      <c r="U117" s="30" t="n"/>
      <c r="V117" s="346" t="n"/>
      <c r="W117" s="30" t="n"/>
      <c r="X117" s="30" t="n"/>
    </row>
    <row r="118">
      <c r="A118" s="27" t="n"/>
      <c r="B118" s="341" t="n"/>
      <c r="C118" s="27" t="n"/>
      <c r="D118" s="27" t="n"/>
      <c r="E118" s="27" t="n"/>
      <c r="F118" s="27" t="n"/>
      <c r="G118" s="342" t="n"/>
      <c r="H118" s="341" t="n"/>
      <c r="I118" s="27" t="n"/>
      <c r="J118" s="30" t="n"/>
      <c r="K118" s="30" t="n"/>
      <c r="L118" s="343" t="n"/>
      <c r="M118" s="344" t="n"/>
      <c r="N118" s="343" t="n"/>
      <c r="O118" s="343" t="n"/>
      <c r="P118" s="345" t="n"/>
      <c r="Q118" s="343" t="n"/>
      <c r="R118" s="346" t="n"/>
      <c r="S118" s="30" t="n"/>
      <c r="T118" s="30" t="n"/>
      <c r="U118" s="30" t="n"/>
      <c r="V118" s="346" t="n"/>
      <c r="W118" s="30" t="n"/>
      <c r="X118" s="30" t="n"/>
    </row>
    <row r="119">
      <c r="A119" s="27" t="n"/>
      <c r="B119" s="341" t="n"/>
      <c r="C119" s="27" t="n"/>
      <c r="D119" s="27" t="n"/>
      <c r="E119" s="27" t="n"/>
      <c r="F119" s="27" t="n"/>
      <c r="G119" s="342" t="n"/>
      <c r="H119" s="341" t="n"/>
      <c r="I119" s="27" t="n"/>
      <c r="J119" s="30" t="n"/>
      <c r="K119" s="30" t="n"/>
      <c r="L119" s="343" t="n"/>
      <c r="M119" s="344" t="n"/>
      <c r="N119" s="343" t="n"/>
      <c r="O119" s="343" t="n"/>
      <c r="P119" s="345" t="n"/>
      <c r="Q119" s="343" t="n"/>
      <c r="R119" s="346" t="n"/>
      <c r="S119" s="30" t="n"/>
      <c r="T119" s="30" t="n"/>
      <c r="U119" s="30" t="n"/>
      <c r="V119" s="346" t="n"/>
      <c r="W119" s="30" t="n"/>
      <c r="X119" s="30" t="n"/>
    </row>
    <row r="120">
      <c r="A120" s="27" t="n"/>
      <c r="B120" s="341" t="n"/>
      <c r="C120" s="27" t="n"/>
      <c r="D120" s="27" t="n"/>
      <c r="E120" s="27" t="n"/>
      <c r="F120" s="27" t="n"/>
      <c r="G120" s="342" t="n"/>
      <c r="H120" s="341" t="n"/>
      <c r="I120" s="27" t="n"/>
      <c r="J120" s="30" t="n"/>
      <c r="K120" s="30" t="n"/>
      <c r="L120" s="343" t="n"/>
      <c r="M120" s="344" t="n"/>
      <c r="N120" s="343" t="n"/>
      <c r="O120" s="343" t="n"/>
      <c r="P120" s="345" t="n"/>
      <c r="Q120" s="343" t="n"/>
      <c r="R120" s="346" t="n"/>
      <c r="S120" s="30" t="n"/>
      <c r="T120" s="30" t="n"/>
      <c r="U120" s="30" t="n"/>
      <c r="V120" s="346" t="n"/>
      <c r="W120" s="30" t="n"/>
      <c r="X120" s="30" t="n"/>
    </row>
    <row r="121">
      <c r="A121" s="27" t="n"/>
      <c r="B121" s="341" t="n"/>
      <c r="C121" s="27" t="n"/>
      <c r="D121" s="27" t="n"/>
      <c r="E121" s="27" t="n"/>
      <c r="F121" s="27" t="n"/>
      <c r="G121" s="342" t="n"/>
      <c r="H121" s="341" t="n"/>
      <c r="I121" s="27" t="n"/>
      <c r="J121" s="30" t="n"/>
      <c r="K121" s="30" t="n"/>
      <c r="L121" s="343" t="n"/>
      <c r="M121" s="344" t="n"/>
      <c r="N121" s="343" t="n"/>
      <c r="O121" s="343" t="n"/>
      <c r="P121" s="345" t="n"/>
      <c r="Q121" s="343" t="n"/>
      <c r="R121" s="346" t="n"/>
      <c r="S121" s="30" t="n"/>
      <c r="T121" s="30" t="n"/>
      <c r="U121" s="30" t="n"/>
      <c r="V121" s="346" t="n"/>
      <c r="W121" s="30" t="n"/>
      <c r="X121" s="30" t="n"/>
    </row>
    <row r="122">
      <c r="A122" s="27" t="n"/>
      <c r="B122" s="341" t="n"/>
      <c r="C122" s="27" t="n"/>
      <c r="D122" s="27" t="n"/>
      <c r="E122" s="27" t="n"/>
      <c r="F122" s="27" t="n"/>
      <c r="G122" s="342" t="n"/>
      <c r="H122" s="341" t="n"/>
      <c r="I122" s="27" t="n"/>
      <c r="J122" s="30" t="n"/>
      <c r="K122" s="30" t="n"/>
      <c r="L122" s="343" t="n"/>
      <c r="M122" s="344" t="n"/>
      <c r="N122" s="343" t="n"/>
      <c r="O122" s="343" t="n"/>
      <c r="P122" s="345" t="n"/>
      <c r="Q122" s="343" t="n"/>
      <c r="R122" s="346" t="n"/>
      <c r="S122" s="30" t="n"/>
      <c r="T122" s="30" t="n"/>
      <c r="U122" s="30" t="n"/>
      <c r="V122" s="346" t="n"/>
      <c r="W122" s="30" t="n"/>
      <c r="X122" s="30" t="n"/>
    </row>
    <row r="123">
      <c r="A123" s="27" t="n"/>
      <c r="B123" s="341" t="n"/>
      <c r="C123" s="27" t="n"/>
      <c r="D123" s="27" t="n"/>
      <c r="E123" s="27" t="n"/>
      <c r="F123" s="27" t="n"/>
      <c r="G123" s="342" t="n"/>
      <c r="H123" s="341" t="n"/>
      <c r="I123" s="27" t="n"/>
      <c r="J123" s="30" t="n"/>
      <c r="K123" s="30" t="n"/>
      <c r="L123" s="343" t="n"/>
      <c r="M123" s="344" t="n"/>
      <c r="N123" s="343" t="n"/>
      <c r="O123" s="343" t="n"/>
      <c r="P123" s="345" t="n"/>
      <c r="Q123" s="343" t="n"/>
      <c r="R123" s="346" t="n"/>
      <c r="S123" s="30" t="n"/>
      <c r="T123" s="30" t="n"/>
      <c r="U123" s="30" t="n"/>
      <c r="V123" s="346" t="n"/>
      <c r="W123" s="30" t="n"/>
      <c r="X123" s="30" t="n"/>
    </row>
    <row r="124">
      <c r="A124" s="27" t="n"/>
      <c r="B124" s="341" t="n"/>
      <c r="C124" s="27" t="n"/>
      <c r="D124" s="27" t="n"/>
      <c r="E124" s="27" t="n"/>
      <c r="F124" s="27" t="n"/>
      <c r="G124" s="342" t="n"/>
      <c r="H124" s="341" t="n"/>
      <c r="I124" s="27" t="n"/>
      <c r="J124" s="30" t="n"/>
      <c r="K124" s="30" t="n"/>
      <c r="L124" s="343" t="n"/>
      <c r="M124" s="344" t="n"/>
      <c r="N124" s="343" t="n"/>
      <c r="O124" s="343" t="n"/>
      <c r="P124" s="345" t="n"/>
      <c r="Q124" s="343" t="n"/>
      <c r="R124" s="346" t="n"/>
      <c r="S124" s="30" t="n"/>
      <c r="T124" s="30" t="n"/>
      <c r="U124" s="30" t="n"/>
      <c r="V124" s="346" t="n"/>
      <c r="W124" s="30" t="n"/>
      <c r="X124" s="30" t="n"/>
    </row>
    <row r="125">
      <c r="A125" s="27" t="n"/>
      <c r="B125" s="341" t="n"/>
      <c r="C125" s="27" t="n"/>
      <c r="D125" s="27" t="n"/>
      <c r="E125" s="27" t="n"/>
      <c r="F125" s="27" t="n"/>
      <c r="G125" s="342" t="n"/>
      <c r="H125" s="341" t="n"/>
      <c r="I125" s="27" t="n"/>
      <c r="J125" s="30" t="n"/>
      <c r="K125" s="30" t="n"/>
      <c r="L125" s="343" t="n"/>
      <c r="M125" s="344" t="n"/>
      <c r="N125" s="343" t="n"/>
      <c r="O125" s="343" t="n"/>
      <c r="P125" s="345" t="n"/>
      <c r="Q125" s="343" t="n"/>
      <c r="R125" s="346" t="n"/>
      <c r="S125" s="30" t="n"/>
      <c r="T125" s="30" t="n"/>
      <c r="U125" s="30" t="n"/>
      <c r="V125" s="346" t="n"/>
      <c r="W125" s="30" t="n"/>
      <c r="X125" s="30" t="n"/>
    </row>
    <row r="126">
      <c r="A126" s="27" t="n"/>
      <c r="B126" s="341" t="n"/>
      <c r="C126" s="27" t="n"/>
      <c r="D126" s="27" t="n"/>
      <c r="E126" s="27" t="n"/>
      <c r="F126" s="27" t="n"/>
      <c r="G126" s="342" t="n"/>
      <c r="H126" s="341" t="n"/>
      <c r="I126" s="27" t="n"/>
      <c r="J126" s="30" t="n"/>
      <c r="K126" s="30" t="n"/>
      <c r="L126" s="343" t="n"/>
      <c r="M126" s="344" t="n"/>
      <c r="N126" s="343" t="n"/>
      <c r="O126" s="343" t="n"/>
      <c r="P126" s="345" t="n"/>
      <c r="Q126" s="343" t="n"/>
      <c r="R126" s="346" t="n"/>
      <c r="S126" s="30" t="n"/>
      <c r="T126" s="30" t="n"/>
      <c r="U126" s="30" t="n"/>
      <c r="V126" s="346" t="n"/>
      <c r="W126" s="30" t="n"/>
      <c r="X126" s="30" t="n"/>
    </row>
    <row r="127">
      <c r="A127" s="27" t="n"/>
      <c r="B127" s="341" t="n"/>
      <c r="C127" s="27" t="n"/>
      <c r="D127" s="27" t="n"/>
      <c r="E127" s="27" t="n"/>
      <c r="F127" s="27" t="n"/>
      <c r="G127" s="342" t="n"/>
      <c r="H127" s="341" t="n"/>
      <c r="I127" s="27" t="n"/>
      <c r="J127" s="30" t="n"/>
      <c r="K127" s="30" t="n"/>
      <c r="L127" s="343" t="n"/>
      <c r="M127" s="344" t="n"/>
      <c r="N127" s="343" t="n"/>
      <c r="O127" s="343" t="n"/>
      <c r="P127" s="345" t="n"/>
      <c r="Q127" s="343" t="n"/>
      <c r="R127" s="346" t="n"/>
      <c r="S127" s="30" t="n"/>
      <c r="T127" s="30" t="n"/>
      <c r="U127" s="30" t="n"/>
      <c r="V127" s="346" t="n"/>
      <c r="W127" s="30" t="n"/>
      <c r="X127" s="30" t="n"/>
    </row>
    <row r="128">
      <c r="A128" s="27" t="n"/>
      <c r="B128" s="341" t="n"/>
      <c r="C128" s="27" t="n"/>
      <c r="D128" s="27" t="n"/>
      <c r="E128" s="27" t="n"/>
      <c r="F128" s="27" t="n"/>
      <c r="G128" s="342" t="n"/>
      <c r="H128" s="341" t="n"/>
      <c r="I128" s="27" t="n"/>
      <c r="J128" s="30" t="n"/>
      <c r="K128" s="30" t="n"/>
      <c r="L128" s="343" t="n"/>
      <c r="M128" s="344" t="n"/>
      <c r="N128" s="343" t="n"/>
      <c r="O128" s="343" t="n"/>
      <c r="P128" s="345" t="n"/>
      <c r="Q128" s="343" t="n"/>
      <c r="R128" s="346" t="n"/>
      <c r="S128" s="30" t="n"/>
      <c r="T128" s="30" t="n"/>
      <c r="U128" s="30" t="n"/>
      <c r="V128" s="346" t="n"/>
      <c r="W128" s="30" t="n"/>
      <c r="X128" s="30" t="n"/>
    </row>
    <row r="129">
      <c r="A129" s="27" t="n"/>
      <c r="B129" s="341" t="n"/>
      <c r="C129" s="27" t="n"/>
      <c r="D129" s="27" t="n"/>
      <c r="E129" s="27" t="n"/>
      <c r="F129" s="27" t="n"/>
      <c r="G129" s="342" t="n"/>
      <c r="H129" s="341" t="n"/>
      <c r="I129" s="27" t="n"/>
      <c r="J129" s="30" t="n"/>
      <c r="K129" s="30" t="n"/>
      <c r="L129" s="343" t="n"/>
      <c r="M129" s="344" t="n"/>
      <c r="N129" s="343" t="n"/>
      <c r="O129" s="343" t="n"/>
      <c r="P129" s="345" t="n"/>
      <c r="Q129" s="343" t="n"/>
      <c r="R129" s="346" t="n"/>
      <c r="S129" s="30" t="n"/>
      <c r="T129" s="30" t="n"/>
      <c r="U129" s="30" t="n"/>
      <c r="V129" s="346" t="n"/>
      <c r="W129" s="30" t="n"/>
      <c r="X129" s="30" t="n"/>
    </row>
    <row r="130">
      <c r="A130" s="27" t="n"/>
      <c r="B130" s="341" t="n"/>
      <c r="C130" s="27" t="n"/>
      <c r="D130" s="27" t="n"/>
      <c r="E130" s="27" t="n"/>
      <c r="F130" s="27" t="n"/>
      <c r="G130" s="342" t="n"/>
      <c r="H130" s="341" t="n"/>
      <c r="I130" s="27" t="n"/>
      <c r="J130" s="30" t="n"/>
      <c r="K130" s="30" t="n"/>
      <c r="L130" s="343" t="n"/>
      <c r="M130" s="344" t="n"/>
      <c r="N130" s="343" t="n"/>
      <c r="O130" s="343" t="n"/>
      <c r="P130" s="345" t="n"/>
      <c r="Q130" s="343" t="n"/>
      <c r="R130" s="346" t="n"/>
      <c r="S130" s="30" t="n"/>
      <c r="T130" s="30" t="n"/>
      <c r="U130" s="30" t="n"/>
      <c r="V130" s="346" t="n"/>
      <c r="W130" s="30" t="n"/>
      <c r="X130" s="30" t="n"/>
    </row>
    <row r="131">
      <c r="A131" s="27" t="n"/>
      <c r="B131" s="341" t="n"/>
      <c r="C131" s="27" t="n"/>
      <c r="D131" s="27" t="n"/>
      <c r="E131" s="27" t="n"/>
      <c r="F131" s="27" t="n"/>
      <c r="G131" s="342" t="n"/>
      <c r="H131" s="341" t="n"/>
      <c r="I131" s="27" t="n"/>
      <c r="J131" s="30" t="n"/>
      <c r="K131" s="30" t="n"/>
      <c r="L131" s="343" t="n"/>
      <c r="M131" s="344" t="n"/>
      <c r="N131" s="343" t="n"/>
      <c r="O131" s="343" t="n"/>
      <c r="P131" s="345" t="n"/>
      <c r="Q131" s="343" t="n"/>
      <c r="R131" s="346" t="n"/>
      <c r="S131" s="30" t="n"/>
      <c r="T131" s="30" t="n"/>
      <c r="U131" s="30" t="n"/>
      <c r="V131" s="346" t="n"/>
      <c r="W131" s="30" t="n"/>
      <c r="X131" s="30" t="n"/>
    </row>
    <row r="132">
      <c r="A132" s="27" t="n"/>
      <c r="B132" s="341" t="n"/>
      <c r="C132" s="27" t="n"/>
      <c r="D132" s="27" t="n"/>
      <c r="E132" s="27" t="n"/>
      <c r="F132" s="27" t="n"/>
      <c r="G132" s="342" t="n"/>
      <c r="H132" s="341" t="n"/>
      <c r="I132" s="27" t="n"/>
      <c r="J132" s="30" t="n"/>
      <c r="K132" s="30" t="n"/>
      <c r="L132" s="343" t="n"/>
      <c r="M132" s="344" t="n"/>
      <c r="N132" s="343" t="n"/>
      <c r="O132" s="343" t="n"/>
      <c r="P132" s="345" t="n"/>
      <c r="Q132" s="343" t="n"/>
      <c r="R132" s="346" t="n"/>
      <c r="S132" s="30" t="n"/>
      <c r="T132" s="30" t="n"/>
      <c r="U132" s="30" t="n"/>
      <c r="V132" s="346" t="n"/>
      <c r="W132" s="30" t="n"/>
      <c r="X132" s="30" t="n"/>
    </row>
    <row r="133">
      <c r="A133" s="27" t="n"/>
      <c r="B133" s="341" t="n"/>
      <c r="C133" s="27" t="n"/>
      <c r="D133" s="27" t="n"/>
      <c r="E133" s="27" t="n"/>
      <c r="F133" s="27" t="n"/>
      <c r="G133" s="342" t="n"/>
      <c r="H133" s="341" t="n"/>
      <c r="I133" s="27" t="n"/>
      <c r="J133" s="30" t="n"/>
      <c r="K133" s="30" t="n"/>
      <c r="L133" s="343" t="n"/>
      <c r="M133" s="344" t="n"/>
      <c r="N133" s="343" t="n"/>
      <c r="O133" s="343" t="n"/>
      <c r="P133" s="345" t="n"/>
      <c r="Q133" s="343" t="n"/>
      <c r="R133" s="346" t="n"/>
      <c r="S133" s="30" t="n"/>
      <c r="T133" s="30" t="n"/>
      <c r="U133" s="30" t="n"/>
      <c r="V133" s="346" t="n"/>
      <c r="W133" s="30" t="n"/>
      <c r="X133" s="30" t="n"/>
    </row>
    <row r="134">
      <c r="A134" s="27" t="n"/>
      <c r="B134" s="341" t="n"/>
      <c r="C134" s="27" t="n"/>
      <c r="D134" s="27" t="n"/>
      <c r="E134" s="27" t="n"/>
      <c r="F134" s="27" t="n"/>
      <c r="G134" s="342" t="n"/>
      <c r="H134" s="341" t="n"/>
      <c r="I134" s="27" t="n"/>
      <c r="J134" s="30" t="n"/>
      <c r="K134" s="30" t="n"/>
      <c r="L134" s="343" t="n"/>
      <c r="M134" s="344" t="n"/>
      <c r="N134" s="343" t="n"/>
      <c r="O134" s="343" t="n"/>
      <c r="P134" s="345" t="n"/>
      <c r="Q134" s="343" t="n"/>
      <c r="R134" s="346" t="n"/>
      <c r="S134" s="30" t="n"/>
      <c r="T134" s="30" t="n"/>
      <c r="U134" s="30" t="n"/>
      <c r="V134" s="346" t="n"/>
      <c r="W134" s="30" t="n"/>
      <c r="X134" s="30" t="n"/>
    </row>
    <row r="135">
      <c r="A135" s="27" t="n"/>
      <c r="B135" s="341" t="n"/>
      <c r="C135" s="27" t="n"/>
      <c r="D135" s="27" t="n"/>
      <c r="E135" s="27" t="n"/>
      <c r="F135" s="27" t="n"/>
      <c r="G135" s="342" t="n"/>
      <c r="H135" s="341" t="n"/>
      <c r="I135" s="27" t="n"/>
      <c r="J135" s="30" t="n"/>
      <c r="K135" s="30" t="n"/>
      <c r="L135" s="343" t="n"/>
      <c r="M135" s="344" t="n"/>
      <c r="N135" s="343" t="n"/>
      <c r="O135" s="343" t="n"/>
      <c r="P135" s="345" t="n"/>
      <c r="Q135" s="343" t="n"/>
      <c r="R135" s="346" t="n"/>
      <c r="S135" s="30" t="n"/>
      <c r="T135" s="30" t="n"/>
      <c r="U135" s="30" t="n"/>
      <c r="V135" s="346" t="n"/>
      <c r="W135" s="30" t="n"/>
      <c r="X135" s="30" t="n"/>
    </row>
    <row r="136">
      <c r="A136" s="27" t="n"/>
      <c r="B136" s="341" t="n"/>
      <c r="C136" s="27" t="n"/>
      <c r="D136" s="27" t="n"/>
      <c r="E136" s="27" t="n"/>
      <c r="F136" s="27" t="n"/>
      <c r="G136" s="342" t="n"/>
      <c r="H136" s="341" t="n"/>
      <c r="I136" s="27" t="n"/>
      <c r="J136" s="30" t="n"/>
      <c r="K136" s="30" t="n"/>
      <c r="L136" s="343" t="n"/>
      <c r="M136" s="344" t="n"/>
      <c r="N136" s="343" t="n"/>
      <c r="O136" s="343" t="n"/>
      <c r="P136" s="345" t="n"/>
      <c r="Q136" s="343" t="n"/>
      <c r="R136" s="346" t="n"/>
      <c r="S136" s="30" t="n"/>
      <c r="T136" s="30" t="n"/>
      <c r="U136" s="30" t="n"/>
      <c r="V136" s="346" t="n"/>
      <c r="W136" s="30" t="n"/>
      <c r="X136" s="30" t="n"/>
    </row>
    <row r="137">
      <c r="A137" s="27" t="n"/>
      <c r="B137" s="341" t="n"/>
      <c r="C137" s="27" t="n"/>
      <c r="D137" s="27" t="n"/>
      <c r="E137" s="27" t="n"/>
      <c r="F137" s="27" t="n"/>
      <c r="G137" s="342" t="n"/>
      <c r="H137" s="341" t="n"/>
      <c r="I137" s="27" t="n"/>
      <c r="J137" s="30" t="n"/>
      <c r="K137" s="30" t="n"/>
      <c r="L137" s="343" t="n"/>
      <c r="M137" s="344" t="n"/>
      <c r="N137" s="343" t="n"/>
      <c r="O137" s="343" t="n"/>
      <c r="P137" s="345" t="n"/>
      <c r="Q137" s="343" t="n"/>
      <c r="R137" s="346" t="n"/>
      <c r="S137" s="30" t="n"/>
      <c r="T137" s="30" t="n"/>
      <c r="U137" s="30" t="n"/>
      <c r="V137" s="346" t="n"/>
      <c r="W137" s="30" t="n"/>
      <c r="X137" s="30" t="n"/>
    </row>
    <row r="138">
      <c r="A138" s="27" t="n"/>
      <c r="B138" s="341" t="n"/>
      <c r="C138" s="27" t="n"/>
      <c r="D138" s="27" t="n"/>
      <c r="E138" s="27" t="n"/>
      <c r="F138" s="27" t="n"/>
      <c r="G138" s="342" t="n"/>
      <c r="H138" s="341" t="n"/>
      <c r="I138" s="27" t="n"/>
      <c r="J138" s="30" t="n"/>
      <c r="K138" s="30" t="n"/>
      <c r="L138" s="343" t="n"/>
      <c r="M138" s="344" t="n"/>
      <c r="N138" s="343" t="n"/>
      <c r="O138" s="343" t="n"/>
      <c r="P138" s="345" t="n"/>
      <c r="Q138" s="343" t="n"/>
      <c r="R138" s="346" t="n"/>
      <c r="S138" s="30" t="n"/>
      <c r="T138" s="30" t="n"/>
      <c r="U138" s="30" t="n"/>
      <c r="V138" s="346" t="n"/>
      <c r="W138" s="30" t="n"/>
      <c r="X138" s="30" t="n"/>
    </row>
    <row r="139">
      <c r="A139" s="27" t="n"/>
      <c r="B139" s="341" t="n"/>
      <c r="C139" s="27" t="n"/>
      <c r="D139" s="27" t="n"/>
      <c r="E139" s="27" t="n"/>
      <c r="F139" s="27" t="n"/>
      <c r="G139" s="342" t="n"/>
      <c r="H139" s="341" t="n"/>
      <c r="I139" s="27" t="n"/>
      <c r="J139" s="30" t="n"/>
      <c r="K139" s="30" t="n"/>
      <c r="L139" s="343" t="n"/>
      <c r="M139" s="344" t="n"/>
      <c r="N139" s="343" t="n"/>
      <c r="O139" s="343" t="n"/>
      <c r="P139" s="345" t="n"/>
      <c r="Q139" s="343" t="n"/>
      <c r="R139" s="346" t="n"/>
      <c r="S139" s="30" t="n"/>
      <c r="T139" s="30" t="n"/>
      <c r="U139" s="30" t="n"/>
      <c r="V139" s="346" t="n"/>
      <c r="W139" s="30" t="n"/>
      <c r="X139" s="30" t="n"/>
    </row>
    <row r="140">
      <c r="A140" s="27" t="n"/>
      <c r="B140" s="341" t="n"/>
      <c r="C140" s="27" t="n"/>
      <c r="D140" s="27" t="n"/>
      <c r="E140" s="27" t="n"/>
      <c r="F140" s="27" t="n"/>
      <c r="G140" s="342" t="n"/>
      <c r="H140" s="341" t="n"/>
      <c r="I140" s="27" t="n"/>
      <c r="J140" s="30" t="n"/>
      <c r="K140" s="30" t="n"/>
      <c r="L140" s="343" t="n"/>
      <c r="M140" s="344" t="n"/>
      <c r="N140" s="343" t="n"/>
      <c r="O140" s="343" t="n"/>
      <c r="P140" s="345" t="n"/>
      <c r="Q140" s="343" t="n"/>
      <c r="R140" s="346" t="n"/>
      <c r="S140" s="30" t="n"/>
      <c r="T140" s="30" t="n"/>
      <c r="U140" s="30" t="n"/>
      <c r="V140" s="346" t="n"/>
      <c r="W140" s="30" t="n"/>
      <c r="X140" s="30" t="n"/>
    </row>
    <row r="141">
      <c r="A141" s="27" t="n"/>
      <c r="B141" s="341" t="n"/>
      <c r="C141" s="27" t="n"/>
      <c r="D141" s="27" t="n"/>
      <c r="E141" s="27" t="n"/>
      <c r="F141" s="27" t="n"/>
      <c r="G141" s="342" t="n"/>
      <c r="H141" s="341" t="n"/>
      <c r="I141" s="27" t="n"/>
      <c r="J141" s="30" t="n"/>
      <c r="K141" s="30" t="n"/>
      <c r="L141" s="343" t="n"/>
      <c r="M141" s="344" t="n"/>
      <c r="N141" s="343" t="n"/>
      <c r="O141" s="343" t="n"/>
      <c r="P141" s="345" t="n"/>
      <c r="Q141" s="343" t="n"/>
      <c r="R141" s="346" t="n"/>
      <c r="S141" s="30" t="n"/>
      <c r="T141" s="30" t="n"/>
      <c r="U141" s="30" t="n"/>
      <c r="V141" s="346" t="n"/>
      <c r="W141" s="30" t="n"/>
      <c r="X141" s="30" t="n"/>
    </row>
    <row r="142">
      <c r="A142" s="27" t="n"/>
      <c r="B142" s="341" t="n"/>
      <c r="C142" s="27" t="n"/>
      <c r="D142" s="27" t="n"/>
      <c r="E142" s="27" t="n"/>
      <c r="F142" s="27" t="n"/>
      <c r="G142" s="342" t="n"/>
      <c r="H142" s="341" t="n"/>
      <c r="I142" s="27" t="n"/>
      <c r="J142" s="30" t="n"/>
      <c r="K142" s="30" t="n"/>
      <c r="L142" s="343" t="n"/>
      <c r="M142" s="344" t="n"/>
      <c r="N142" s="343" t="n"/>
      <c r="O142" s="343" t="n"/>
      <c r="P142" s="345" t="n"/>
      <c r="Q142" s="343" t="n"/>
      <c r="R142" s="346" t="n"/>
      <c r="S142" s="30" t="n"/>
      <c r="T142" s="30" t="n"/>
      <c r="U142" s="30" t="n"/>
      <c r="V142" s="346" t="n"/>
      <c r="W142" s="30" t="n"/>
      <c r="X142" s="30" t="n"/>
    </row>
    <row r="143">
      <c r="A143" s="27" t="n"/>
      <c r="B143" s="341" t="n"/>
      <c r="C143" s="27" t="n"/>
      <c r="D143" s="27" t="n"/>
      <c r="E143" s="27" t="n"/>
      <c r="F143" s="27" t="n"/>
      <c r="G143" s="342" t="n"/>
      <c r="H143" s="341" t="n"/>
      <c r="I143" s="27" t="n"/>
      <c r="J143" s="30" t="n"/>
      <c r="K143" s="30" t="n"/>
      <c r="L143" s="343" t="n"/>
      <c r="M143" s="344" t="n"/>
      <c r="N143" s="343" t="n"/>
      <c r="O143" s="343" t="n"/>
      <c r="P143" s="345" t="n"/>
      <c r="Q143" s="343" t="n"/>
      <c r="R143" s="346" t="n"/>
      <c r="S143" s="30" t="n"/>
      <c r="T143" s="30" t="n"/>
      <c r="U143" s="30" t="n"/>
      <c r="V143" s="346" t="n"/>
      <c r="W143" s="30" t="n"/>
      <c r="X143" s="30" t="n"/>
    </row>
    <row r="144">
      <c r="A144" s="27" t="n"/>
      <c r="B144" s="341" t="n"/>
      <c r="C144" s="27" t="n"/>
      <c r="D144" s="27" t="n"/>
      <c r="E144" s="27" t="n"/>
      <c r="F144" s="27" t="n"/>
      <c r="G144" s="342" t="n"/>
      <c r="H144" s="341" t="n"/>
      <c r="I144" s="27" t="n"/>
      <c r="J144" s="30" t="n"/>
      <c r="K144" s="30" t="n"/>
      <c r="L144" s="343" t="n"/>
      <c r="M144" s="344" t="n"/>
      <c r="N144" s="343" t="n"/>
      <c r="O144" s="343" t="n"/>
      <c r="P144" s="345" t="n"/>
      <c r="Q144" s="343" t="n"/>
      <c r="R144" s="346" t="n"/>
      <c r="S144" s="30" t="n"/>
      <c r="T144" s="30" t="n"/>
      <c r="U144" s="30" t="n"/>
      <c r="V144" s="346" t="n"/>
      <c r="W144" s="30" t="n"/>
      <c r="X144" s="30" t="n"/>
    </row>
    <row r="145">
      <c r="A145" s="27" t="n"/>
      <c r="B145" s="341" t="n"/>
      <c r="C145" s="27" t="n"/>
      <c r="D145" s="27" t="n"/>
      <c r="E145" s="27" t="n"/>
      <c r="F145" s="27" t="n"/>
      <c r="G145" s="342" t="n"/>
      <c r="H145" s="341" t="n"/>
      <c r="I145" s="27" t="n"/>
      <c r="J145" s="30" t="n"/>
      <c r="K145" s="30" t="n"/>
      <c r="L145" s="343" t="n"/>
      <c r="M145" s="344" t="n"/>
      <c r="N145" s="343" t="n"/>
      <c r="O145" s="343" t="n"/>
      <c r="P145" s="345" t="n"/>
      <c r="Q145" s="343" t="n"/>
      <c r="R145" s="346" t="n"/>
      <c r="S145" s="30" t="n"/>
      <c r="T145" s="30" t="n"/>
      <c r="U145" s="30" t="n"/>
      <c r="V145" s="346" t="n"/>
      <c r="W145" s="30" t="n"/>
      <c r="X145" s="30" t="n"/>
    </row>
    <row r="146">
      <c r="A146" s="27" t="n"/>
      <c r="B146" s="341" t="n"/>
      <c r="C146" s="27" t="n"/>
      <c r="D146" s="27" t="n"/>
      <c r="E146" s="27" t="n"/>
      <c r="F146" s="27" t="n"/>
      <c r="G146" s="342" t="n"/>
      <c r="H146" s="341" t="n"/>
      <c r="I146" s="27" t="n"/>
      <c r="J146" s="30" t="n"/>
      <c r="K146" s="30" t="n"/>
      <c r="L146" s="343" t="n"/>
      <c r="M146" s="344" t="n"/>
      <c r="N146" s="343" t="n"/>
      <c r="O146" s="343" t="n"/>
      <c r="P146" s="345" t="n"/>
      <c r="Q146" s="343" t="n"/>
      <c r="R146" s="346" t="n"/>
      <c r="S146" s="30" t="n"/>
      <c r="T146" s="30" t="n"/>
      <c r="U146" s="30" t="n"/>
      <c r="V146" s="346" t="n"/>
      <c r="W146" s="30" t="n"/>
      <c r="X146" s="30" t="n"/>
    </row>
    <row r="147">
      <c r="A147" s="27" t="n"/>
      <c r="B147" s="341" t="n"/>
      <c r="C147" s="27" t="n"/>
      <c r="D147" s="27" t="n"/>
      <c r="E147" s="27" t="n"/>
      <c r="F147" s="27" t="n"/>
      <c r="G147" s="342" t="n"/>
      <c r="H147" s="341" t="n"/>
      <c r="I147" s="27" t="n"/>
      <c r="J147" s="30" t="n"/>
      <c r="K147" s="30" t="n"/>
      <c r="L147" s="343" t="n"/>
      <c r="M147" s="344" t="n"/>
      <c r="N147" s="343" t="n"/>
      <c r="O147" s="343" t="n"/>
      <c r="P147" s="345" t="n"/>
      <c r="Q147" s="343" t="n"/>
      <c r="R147" s="346" t="n"/>
      <c r="S147" s="30" t="n"/>
      <c r="T147" s="30" t="n"/>
      <c r="U147" s="30" t="n"/>
      <c r="V147" s="346" t="n"/>
      <c r="W147" s="30" t="n"/>
      <c r="X147" s="30" t="n"/>
    </row>
    <row r="148">
      <c r="A148" s="27" t="n"/>
      <c r="B148" s="341" t="n"/>
      <c r="C148" s="27" t="n"/>
      <c r="D148" s="27" t="n"/>
      <c r="E148" s="27" t="n"/>
      <c r="F148" s="27" t="n"/>
      <c r="G148" s="342" t="n"/>
      <c r="H148" s="341" t="n"/>
      <c r="I148" s="27" t="n"/>
      <c r="J148" s="30" t="n"/>
      <c r="K148" s="30" t="n"/>
      <c r="L148" s="343" t="n"/>
      <c r="M148" s="344" t="n"/>
      <c r="N148" s="343" t="n"/>
      <c r="O148" s="343" t="n"/>
      <c r="P148" s="345" t="n"/>
      <c r="Q148" s="343" t="n"/>
      <c r="R148" s="346" t="n"/>
      <c r="S148" s="30" t="n"/>
      <c r="T148" s="30" t="n"/>
      <c r="U148" s="30" t="n"/>
      <c r="V148" s="346" t="n"/>
      <c r="W148" s="30" t="n"/>
      <c r="X148" s="30" t="n"/>
    </row>
    <row r="149">
      <c r="A149" s="27" t="n"/>
      <c r="B149" s="341" t="n"/>
      <c r="C149" s="27" t="n"/>
      <c r="D149" s="27" t="n"/>
      <c r="E149" s="27" t="n"/>
      <c r="F149" s="27" t="n"/>
      <c r="G149" s="342" t="n"/>
      <c r="H149" s="341" t="n"/>
      <c r="I149" s="27" t="n"/>
      <c r="J149" s="30" t="n"/>
      <c r="K149" s="30" t="n"/>
      <c r="L149" s="343" t="n"/>
      <c r="M149" s="344" t="n"/>
      <c r="N149" s="343" t="n"/>
      <c r="O149" s="343" t="n"/>
      <c r="P149" s="345" t="n"/>
      <c r="Q149" s="343" t="n"/>
      <c r="R149" s="346" t="n"/>
      <c r="S149" s="30" t="n"/>
      <c r="T149" s="30" t="n"/>
      <c r="U149" s="30" t="n"/>
      <c r="V149" s="346" t="n"/>
      <c r="W149" s="30" t="n"/>
      <c r="X149" s="30" t="n"/>
    </row>
    <row r="150">
      <c r="A150" s="27" t="n"/>
      <c r="B150" s="341" t="n"/>
      <c r="C150" s="27" t="n"/>
      <c r="D150" s="27" t="n"/>
      <c r="E150" s="27" t="n"/>
      <c r="F150" s="27" t="n"/>
      <c r="G150" s="342" t="n"/>
      <c r="H150" s="341" t="n"/>
      <c r="I150" s="27" t="n"/>
      <c r="J150" s="30" t="n"/>
      <c r="K150" s="30" t="n"/>
      <c r="L150" s="343" t="n"/>
      <c r="M150" s="344" t="n"/>
      <c r="N150" s="343" t="n"/>
      <c r="O150" s="343" t="n"/>
      <c r="P150" s="345" t="n"/>
      <c r="Q150" s="343" t="n"/>
      <c r="R150" s="346" t="n"/>
      <c r="S150" s="30" t="n"/>
      <c r="T150" s="30" t="n"/>
      <c r="U150" s="30" t="n"/>
      <c r="V150" s="346" t="n"/>
      <c r="W150" s="30" t="n"/>
      <c r="X150" s="30" t="n"/>
    </row>
    <row r="151">
      <c r="A151" s="27" t="n"/>
      <c r="B151" s="341" t="n"/>
      <c r="C151" s="27" t="n"/>
      <c r="D151" s="27" t="n"/>
      <c r="E151" s="27" t="n"/>
      <c r="F151" s="27" t="n"/>
      <c r="G151" s="342" t="n"/>
      <c r="H151" s="341" t="n"/>
      <c r="I151" s="27" t="n"/>
      <c r="J151" s="30" t="n"/>
      <c r="K151" s="30" t="n"/>
      <c r="L151" s="343" t="n"/>
      <c r="M151" s="344" t="n"/>
      <c r="N151" s="343" t="n"/>
      <c r="O151" s="343" t="n"/>
      <c r="P151" s="345" t="n"/>
      <c r="Q151" s="343" t="n"/>
      <c r="R151" s="346" t="n"/>
      <c r="S151" s="30" t="n"/>
      <c r="T151" s="30" t="n"/>
      <c r="U151" s="30" t="n"/>
      <c r="V151" s="346" t="n"/>
      <c r="W151" s="30" t="n"/>
      <c r="X151" s="30" t="n"/>
    </row>
    <row r="152">
      <c r="A152" s="27" t="n"/>
      <c r="B152" s="341" t="n"/>
      <c r="C152" s="27" t="n"/>
      <c r="D152" s="27" t="n"/>
      <c r="E152" s="27" t="n"/>
      <c r="F152" s="27" t="n"/>
      <c r="G152" s="342" t="n"/>
      <c r="H152" s="341" t="n"/>
      <c r="I152" s="27" t="n"/>
      <c r="J152" s="30" t="n"/>
      <c r="K152" s="30" t="n"/>
      <c r="L152" s="343" t="n"/>
      <c r="M152" s="344" t="n"/>
      <c r="N152" s="343" t="n"/>
      <c r="O152" s="343" t="n"/>
      <c r="P152" s="345" t="n"/>
      <c r="Q152" s="343" t="n"/>
      <c r="R152" s="346" t="n"/>
      <c r="S152" s="30" t="n"/>
      <c r="T152" s="30" t="n"/>
      <c r="U152" s="30" t="n"/>
      <c r="V152" s="346" t="n"/>
      <c r="W152" s="30" t="n"/>
      <c r="X152" s="30" t="n"/>
    </row>
    <row r="153">
      <c r="A153" s="27" t="n"/>
      <c r="B153" s="341" t="n"/>
      <c r="C153" s="27" t="n"/>
      <c r="D153" s="27" t="n"/>
      <c r="E153" s="27" t="n"/>
      <c r="F153" s="27" t="n"/>
      <c r="G153" s="342" t="n"/>
      <c r="H153" s="341" t="n"/>
      <c r="I153" s="27" t="n"/>
      <c r="J153" s="30" t="n"/>
      <c r="K153" s="30" t="n"/>
      <c r="L153" s="343" t="n"/>
      <c r="M153" s="344" t="n"/>
      <c r="N153" s="343" t="n"/>
      <c r="O153" s="343" t="n"/>
      <c r="P153" s="345" t="n"/>
      <c r="Q153" s="343" t="n"/>
      <c r="R153" s="346" t="n"/>
      <c r="S153" s="30" t="n"/>
      <c r="T153" s="30" t="n"/>
      <c r="U153" s="30" t="n"/>
      <c r="V153" s="346" t="n"/>
      <c r="W153" s="30" t="n"/>
      <c r="X153" s="30" t="n"/>
    </row>
    <row r="154">
      <c r="A154" s="27" t="n"/>
      <c r="B154" s="341" t="n"/>
      <c r="C154" s="27" t="n"/>
      <c r="D154" s="27" t="n"/>
      <c r="E154" s="27" t="n"/>
      <c r="F154" s="27" t="n"/>
      <c r="G154" s="342" t="n"/>
      <c r="H154" s="341" t="n"/>
      <c r="I154" s="27" t="n"/>
      <c r="J154" s="30" t="n"/>
      <c r="K154" s="30" t="n"/>
      <c r="L154" s="343" t="n"/>
      <c r="M154" s="344" t="n"/>
      <c r="N154" s="343" t="n"/>
      <c r="O154" s="343" t="n"/>
      <c r="P154" s="345" t="n"/>
      <c r="Q154" s="343" t="n"/>
      <c r="R154" s="346" t="n"/>
      <c r="S154" s="30" t="n"/>
      <c r="T154" s="30" t="n"/>
      <c r="U154" s="30" t="n"/>
      <c r="V154" s="346" t="n"/>
      <c r="W154" s="30" t="n"/>
      <c r="X154" s="30" t="n"/>
    </row>
    <row r="155">
      <c r="A155" s="27" t="n"/>
      <c r="B155" s="341" t="n"/>
      <c r="C155" s="27" t="n"/>
      <c r="D155" s="27" t="n"/>
      <c r="E155" s="27" t="n"/>
      <c r="F155" s="27" t="n"/>
      <c r="G155" s="342" t="n"/>
      <c r="H155" s="341" t="n"/>
      <c r="I155" s="27" t="n"/>
      <c r="J155" s="30" t="n"/>
      <c r="K155" s="30" t="n"/>
      <c r="L155" s="343" t="n"/>
      <c r="M155" s="344" t="n"/>
      <c r="N155" s="343" t="n"/>
      <c r="O155" s="343" t="n"/>
      <c r="P155" s="345" t="n"/>
      <c r="Q155" s="343" t="n"/>
      <c r="R155" s="346" t="n"/>
      <c r="S155" s="30" t="n"/>
      <c r="T155" s="30" t="n"/>
      <c r="U155" s="30" t="n"/>
      <c r="V155" s="346" t="n"/>
      <c r="W155" s="30" t="n"/>
      <c r="X155" s="30" t="n"/>
    </row>
    <row r="156">
      <c r="A156" s="27" t="n"/>
      <c r="B156" s="341" t="n"/>
      <c r="C156" s="27" t="n"/>
      <c r="D156" s="27" t="n"/>
      <c r="E156" s="27" t="n"/>
      <c r="F156" s="27" t="n"/>
      <c r="G156" s="342" t="n"/>
      <c r="H156" s="341" t="n"/>
      <c r="I156" s="27" t="n"/>
      <c r="J156" s="30" t="n"/>
      <c r="K156" s="30" t="n"/>
      <c r="L156" s="343" t="n"/>
      <c r="M156" s="344" t="n"/>
      <c r="N156" s="343" t="n"/>
      <c r="O156" s="343" t="n"/>
      <c r="P156" s="345" t="n"/>
      <c r="Q156" s="343" t="n"/>
      <c r="R156" s="346" t="n"/>
      <c r="S156" s="30" t="n"/>
      <c r="T156" s="30" t="n"/>
      <c r="U156" s="30" t="n"/>
      <c r="V156" s="346" t="n"/>
      <c r="W156" s="30" t="n"/>
      <c r="X156" s="30" t="n"/>
    </row>
    <row r="157">
      <c r="A157" s="27" t="n"/>
      <c r="B157" s="341" t="n"/>
      <c r="C157" s="27" t="n"/>
      <c r="D157" s="27" t="n"/>
      <c r="E157" s="27" t="n"/>
      <c r="F157" s="27" t="n"/>
      <c r="G157" s="342" t="n"/>
      <c r="H157" s="341" t="n"/>
      <c r="I157" s="27" t="n"/>
      <c r="J157" s="30" t="n"/>
      <c r="K157" s="30" t="n"/>
      <c r="L157" s="343" t="n"/>
      <c r="M157" s="344" t="n"/>
      <c r="N157" s="343" t="n"/>
      <c r="O157" s="343" t="n"/>
      <c r="P157" s="345" t="n"/>
      <c r="Q157" s="343" t="n"/>
      <c r="R157" s="346" t="n"/>
      <c r="S157" s="30" t="n"/>
      <c r="T157" s="30" t="n"/>
      <c r="U157" s="30" t="n"/>
      <c r="V157" s="346" t="n"/>
      <c r="W157" s="30" t="n"/>
      <c r="X157" s="30" t="n"/>
    </row>
    <row r="158">
      <c r="A158" s="27" t="n"/>
      <c r="B158" s="341" t="n"/>
      <c r="C158" s="27" t="n"/>
      <c r="D158" s="27" t="n"/>
      <c r="E158" s="27" t="n"/>
      <c r="F158" s="27" t="n"/>
      <c r="G158" s="342" t="n"/>
      <c r="H158" s="341" t="n"/>
      <c r="I158" s="27" t="n"/>
      <c r="J158" s="30" t="n"/>
      <c r="K158" s="30" t="n"/>
      <c r="L158" s="343" t="n"/>
      <c r="M158" s="344" t="n"/>
      <c r="N158" s="343" t="n"/>
      <c r="O158" s="343" t="n"/>
      <c r="P158" s="345" t="n"/>
      <c r="Q158" s="343" t="n"/>
      <c r="R158" s="346" t="n"/>
      <c r="S158" s="30" t="n"/>
      <c r="T158" s="30" t="n"/>
      <c r="U158" s="30" t="n"/>
      <c r="V158" s="346" t="n"/>
      <c r="W158" s="30" t="n"/>
      <c r="X158" s="30" t="n"/>
    </row>
    <row r="159">
      <c r="A159" s="27" t="n"/>
      <c r="B159" s="341" t="n"/>
      <c r="C159" s="27" t="n"/>
      <c r="D159" s="27" t="n"/>
      <c r="E159" s="27" t="n"/>
      <c r="F159" s="27" t="n"/>
      <c r="G159" s="342" t="n"/>
      <c r="H159" s="341" t="n"/>
      <c r="I159" s="27" t="n"/>
      <c r="J159" s="30" t="n"/>
      <c r="K159" s="30" t="n"/>
      <c r="L159" s="343" t="n"/>
      <c r="M159" s="344" t="n"/>
      <c r="N159" s="343" t="n"/>
      <c r="O159" s="343" t="n"/>
      <c r="P159" s="345" t="n"/>
      <c r="Q159" s="343" t="n"/>
      <c r="R159" s="346" t="n"/>
      <c r="S159" s="30" t="n"/>
      <c r="T159" s="30" t="n"/>
      <c r="U159" s="30" t="n"/>
      <c r="V159" s="346" t="n"/>
      <c r="W159" s="30" t="n"/>
      <c r="X159" s="30" t="n"/>
    </row>
    <row r="160">
      <c r="A160" s="27" t="n"/>
      <c r="B160" s="341" t="n"/>
      <c r="C160" s="27" t="n"/>
      <c r="D160" s="27" t="n"/>
      <c r="E160" s="27" t="n"/>
      <c r="F160" s="27" t="n"/>
      <c r="G160" s="342" t="n"/>
      <c r="H160" s="341" t="n"/>
      <c r="I160" s="27" t="n"/>
      <c r="J160" s="30" t="n"/>
      <c r="K160" s="30" t="n"/>
      <c r="L160" s="343" t="n"/>
      <c r="M160" s="344" t="n"/>
      <c r="N160" s="343" t="n"/>
      <c r="O160" s="343" t="n"/>
      <c r="P160" s="345" t="n"/>
      <c r="Q160" s="343" t="n"/>
      <c r="R160" s="346" t="n"/>
      <c r="S160" s="30" t="n"/>
      <c r="T160" s="30" t="n"/>
      <c r="U160" s="30" t="n"/>
      <c r="V160" s="346" t="n"/>
      <c r="W160" s="30" t="n"/>
      <c r="X160" s="30" t="n"/>
    </row>
    <row r="161">
      <c r="A161" s="27" t="n"/>
      <c r="B161" s="341" t="n"/>
      <c r="C161" s="27" t="n"/>
      <c r="D161" s="27" t="n"/>
      <c r="E161" s="27" t="n"/>
      <c r="F161" s="27" t="n"/>
      <c r="G161" s="342" t="n"/>
      <c r="H161" s="341" t="n"/>
      <c r="I161" s="27" t="n"/>
      <c r="J161" s="30" t="n"/>
      <c r="K161" s="30" t="n"/>
      <c r="L161" s="343" t="n"/>
      <c r="M161" s="344" t="n"/>
      <c r="N161" s="343" t="n"/>
      <c r="O161" s="343" t="n"/>
      <c r="P161" s="345" t="n"/>
      <c r="Q161" s="343" t="n"/>
      <c r="R161" s="346" t="n"/>
      <c r="S161" s="30" t="n"/>
      <c r="T161" s="30" t="n"/>
      <c r="U161" s="30" t="n"/>
      <c r="V161" s="346" t="n"/>
      <c r="W161" s="30" t="n"/>
      <c r="X161" s="30" t="n"/>
    </row>
    <row r="162">
      <c r="A162" s="27" t="n"/>
      <c r="B162" s="341" t="n"/>
      <c r="C162" s="27" t="n"/>
      <c r="D162" s="27" t="n"/>
      <c r="E162" s="27" t="n"/>
      <c r="F162" s="27" t="n"/>
      <c r="G162" s="342" t="n"/>
      <c r="H162" s="341" t="n"/>
      <c r="I162" s="27" t="n"/>
      <c r="J162" s="30" t="n"/>
      <c r="K162" s="30" t="n"/>
      <c r="L162" s="343" t="n"/>
      <c r="M162" s="344" t="n"/>
      <c r="N162" s="343" t="n"/>
      <c r="O162" s="343" t="n"/>
      <c r="P162" s="345" t="n"/>
      <c r="Q162" s="343" t="n"/>
      <c r="R162" s="346" t="n"/>
      <c r="S162" s="30" t="n"/>
      <c r="T162" s="30" t="n"/>
      <c r="U162" s="30" t="n"/>
      <c r="V162" s="346" t="n"/>
      <c r="W162" s="30" t="n"/>
      <c r="X162" s="30" t="n"/>
    </row>
    <row r="163">
      <c r="A163" s="27" t="n"/>
      <c r="B163" s="341" t="n"/>
      <c r="C163" s="27" t="n"/>
      <c r="D163" s="27" t="n"/>
      <c r="E163" s="27" t="n"/>
      <c r="F163" s="27" t="n"/>
      <c r="G163" s="342" t="n"/>
      <c r="H163" s="341" t="n"/>
      <c r="I163" s="27" t="n"/>
      <c r="J163" s="30" t="n"/>
      <c r="K163" s="30" t="n"/>
      <c r="L163" s="343" t="n"/>
      <c r="M163" s="344" t="n"/>
      <c r="N163" s="343" t="n"/>
      <c r="O163" s="343" t="n"/>
      <c r="P163" s="345" t="n"/>
      <c r="Q163" s="343" t="n"/>
      <c r="R163" s="346" t="n"/>
      <c r="S163" s="30" t="n"/>
      <c r="T163" s="30" t="n"/>
      <c r="U163" s="30" t="n"/>
      <c r="V163" s="346" t="n"/>
      <c r="W163" s="30" t="n"/>
      <c r="X163" s="30" t="n"/>
    </row>
    <row r="164">
      <c r="A164" s="27" t="n"/>
      <c r="B164" s="341" t="n"/>
      <c r="C164" s="27" t="n"/>
      <c r="D164" s="27" t="n"/>
      <c r="E164" s="27" t="n"/>
      <c r="F164" s="27" t="n"/>
      <c r="G164" s="342" t="n"/>
      <c r="H164" s="341" t="n"/>
      <c r="I164" s="27" t="n"/>
      <c r="J164" s="30" t="n"/>
      <c r="K164" s="30" t="n"/>
      <c r="L164" s="343" t="n"/>
      <c r="M164" s="344" t="n"/>
      <c r="N164" s="343" t="n"/>
      <c r="O164" s="343" t="n"/>
      <c r="P164" s="345" t="n"/>
      <c r="Q164" s="343" t="n"/>
      <c r="R164" s="346" t="n"/>
      <c r="S164" s="30" t="n"/>
      <c r="T164" s="30" t="n"/>
      <c r="U164" s="30" t="n"/>
      <c r="V164" s="346" t="n"/>
      <c r="W164" s="30" t="n"/>
      <c r="X164" s="30" t="n"/>
    </row>
    <row r="165">
      <c r="A165" s="27" t="n"/>
      <c r="B165" s="341" t="n"/>
      <c r="C165" s="27" t="n"/>
      <c r="D165" s="27" t="n"/>
      <c r="E165" s="27" t="n"/>
      <c r="F165" s="27" t="n"/>
      <c r="G165" s="342" t="n"/>
      <c r="H165" s="341" t="n"/>
      <c r="I165" s="27" t="n"/>
      <c r="J165" s="30" t="n"/>
      <c r="K165" s="30" t="n"/>
      <c r="L165" s="343" t="n"/>
      <c r="M165" s="344" t="n"/>
      <c r="N165" s="343" t="n"/>
      <c r="O165" s="343" t="n"/>
      <c r="P165" s="345" t="n"/>
      <c r="Q165" s="343" t="n"/>
      <c r="R165" s="346" t="n"/>
      <c r="S165" s="30" t="n"/>
      <c r="T165" s="30" t="n"/>
      <c r="U165" s="30" t="n"/>
      <c r="V165" s="346" t="n"/>
      <c r="W165" s="30" t="n"/>
      <c r="X165" s="30" t="n"/>
    </row>
    <row r="166">
      <c r="A166" s="27" t="n"/>
      <c r="B166" s="341" t="n"/>
      <c r="C166" s="27" t="n"/>
      <c r="D166" s="27" t="n"/>
      <c r="E166" s="27" t="n"/>
      <c r="F166" s="27" t="n"/>
      <c r="G166" s="342" t="n"/>
      <c r="H166" s="341" t="n"/>
      <c r="I166" s="27" t="n"/>
      <c r="J166" s="30" t="n"/>
      <c r="K166" s="30" t="n"/>
      <c r="L166" s="343" t="n"/>
      <c r="M166" s="344" t="n"/>
      <c r="N166" s="343" t="n"/>
      <c r="O166" s="343" t="n"/>
      <c r="P166" s="345" t="n"/>
      <c r="Q166" s="343" t="n"/>
      <c r="R166" s="346" t="n"/>
      <c r="S166" s="30" t="n"/>
      <c r="T166" s="30" t="n"/>
      <c r="U166" s="30" t="n"/>
      <c r="V166" s="346" t="n"/>
      <c r="W166" s="30" t="n"/>
      <c r="X166" s="30" t="n"/>
    </row>
    <row r="167">
      <c r="A167" s="27" t="n"/>
      <c r="B167" s="341" t="n"/>
      <c r="C167" s="27" t="n"/>
      <c r="D167" s="27" t="n"/>
      <c r="E167" s="27" t="n"/>
      <c r="F167" s="27" t="n"/>
      <c r="G167" s="342" t="n"/>
      <c r="H167" s="341" t="n"/>
      <c r="I167" s="27" t="n"/>
      <c r="J167" s="30" t="n"/>
      <c r="K167" s="30" t="n"/>
      <c r="L167" s="343" t="n"/>
      <c r="M167" s="344" t="n"/>
      <c r="N167" s="343" t="n"/>
      <c r="O167" s="343" t="n"/>
      <c r="P167" s="345" t="n"/>
      <c r="Q167" s="343" t="n"/>
      <c r="R167" s="346" t="n"/>
      <c r="S167" s="30" t="n"/>
      <c r="T167" s="30" t="n"/>
      <c r="U167" s="30" t="n"/>
      <c r="V167" s="346" t="n"/>
      <c r="W167" s="30" t="n"/>
      <c r="X167" s="30" t="n"/>
    </row>
    <row r="168">
      <c r="A168" s="27" t="n"/>
      <c r="B168" s="341" t="n"/>
      <c r="C168" s="27" t="n"/>
      <c r="D168" s="27" t="n"/>
      <c r="E168" s="27" t="n"/>
      <c r="F168" s="27" t="n"/>
      <c r="G168" s="342" t="n"/>
      <c r="H168" s="341" t="n"/>
      <c r="I168" s="27" t="n"/>
      <c r="J168" s="30" t="n"/>
      <c r="K168" s="30" t="n"/>
      <c r="L168" s="343" t="n"/>
      <c r="M168" s="344" t="n"/>
      <c r="N168" s="343" t="n"/>
      <c r="O168" s="343" t="n"/>
      <c r="P168" s="345" t="n"/>
      <c r="Q168" s="343" t="n"/>
      <c r="R168" s="346" t="n"/>
      <c r="S168" s="30" t="n"/>
      <c r="T168" s="30" t="n"/>
      <c r="U168" s="30" t="n"/>
      <c r="V168" s="346" t="n"/>
      <c r="W168" s="30" t="n"/>
      <c r="X168" s="30" t="n"/>
    </row>
    <row r="169">
      <c r="A169" s="27" t="n"/>
      <c r="B169" s="341" t="n"/>
      <c r="C169" s="27" t="n"/>
      <c r="D169" s="27" t="n"/>
      <c r="E169" s="27" t="n"/>
      <c r="F169" s="27" t="n"/>
      <c r="G169" s="342" t="n"/>
      <c r="H169" s="341" t="n"/>
      <c r="I169" s="27" t="n"/>
      <c r="J169" s="30" t="n"/>
      <c r="K169" s="30" t="n"/>
      <c r="L169" s="343" t="n"/>
      <c r="M169" s="344" t="n"/>
      <c r="N169" s="343" t="n"/>
      <c r="O169" s="343" t="n"/>
      <c r="P169" s="345" t="n"/>
      <c r="Q169" s="343" t="n"/>
      <c r="R169" s="346" t="n"/>
      <c r="S169" s="30" t="n"/>
      <c r="T169" s="30" t="n"/>
      <c r="U169" s="30" t="n"/>
      <c r="V169" s="346" t="n"/>
      <c r="W169" s="30" t="n"/>
      <c r="X169" s="30" t="n"/>
    </row>
    <row r="170">
      <c r="A170" s="27" t="n"/>
      <c r="B170" s="341" t="n"/>
      <c r="C170" s="27" t="n"/>
      <c r="D170" s="27" t="n"/>
      <c r="E170" s="27" t="n"/>
      <c r="F170" s="27" t="n"/>
      <c r="G170" s="342" t="n"/>
      <c r="H170" s="341" t="n"/>
      <c r="I170" s="27" t="n"/>
      <c r="J170" s="30" t="n"/>
      <c r="K170" s="30" t="n"/>
      <c r="L170" s="343" t="n"/>
      <c r="M170" s="344" t="n"/>
      <c r="N170" s="343" t="n"/>
      <c r="O170" s="343" t="n"/>
      <c r="P170" s="345" t="n"/>
      <c r="Q170" s="343" t="n"/>
      <c r="R170" s="346" t="n"/>
      <c r="S170" s="30" t="n"/>
      <c r="T170" s="30" t="n"/>
      <c r="U170" s="30" t="n"/>
      <c r="V170" s="346" t="n"/>
      <c r="W170" s="30" t="n"/>
      <c r="X170" s="30" t="n"/>
    </row>
    <row r="171">
      <c r="A171" s="27" t="n"/>
      <c r="B171" s="341" t="n"/>
      <c r="C171" s="27" t="n"/>
      <c r="D171" s="27" t="n"/>
      <c r="E171" s="27" t="n"/>
      <c r="F171" s="27" t="n"/>
      <c r="G171" s="342" t="n"/>
      <c r="H171" s="341" t="n"/>
      <c r="I171" s="27" t="n"/>
      <c r="J171" s="30" t="n"/>
      <c r="K171" s="30" t="n"/>
      <c r="L171" s="343" t="n"/>
      <c r="M171" s="344" t="n"/>
      <c r="N171" s="343" t="n"/>
      <c r="O171" s="343" t="n"/>
      <c r="P171" s="345" t="n"/>
      <c r="Q171" s="343" t="n"/>
      <c r="R171" s="346" t="n"/>
      <c r="S171" s="30" t="n"/>
      <c r="T171" s="30" t="n"/>
      <c r="U171" s="30" t="n"/>
      <c r="V171" s="346" t="n"/>
      <c r="W171" s="30" t="n"/>
      <c r="X171" s="30" t="n"/>
    </row>
    <row r="172">
      <c r="A172" s="27" t="n"/>
      <c r="B172" s="341" t="n"/>
      <c r="C172" s="27" t="n"/>
      <c r="D172" s="27" t="n"/>
      <c r="E172" s="27" t="n"/>
      <c r="F172" s="27" t="n"/>
      <c r="G172" s="342" t="n"/>
      <c r="H172" s="341" t="n"/>
      <c r="I172" s="27" t="n"/>
      <c r="J172" s="30" t="n"/>
      <c r="K172" s="30" t="n"/>
      <c r="L172" s="343" t="n"/>
      <c r="M172" s="344" t="n"/>
      <c r="N172" s="343" t="n"/>
      <c r="O172" s="343" t="n"/>
      <c r="P172" s="345" t="n"/>
      <c r="Q172" s="343" t="n"/>
      <c r="R172" s="346" t="n"/>
      <c r="S172" s="30" t="n"/>
      <c r="T172" s="30" t="n"/>
      <c r="U172" s="30" t="n"/>
      <c r="V172" s="346" t="n"/>
      <c r="W172" s="30" t="n"/>
      <c r="X172" s="30" t="n"/>
    </row>
    <row r="173">
      <c r="A173" s="27" t="n"/>
      <c r="B173" s="341" t="n"/>
      <c r="C173" s="27" t="n"/>
      <c r="D173" s="27" t="n"/>
      <c r="E173" s="27" t="n"/>
      <c r="F173" s="27" t="n"/>
      <c r="G173" s="342" t="n"/>
      <c r="H173" s="341" t="n"/>
      <c r="I173" s="27" t="n"/>
      <c r="J173" s="30" t="n"/>
      <c r="K173" s="30" t="n"/>
      <c r="L173" s="343" t="n"/>
      <c r="M173" s="344" t="n"/>
      <c r="N173" s="343" t="n"/>
      <c r="O173" s="343" t="n"/>
      <c r="P173" s="345" t="n"/>
      <c r="Q173" s="343" t="n"/>
      <c r="R173" s="346" t="n"/>
      <c r="S173" s="30" t="n"/>
      <c r="T173" s="30" t="n"/>
      <c r="U173" s="30" t="n"/>
      <c r="V173" s="346" t="n"/>
      <c r="W173" s="30" t="n"/>
      <c r="X173" s="30" t="n"/>
    </row>
    <row r="174">
      <c r="A174" s="27" t="n"/>
      <c r="B174" s="341" t="n"/>
      <c r="C174" s="27" t="n"/>
      <c r="D174" s="27" t="n"/>
      <c r="E174" s="27" t="n"/>
      <c r="F174" s="27" t="n"/>
      <c r="G174" s="342" t="n"/>
      <c r="H174" s="341" t="n"/>
      <c r="I174" s="27" t="n"/>
      <c r="J174" s="30" t="n"/>
      <c r="K174" s="30" t="n"/>
      <c r="L174" s="343" t="n"/>
      <c r="M174" s="344" t="n"/>
      <c r="N174" s="343" t="n"/>
      <c r="O174" s="343" t="n"/>
      <c r="P174" s="345" t="n"/>
      <c r="Q174" s="343" t="n"/>
      <c r="R174" s="346" t="n"/>
      <c r="S174" s="30" t="n"/>
      <c r="T174" s="30" t="n"/>
      <c r="U174" s="30" t="n"/>
      <c r="V174" s="346" t="n"/>
      <c r="W174" s="30" t="n"/>
      <c r="X174" s="30" t="n"/>
    </row>
    <row r="175">
      <c r="A175" s="27" t="n"/>
      <c r="B175" s="341" t="n"/>
      <c r="C175" s="27" t="n"/>
      <c r="D175" s="27" t="n"/>
      <c r="E175" s="27" t="n"/>
      <c r="F175" s="27" t="n"/>
      <c r="G175" s="342" t="n"/>
      <c r="H175" s="341" t="n"/>
      <c r="I175" s="27" t="n"/>
      <c r="J175" s="30" t="n"/>
      <c r="K175" s="30" t="n"/>
      <c r="L175" s="343" t="n"/>
      <c r="M175" s="344" t="n"/>
      <c r="N175" s="343" t="n"/>
      <c r="O175" s="343" t="n"/>
      <c r="P175" s="345" t="n"/>
      <c r="Q175" s="343" t="n"/>
      <c r="R175" s="346" t="n"/>
      <c r="S175" s="30" t="n"/>
      <c r="T175" s="30" t="n"/>
      <c r="U175" s="30" t="n"/>
      <c r="V175" s="346" t="n"/>
      <c r="W175" s="30" t="n"/>
      <c r="X175" s="30" t="n"/>
    </row>
    <row r="176">
      <c r="A176" s="27" t="n"/>
      <c r="B176" s="341" t="n"/>
      <c r="C176" s="27" t="n"/>
      <c r="D176" s="27" t="n"/>
      <c r="E176" s="27" t="n"/>
      <c r="F176" s="27" t="n"/>
      <c r="G176" s="342" t="n"/>
      <c r="H176" s="341" t="n"/>
      <c r="I176" s="27" t="n"/>
      <c r="J176" s="30" t="n"/>
      <c r="K176" s="30" t="n"/>
      <c r="L176" s="343" t="n"/>
      <c r="M176" s="344" t="n"/>
      <c r="N176" s="343" t="n"/>
      <c r="O176" s="343" t="n"/>
      <c r="P176" s="345" t="n"/>
      <c r="Q176" s="343" t="n"/>
      <c r="R176" s="346" t="n"/>
      <c r="S176" s="30" t="n"/>
      <c r="T176" s="30" t="n"/>
      <c r="U176" s="30" t="n"/>
      <c r="V176" s="346" t="n"/>
      <c r="W176" s="30" t="n"/>
      <c r="X176" s="30" t="n"/>
    </row>
    <row r="177">
      <c r="A177" s="27" t="n"/>
      <c r="B177" s="341" t="n"/>
      <c r="C177" s="27" t="n"/>
      <c r="D177" s="27" t="n"/>
      <c r="E177" s="27" t="n"/>
      <c r="F177" s="27" t="n"/>
      <c r="G177" s="342" t="n"/>
      <c r="H177" s="341" t="n"/>
      <c r="I177" s="27" t="n"/>
      <c r="J177" s="30" t="n"/>
      <c r="K177" s="30" t="n"/>
      <c r="L177" s="343" t="n"/>
      <c r="M177" s="344" t="n"/>
      <c r="N177" s="343" t="n"/>
      <c r="O177" s="343" t="n"/>
      <c r="P177" s="345" t="n"/>
      <c r="Q177" s="343" t="n"/>
      <c r="R177" s="346" t="n"/>
      <c r="S177" s="30" t="n"/>
      <c r="T177" s="30" t="n"/>
      <c r="U177" s="30" t="n"/>
      <c r="V177" s="346" t="n"/>
      <c r="W177" s="30" t="n"/>
      <c r="X177" s="30" t="n"/>
    </row>
    <row r="178">
      <c r="A178" s="27" t="n"/>
      <c r="B178" s="341" t="n"/>
      <c r="C178" s="27" t="n"/>
      <c r="D178" s="27" t="n"/>
      <c r="E178" s="27" t="n"/>
      <c r="F178" s="27" t="n"/>
      <c r="G178" s="342" t="n"/>
      <c r="H178" s="341" t="n"/>
      <c r="I178" s="27" t="n"/>
      <c r="J178" s="30" t="n"/>
      <c r="K178" s="30" t="n"/>
      <c r="L178" s="343" t="n"/>
      <c r="M178" s="344" t="n"/>
      <c r="N178" s="343" t="n"/>
      <c r="O178" s="343" t="n"/>
      <c r="P178" s="345" t="n"/>
      <c r="Q178" s="343" t="n"/>
      <c r="R178" s="346" t="n"/>
      <c r="S178" s="30" t="n"/>
      <c r="T178" s="30" t="n"/>
      <c r="U178" s="30" t="n"/>
      <c r="V178" s="346" t="n"/>
      <c r="W178" s="30" t="n"/>
      <c r="X178" s="30" t="n"/>
    </row>
    <row r="179">
      <c r="A179" s="27" t="n"/>
      <c r="B179" s="341" t="n"/>
      <c r="C179" s="27" t="n"/>
      <c r="D179" s="27" t="n"/>
      <c r="E179" s="27" t="n"/>
      <c r="F179" s="27" t="n"/>
      <c r="G179" s="342" t="n"/>
      <c r="H179" s="341" t="n"/>
      <c r="I179" s="27" t="n"/>
      <c r="J179" s="30" t="n"/>
      <c r="K179" s="30" t="n"/>
      <c r="L179" s="343" t="n"/>
      <c r="M179" s="344" t="n"/>
      <c r="N179" s="343" t="n"/>
      <c r="O179" s="343" t="n"/>
      <c r="P179" s="345" t="n"/>
      <c r="Q179" s="343" t="n"/>
      <c r="R179" s="346" t="n"/>
      <c r="S179" s="30" t="n"/>
      <c r="T179" s="30" t="n"/>
      <c r="U179" s="30" t="n"/>
      <c r="V179" s="346" t="n"/>
      <c r="W179" s="30" t="n"/>
      <c r="X179" s="30" t="n"/>
    </row>
    <row r="180">
      <c r="A180" s="27" t="n"/>
      <c r="B180" s="341" t="n"/>
      <c r="C180" s="27" t="n"/>
      <c r="D180" s="27" t="n"/>
      <c r="E180" s="27" t="n"/>
      <c r="F180" s="27" t="n"/>
      <c r="G180" s="342" t="n"/>
      <c r="H180" s="341" t="n"/>
      <c r="I180" s="27" t="n"/>
      <c r="J180" s="30" t="n"/>
      <c r="K180" s="30" t="n"/>
      <c r="L180" s="343" t="n"/>
      <c r="M180" s="344" t="n"/>
      <c r="N180" s="343" t="n"/>
      <c r="O180" s="343" t="n"/>
      <c r="P180" s="345" t="n"/>
      <c r="Q180" s="343" t="n"/>
      <c r="R180" s="346" t="n"/>
      <c r="S180" s="30" t="n"/>
      <c r="T180" s="30" t="n"/>
      <c r="U180" s="30" t="n"/>
      <c r="V180" s="346" t="n"/>
      <c r="W180" s="30" t="n"/>
      <c r="X180" s="30" t="n"/>
    </row>
    <row r="181">
      <c r="A181" s="27" t="n"/>
      <c r="B181" s="341" t="n"/>
      <c r="C181" s="27" t="n"/>
      <c r="D181" s="27" t="n"/>
      <c r="E181" s="27" t="n"/>
      <c r="F181" s="27" t="n"/>
      <c r="G181" s="342" t="n"/>
      <c r="H181" s="341" t="n"/>
      <c r="I181" s="27" t="n"/>
      <c r="J181" s="30" t="n"/>
      <c r="K181" s="30" t="n"/>
      <c r="L181" s="343" t="n"/>
      <c r="M181" s="344" t="n"/>
      <c r="N181" s="343" t="n"/>
      <c r="O181" s="343" t="n"/>
      <c r="P181" s="345" t="n"/>
      <c r="Q181" s="343" t="n"/>
      <c r="R181" s="346" t="n"/>
      <c r="S181" s="30" t="n"/>
      <c r="T181" s="30" t="n"/>
      <c r="U181" s="30" t="n"/>
      <c r="V181" s="346" t="n"/>
      <c r="W181" s="30" t="n"/>
      <c r="X181" s="30" t="n"/>
    </row>
    <row r="182">
      <c r="A182" s="27" t="n"/>
      <c r="B182" s="341" t="n"/>
      <c r="C182" s="27" t="n"/>
      <c r="D182" s="27" t="n"/>
      <c r="E182" s="27" t="n"/>
      <c r="F182" s="27" t="n"/>
      <c r="G182" s="342" t="n"/>
      <c r="H182" s="341" t="n"/>
      <c r="I182" s="27" t="n"/>
      <c r="J182" s="30" t="n"/>
      <c r="K182" s="30" t="n"/>
      <c r="L182" s="343" t="n"/>
      <c r="M182" s="344" t="n"/>
      <c r="N182" s="343" t="n"/>
      <c r="O182" s="343" t="n"/>
      <c r="P182" s="345" t="n"/>
      <c r="Q182" s="343" t="n"/>
      <c r="R182" s="346" t="n"/>
      <c r="S182" s="30" t="n"/>
      <c r="T182" s="30" t="n"/>
      <c r="U182" s="30" t="n"/>
      <c r="V182" s="346" t="n"/>
      <c r="W182" s="30" t="n"/>
      <c r="X182" s="30" t="n"/>
    </row>
    <row r="183">
      <c r="A183" s="27" t="n"/>
      <c r="B183" s="341" t="n"/>
      <c r="C183" s="27" t="n"/>
      <c r="D183" s="27" t="n"/>
      <c r="E183" s="27" t="n"/>
      <c r="F183" s="27" t="n"/>
      <c r="G183" s="342" t="n"/>
      <c r="H183" s="341" t="n"/>
      <c r="I183" s="27" t="n"/>
      <c r="J183" s="30" t="n"/>
      <c r="K183" s="30" t="n"/>
      <c r="L183" s="343" t="n"/>
      <c r="M183" s="344" t="n"/>
      <c r="N183" s="343" t="n"/>
      <c r="O183" s="343" t="n"/>
      <c r="P183" s="345" t="n"/>
      <c r="Q183" s="343" t="n"/>
      <c r="R183" s="346" t="n"/>
      <c r="S183" s="30" t="n"/>
      <c r="T183" s="30" t="n"/>
      <c r="U183" s="30" t="n"/>
      <c r="V183" s="346" t="n"/>
      <c r="W183" s="30" t="n"/>
      <c r="X183" s="30" t="n"/>
    </row>
    <row r="184">
      <c r="A184" s="27" t="n"/>
      <c r="B184" s="341" t="n"/>
      <c r="C184" s="27" t="n"/>
      <c r="D184" s="27" t="n"/>
      <c r="E184" s="27" t="n"/>
      <c r="F184" s="27" t="n"/>
      <c r="G184" s="342" t="n"/>
      <c r="H184" s="341" t="n"/>
      <c r="I184" s="27" t="n"/>
      <c r="J184" s="30" t="n"/>
      <c r="K184" s="30" t="n"/>
      <c r="L184" s="343" t="n"/>
      <c r="M184" s="344" t="n"/>
      <c r="N184" s="343" t="n"/>
      <c r="O184" s="343" t="n"/>
      <c r="P184" s="345" t="n"/>
      <c r="Q184" s="343" t="n"/>
      <c r="R184" s="346" t="n"/>
      <c r="S184" s="30" t="n"/>
      <c r="T184" s="30" t="n"/>
      <c r="U184" s="30" t="n"/>
      <c r="V184" s="346" t="n"/>
      <c r="W184" s="30" t="n"/>
      <c r="X184" s="30" t="n"/>
    </row>
    <row r="185">
      <c r="A185" s="27" t="n"/>
      <c r="B185" s="341" t="n"/>
      <c r="C185" s="27" t="n"/>
      <c r="D185" s="27" t="n"/>
      <c r="E185" s="27" t="n"/>
      <c r="F185" s="27" t="n"/>
      <c r="G185" s="342" t="n"/>
      <c r="H185" s="341" t="n"/>
      <c r="I185" s="27" t="n"/>
      <c r="J185" s="30" t="n"/>
      <c r="K185" s="30" t="n"/>
      <c r="L185" s="343" t="n"/>
      <c r="M185" s="344" t="n"/>
      <c r="N185" s="343" t="n"/>
      <c r="O185" s="343" t="n"/>
      <c r="P185" s="345" t="n"/>
      <c r="Q185" s="343" t="n"/>
      <c r="R185" s="346" t="n"/>
      <c r="S185" s="30" t="n"/>
      <c r="T185" s="30" t="n"/>
      <c r="U185" s="30" t="n"/>
      <c r="V185" s="346" t="n"/>
      <c r="W185" s="30" t="n"/>
      <c r="X185" s="30" t="n"/>
    </row>
    <row r="186">
      <c r="A186" s="27" t="n"/>
      <c r="B186" s="341" t="n"/>
      <c r="C186" s="27" t="n"/>
      <c r="D186" s="27" t="n"/>
      <c r="E186" s="27" t="n"/>
      <c r="F186" s="27" t="n"/>
      <c r="G186" s="342" t="n"/>
      <c r="H186" s="341" t="n"/>
      <c r="I186" s="27" t="n"/>
      <c r="J186" s="30" t="n"/>
      <c r="K186" s="30" t="n"/>
      <c r="L186" s="343" t="n"/>
      <c r="M186" s="344" t="n"/>
      <c r="N186" s="343" t="n"/>
      <c r="O186" s="343" t="n"/>
      <c r="P186" s="345" t="n"/>
      <c r="Q186" s="343" t="n"/>
      <c r="R186" s="346" t="n"/>
      <c r="S186" s="30" t="n"/>
      <c r="T186" s="30" t="n"/>
      <c r="U186" s="30" t="n"/>
      <c r="V186" s="346" t="n"/>
      <c r="W186" s="30" t="n"/>
      <c r="X186" s="30" t="n"/>
    </row>
    <row r="187">
      <c r="A187" s="27" t="n"/>
      <c r="B187" s="341" t="n"/>
      <c r="C187" s="27" t="n"/>
      <c r="D187" s="27" t="n"/>
      <c r="E187" s="27" t="n"/>
      <c r="F187" s="27" t="n"/>
      <c r="G187" s="342" t="n"/>
      <c r="H187" s="341" t="n"/>
      <c r="I187" s="27" t="n"/>
      <c r="J187" s="30" t="n"/>
      <c r="K187" s="30" t="n"/>
      <c r="L187" s="343" t="n"/>
      <c r="M187" s="344" t="n"/>
      <c r="N187" s="343" t="n"/>
      <c r="O187" s="343" t="n"/>
      <c r="P187" s="345" t="n"/>
      <c r="Q187" s="343" t="n"/>
      <c r="R187" s="346" t="n"/>
      <c r="S187" s="30" t="n"/>
      <c r="T187" s="30" t="n"/>
      <c r="U187" s="30" t="n"/>
      <c r="V187" s="346" t="n"/>
      <c r="W187" s="30" t="n"/>
      <c r="X187" s="30" t="n"/>
    </row>
    <row r="188">
      <c r="A188" s="27" t="n"/>
      <c r="B188" s="341" t="n"/>
      <c r="C188" s="27" t="n"/>
      <c r="D188" s="27" t="n"/>
      <c r="E188" s="27" t="n"/>
      <c r="F188" s="27" t="n"/>
      <c r="G188" s="342" t="n"/>
      <c r="H188" s="341" t="n"/>
      <c r="I188" s="27" t="n"/>
      <c r="J188" s="30" t="n"/>
      <c r="K188" s="30" t="n"/>
      <c r="L188" s="343" t="n"/>
      <c r="M188" s="344" t="n"/>
      <c r="N188" s="343" t="n"/>
      <c r="O188" s="343" t="n"/>
      <c r="P188" s="345" t="n"/>
      <c r="Q188" s="343" t="n"/>
      <c r="R188" s="346" t="n"/>
      <c r="S188" s="30" t="n"/>
      <c r="T188" s="30" t="n"/>
      <c r="U188" s="30" t="n"/>
      <c r="V188" s="346" t="n"/>
      <c r="W188" s="30" t="n"/>
      <c r="X188" s="30" t="n"/>
    </row>
    <row r="189">
      <c r="A189" s="27" t="n"/>
      <c r="B189" s="341" t="n"/>
      <c r="C189" s="27" t="n"/>
      <c r="D189" s="27" t="n"/>
      <c r="E189" s="27" t="n"/>
      <c r="F189" s="27" t="n"/>
      <c r="G189" s="342" t="n"/>
      <c r="H189" s="341" t="n"/>
      <c r="I189" s="27" t="n"/>
      <c r="J189" s="30" t="n"/>
      <c r="K189" s="30" t="n"/>
      <c r="L189" s="343" t="n"/>
      <c r="M189" s="344" t="n"/>
      <c r="N189" s="343" t="n"/>
      <c r="O189" s="343" t="n"/>
      <c r="P189" s="345" t="n"/>
      <c r="Q189" s="343" t="n"/>
      <c r="R189" s="346" t="n"/>
      <c r="S189" s="30" t="n"/>
      <c r="T189" s="30" t="n"/>
      <c r="U189" s="30" t="n"/>
      <c r="V189" s="346" t="n"/>
      <c r="W189" s="30" t="n"/>
      <c r="X189" s="30" t="n"/>
    </row>
    <row r="190">
      <c r="A190" s="27" t="n"/>
      <c r="B190" s="341" t="n"/>
      <c r="C190" s="27" t="n"/>
      <c r="D190" s="27" t="n"/>
      <c r="E190" s="27" t="n"/>
      <c r="F190" s="27" t="n"/>
      <c r="G190" s="342" t="n"/>
      <c r="H190" s="341" t="n"/>
      <c r="I190" s="27" t="n"/>
      <c r="J190" s="30" t="n"/>
      <c r="K190" s="30" t="n"/>
      <c r="L190" s="343" t="n"/>
      <c r="M190" s="344" t="n"/>
      <c r="N190" s="343" t="n"/>
      <c r="O190" s="343" t="n"/>
      <c r="P190" s="345" t="n"/>
      <c r="Q190" s="343" t="n"/>
      <c r="R190" s="346" t="n"/>
      <c r="S190" s="30" t="n"/>
      <c r="T190" s="30" t="n"/>
      <c r="U190" s="30" t="n"/>
      <c r="V190" s="346" t="n"/>
      <c r="W190" s="30" t="n"/>
      <c r="X190" s="30" t="n"/>
    </row>
    <row r="191">
      <c r="A191" s="27" t="n"/>
      <c r="B191" s="341" t="n"/>
      <c r="C191" s="27" t="n"/>
      <c r="D191" s="27" t="n"/>
      <c r="E191" s="27" t="n"/>
      <c r="F191" s="27" t="n"/>
      <c r="G191" s="342" t="n"/>
      <c r="H191" s="341" t="n"/>
      <c r="I191" s="27" t="n"/>
      <c r="J191" s="30" t="n"/>
      <c r="K191" s="30" t="n"/>
      <c r="L191" s="343" t="n"/>
      <c r="M191" s="344" t="n"/>
      <c r="N191" s="343" t="n"/>
      <c r="O191" s="343" t="n"/>
      <c r="P191" s="345" t="n"/>
      <c r="Q191" s="343" t="n"/>
      <c r="R191" s="346" t="n"/>
      <c r="S191" s="30" t="n"/>
      <c r="T191" s="30" t="n"/>
      <c r="U191" s="30" t="n"/>
      <c r="V191" s="346" t="n"/>
      <c r="W191" s="30" t="n"/>
      <c r="X191" s="30" t="n"/>
    </row>
    <row r="192">
      <c r="A192" s="27" t="n"/>
      <c r="B192" s="341" t="n"/>
      <c r="C192" s="27" t="n"/>
      <c r="D192" s="27" t="n"/>
      <c r="E192" s="27" t="n"/>
      <c r="F192" s="27" t="n"/>
      <c r="G192" s="342" t="n"/>
      <c r="H192" s="341" t="n"/>
      <c r="I192" s="27" t="n"/>
      <c r="J192" s="30" t="n"/>
      <c r="K192" s="30" t="n"/>
      <c r="L192" s="343" t="n"/>
      <c r="M192" s="344" t="n"/>
      <c r="N192" s="343" t="n"/>
      <c r="O192" s="343" t="n"/>
      <c r="P192" s="345" t="n"/>
      <c r="Q192" s="343" t="n"/>
      <c r="R192" s="346" t="n"/>
      <c r="S192" s="30" t="n"/>
      <c r="T192" s="30" t="n"/>
      <c r="U192" s="30" t="n"/>
      <c r="V192" s="346" t="n"/>
      <c r="W192" s="30" t="n"/>
      <c r="X192" s="30" t="n"/>
    </row>
    <row r="193">
      <c r="A193" s="27" t="n"/>
      <c r="B193" s="341" t="n"/>
      <c r="C193" s="27" t="n"/>
      <c r="D193" s="27" t="n"/>
      <c r="E193" s="27" t="n"/>
      <c r="F193" s="27" t="n"/>
      <c r="G193" s="342" t="n"/>
      <c r="H193" s="341" t="n"/>
      <c r="I193" s="27" t="n"/>
      <c r="J193" s="30" t="n"/>
      <c r="K193" s="30" t="n"/>
      <c r="L193" s="343" t="n"/>
      <c r="M193" s="344" t="n"/>
      <c r="N193" s="343" t="n"/>
      <c r="O193" s="343" t="n"/>
      <c r="P193" s="345" t="n"/>
      <c r="Q193" s="343" t="n"/>
      <c r="R193" s="346" t="n"/>
      <c r="S193" s="30" t="n"/>
      <c r="T193" s="30" t="n"/>
      <c r="U193" s="30" t="n"/>
      <c r="V193" s="346" t="n"/>
      <c r="W193" s="30" t="n"/>
      <c r="X193" s="30" t="n"/>
    </row>
    <row r="194">
      <c r="A194" s="27" t="n"/>
      <c r="B194" s="341" t="n"/>
      <c r="C194" s="27" t="n"/>
      <c r="D194" s="27" t="n"/>
      <c r="E194" s="27" t="n"/>
      <c r="F194" s="27" t="n"/>
      <c r="G194" s="342" t="n"/>
      <c r="H194" s="341" t="n"/>
      <c r="I194" s="27" t="n"/>
      <c r="J194" s="30" t="n"/>
      <c r="K194" s="30" t="n"/>
      <c r="L194" s="343" t="n"/>
      <c r="M194" s="344" t="n"/>
      <c r="N194" s="343" t="n"/>
      <c r="O194" s="343" t="n"/>
      <c r="P194" s="345" t="n"/>
      <c r="Q194" s="343" t="n"/>
      <c r="R194" s="346" t="n"/>
      <c r="S194" s="30" t="n"/>
      <c r="T194" s="30" t="n"/>
      <c r="U194" s="30" t="n"/>
      <c r="V194" s="346" t="n"/>
      <c r="W194" s="30" t="n"/>
      <c r="X194" s="30" t="n"/>
    </row>
    <row r="195">
      <c r="A195" s="27" t="n"/>
      <c r="B195" s="341" t="n"/>
      <c r="C195" s="27" t="n"/>
      <c r="D195" s="27" t="n"/>
      <c r="E195" s="27" t="n"/>
      <c r="F195" s="27" t="n"/>
      <c r="G195" s="342" t="n"/>
      <c r="H195" s="341" t="n"/>
      <c r="I195" s="27" t="n"/>
      <c r="J195" s="30" t="n"/>
      <c r="K195" s="30" t="n"/>
      <c r="L195" s="343" t="n"/>
      <c r="M195" s="344" t="n"/>
      <c r="N195" s="343" t="n"/>
      <c r="O195" s="343" t="n"/>
      <c r="P195" s="345" t="n"/>
      <c r="Q195" s="343" t="n"/>
      <c r="R195" s="346" t="n"/>
      <c r="S195" s="30" t="n"/>
      <c r="T195" s="30" t="n"/>
      <c r="U195" s="30" t="n"/>
      <c r="V195" s="346" t="n"/>
      <c r="W195" s="30" t="n"/>
      <c r="X195" s="30" t="n"/>
    </row>
    <row r="196">
      <c r="A196" s="27" t="n"/>
      <c r="B196" s="341" t="n"/>
      <c r="C196" s="27" t="n"/>
      <c r="D196" s="27" t="n"/>
      <c r="E196" s="27" t="n"/>
      <c r="F196" s="27" t="n"/>
      <c r="G196" s="342" t="n"/>
      <c r="H196" s="341" t="n"/>
      <c r="I196" s="27" t="n"/>
      <c r="J196" s="30" t="n"/>
      <c r="K196" s="30" t="n"/>
      <c r="L196" s="343" t="n"/>
      <c r="M196" s="344" t="n"/>
      <c r="N196" s="343" t="n"/>
      <c r="O196" s="343" t="n"/>
      <c r="P196" s="345" t="n"/>
      <c r="Q196" s="343" t="n"/>
      <c r="R196" s="346" t="n"/>
      <c r="S196" s="30" t="n"/>
      <c r="T196" s="30" t="n"/>
      <c r="U196" s="30" t="n"/>
      <c r="V196" s="346" t="n"/>
      <c r="W196" s="30" t="n"/>
      <c r="X196" s="30" t="n"/>
    </row>
    <row r="197">
      <c r="A197" s="27" t="n"/>
      <c r="B197" s="341" t="n"/>
      <c r="C197" s="27" t="n"/>
      <c r="D197" s="27" t="n"/>
      <c r="E197" s="27" t="n"/>
      <c r="F197" s="27" t="n"/>
      <c r="G197" s="342" t="n"/>
      <c r="H197" s="341" t="n"/>
      <c r="I197" s="27" t="n"/>
      <c r="J197" s="30" t="n"/>
      <c r="K197" s="30" t="n"/>
      <c r="L197" s="343" t="n"/>
      <c r="M197" s="344" t="n"/>
      <c r="N197" s="343" t="n"/>
      <c r="O197" s="343" t="n"/>
      <c r="P197" s="345" t="n"/>
      <c r="Q197" s="343" t="n"/>
      <c r="R197" s="346" t="n"/>
      <c r="S197" s="30" t="n"/>
      <c r="T197" s="30" t="n"/>
      <c r="U197" s="30" t="n"/>
      <c r="V197" s="346" t="n"/>
      <c r="W197" s="30" t="n"/>
      <c r="X197" s="30" t="n"/>
    </row>
    <row r="198">
      <c r="A198" s="27" t="n"/>
      <c r="B198" s="341" t="n"/>
      <c r="C198" s="27" t="n"/>
      <c r="D198" s="27" t="n"/>
      <c r="E198" s="27" t="n"/>
      <c r="F198" s="27" t="n"/>
      <c r="G198" s="342" t="n"/>
      <c r="H198" s="341" t="n"/>
      <c r="I198" s="27" t="n"/>
      <c r="J198" s="30" t="n"/>
      <c r="K198" s="30" t="n"/>
      <c r="L198" s="343" t="n"/>
      <c r="M198" s="344" t="n"/>
      <c r="N198" s="343" t="n"/>
      <c r="O198" s="343" t="n"/>
      <c r="P198" s="345" t="n"/>
      <c r="Q198" s="343" t="n"/>
      <c r="R198" s="346" t="n"/>
      <c r="S198" s="30" t="n"/>
      <c r="T198" s="30" t="n"/>
      <c r="U198" s="30" t="n"/>
      <c r="V198" s="346" t="n"/>
      <c r="W198" s="30" t="n"/>
      <c r="X198" s="30" t="n"/>
    </row>
    <row r="199">
      <c r="A199" s="27" t="n"/>
      <c r="B199" s="341" t="n"/>
      <c r="C199" s="27" t="n"/>
      <c r="D199" s="27" t="n"/>
      <c r="E199" s="27" t="n"/>
      <c r="F199" s="27" t="n"/>
      <c r="G199" s="342" t="n"/>
      <c r="H199" s="341" t="n"/>
      <c r="I199" s="27" t="n"/>
      <c r="J199" s="30" t="n"/>
      <c r="K199" s="30" t="n"/>
      <c r="L199" s="343" t="n"/>
      <c r="M199" s="344" t="n"/>
      <c r="N199" s="343" t="n"/>
      <c r="O199" s="343" t="n"/>
      <c r="P199" s="345" t="n"/>
      <c r="Q199" s="343" t="n"/>
      <c r="R199" s="346" t="n"/>
      <c r="S199" s="30" t="n"/>
      <c r="T199" s="30" t="n"/>
      <c r="U199" s="30" t="n"/>
      <c r="V199" s="346" t="n"/>
      <c r="W199" s="30" t="n"/>
      <c r="X199" s="30" t="n"/>
    </row>
    <row r="200">
      <c r="A200" s="27" t="n"/>
      <c r="B200" s="341" t="n"/>
      <c r="C200" s="27" t="n"/>
      <c r="D200" s="27" t="n"/>
      <c r="E200" s="27" t="n"/>
      <c r="F200" s="27" t="n"/>
      <c r="G200" s="342" t="n"/>
      <c r="H200" s="341" t="n"/>
      <c r="I200" s="27" t="n"/>
      <c r="J200" s="30" t="n"/>
      <c r="K200" s="30" t="n"/>
      <c r="L200" s="343" t="n"/>
      <c r="M200" s="344" t="n"/>
      <c r="N200" s="343" t="n"/>
      <c r="O200" s="343" t="n"/>
      <c r="P200" s="345" t="n"/>
      <c r="Q200" s="343" t="n"/>
      <c r="R200" s="346" t="n"/>
      <c r="S200" s="30" t="n"/>
      <c r="T200" s="30" t="n"/>
      <c r="U200" s="30" t="n"/>
      <c r="V200" s="346" t="n"/>
      <c r="W200" s="30" t="n"/>
      <c r="X200" s="30" t="n"/>
    </row>
    <row r="201">
      <c r="A201" s="27" t="n"/>
      <c r="B201" s="341" t="n"/>
      <c r="C201" s="27" t="n"/>
      <c r="D201" s="27" t="n"/>
      <c r="E201" s="27" t="n"/>
      <c r="F201" s="27" t="n"/>
      <c r="G201" s="342" t="n"/>
      <c r="H201" s="341" t="n"/>
      <c r="I201" s="27" t="n"/>
      <c r="J201" s="30" t="n"/>
      <c r="K201" s="30" t="n"/>
      <c r="L201" s="343" t="n"/>
      <c r="M201" s="344" t="n"/>
      <c r="N201" s="343" t="n"/>
      <c r="O201" s="343" t="n"/>
      <c r="P201" s="345" t="n"/>
      <c r="Q201" s="343" t="n"/>
      <c r="R201" s="346" t="n"/>
      <c r="S201" s="30" t="n"/>
      <c r="T201" s="30" t="n"/>
      <c r="U201" s="30" t="n"/>
      <c r="V201" s="346" t="n"/>
      <c r="W201" s="30" t="n"/>
      <c r="X201" s="30" t="n"/>
    </row>
    <row r="202">
      <c r="A202" s="27" t="n"/>
      <c r="B202" s="341" t="n"/>
      <c r="C202" s="27" t="n"/>
      <c r="D202" s="27" t="n"/>
      <c r="E202" s="27" t="n"/>
      <c r="F202" s="27" t="n"/>
      <c r="G202" s="342" t="n"/>
      <c r="H202" s="341" t="n"/>
      <c r="I202" s="27" t="n"/>
      <c r="J202" s="30" t="n"/>
      <c r="K202" s="30" t="n"/>
      <c r="L202" s="343" t="n"/>
      <c r="M202" s="344" t="n"/>
      <c r="N202" s="343" t="n"/>
      <c r="O202" s="343" t="n"/>
      <c r="P202" s="345" t="n"/>
      <c r="Q202" s="343" t="n"/>
      <c r="R202" s="346" t="n"/>
      <c r="S202" s="30" t="n"/>
      <c r="T202" s="30" t="n"/>
      <c r="U202" s="30" t="n"/>
      <c r="V202" s="346" t="n"/>
      <c r="W202" s="30" t="n"/>
      <c r="X202" s="30" t="n"/>
    </row>
    <row r="203">
      <c r="A203" s="27" t="n"/>
      <c r="B203" s="341" t="n"/>
      <c r="C203" s="27" t="n"/>
      <c r="D203" s="27" t="n"/>
      <c r="E203" s="27" t="n"/>
      <c r="F203" s="27" t="n"/>
      <c r="G203" s="342" t="n"/>
      <c r="H203" s="341" t="n"/>
      <c r="I203" s="27" t="n"/>
      <c r="J203" s="30" t="n"/>
      <c r="K203" s="30" t="n"/>
      <c r="L203" s="343" t="n"/>
      <c r="M203" s="344" t="n"/>
      <c r="N203" s="343" t="n"/>
      <c r="O203" s="343" t="n"/>
      <c r="P203" s="345" t="n"/>
      <c r="Q203" s="343" t="n"/>
      <c r="R203" s="346" t="n"/>
      <c r="S203" s="30" t="n"/>
      <c r="T203" s="30" t="n"/>
      <c r="U203" s="30" t="n"/>
      <c r="V203" s="346" t="n"/>
      <c r="W203" s="30" t="n"/>
      <c r="X203" s="30" t="n"/>
    </row>
    <row r="204">
      <c r="A204" s="27" t="n"/>
      <c r="B204" s="341" t="n"/>
      <c r="C204" s="27" t="n"/>
      <c r="D204" s="27" t="n"/>
      <c r="E204" s="27" t="n"/>
      <c r="F204" s="27" t="n"/>
      <c r="G204" s="342" t="n"/>
      <c r="H204" s="341" t="n"/>
      <c r="I204" s="27" t="n"/>
      <c r="J204" s="30" t="n"/>
      <c r="K204" s="30" t="n"/>
      <c r="L204" s="343" t="n"/>
      <c r="M204" s="344" t="n"/>
      <c r="N204" s="343" t="n"/>
      <c r="O204" s="343" t="n"/>
      <c r="P204" s="345" t="n"/>
      <c r="Q204" s="343" t="n"/>
      <c r="R204" s="346" t="n"/>
      <c r="S204" s="30" t="n"/>
      <c r="T204" s="30" t="n"/>
      <c r="U204" s="30" t="n"/>
      <c r="V204" s="346" t="n"/>
      <c r="W204" s="30" t="n"/>
      <c r="X204" s="30" t="n"/>
    </row>
    <row r="205">
      <c r="A205" s="27" t="n"/>
      <c r="B205" s="341" t="n"/>
      <c r="C205" s="27" t="n"/>
      <c r="D205" s="27" t="n"/>
      <c r="E205" s="27" t="n"/>
      <c r="F205" s="27" t="n"/>
      <c r="G205" s="342" t="n"/>
      <c r="H205" s="341" t="n"/>
      <c r="I205" s="27" t="n"/>
      <c r="J205" s="30" t="n"/>
      <c r="K205" s="30" t="n"/>
      <c r="L205" s="343" t="n"/>
      <c r="M205" s="344" t="n"/>
      <c r="N205" s="343" t="n"/>
      <c r="O205" s="343" t="n"/>
      <c r="P205" s="345" t="n"/>
      <c r="Q205" s="343" t="n"/>
      <c r="R205" s="346" t="n"/>
      <c r="S205" s="30" t="n"/>
      <c r="T205" s="30" t="n"/>
      <c r="U205" s="30" t="n"/>
      <c r="V205" s="346" t="n"/>
      <c r="W205" s="30" t="n"/>
      <c r="X205" s="30" t="n"/>
    </row>
    <row r="206">
      <c r="A206" s="27" t="n"/>
      <c r="B206" s="341" t="n"/>
      <c r="C206" s="27" t="n"/>
      <c r="D206" s="27" t="n"/>
      <c r="E206" s="27" t="n"/>
      <c r="F206" s="27" t="n"/>
      <c r="G206" s="342" t="n"/>
      <c r="H206" s="341" t="n"/>
      <c r="I206" s="27" t="n"/>
      <c r="J206" s="30" t="n"/>
      <c r="K206" s="30" t="n"/>
      <c r="L206" s="343" t="n"/>
      <c r="M206" s="344" t="n"/>
      <c r="N206" s="343" t="n"/>
      <c r="O206" s="343" t="n"/>
      <c r="P206" s="345" t="n"/>
      <c r="Q206" s="343" t="n"/>
      <c r="R206" s="346" t="n"/>
      <c r="S206" s="30" t="n"/>
      <c r="T206" s="30" t="n"/>
      <c r="U206" s="30" t="n"/>
      <c r="V206" s="346" t="n"/>
      <c r="W206" s="30" t="n"/>
      <c r="X206" s="30" t="n"/>
    </row>
    <row r="207">
      <c r="A207" s="27" t="n"/>
      <c r="B207" s="341" t="n"/>
      <c r="C207" s="27" t="n"/>
      <c r="D207" s="27" t="n"/>
      <c r="E207" s="27" t="n"/>
      <c r="F207" s="27" t="n"/>
      <c r="G207" s="342" t="n"/>
      <c r="H207" s="341" t="n"/>
      <c r="I207" s="27" t="n"/>
      <c r="J207" s="30" t="n"/>
      <c r="K207" s="30" t="n"/>
      <c r="L207" s="343" t="n"/>
      <c r="M207" s="344" t="n"/>
      <c r="N207" s="343" t="n"/>
      <c r="O207" s="343" t="n"/>
      <c r="P207" s="345" t="n"/>
      <c r="Q207" s="343" t="n"/>
      <c r="R207" s="346" t="n"/>
      <c r="S207" s="30" t="n"/>
      <c r="T207" s="30" t="n"/>
      <c r="U207" s="30" t="n"/>
      <c r="V207" s="346" t="n"/>
      <c r="W207" s="30" t="n"/>
      <c r="X207" s="30" t="n"/>
    </row>
    <row r="208">
      <c r="A208" s="27" t="n"/>
      <c r="B208" s="341" t="n"/>
      <c r="C208" s="27" t="n"/>
      <c r="D208" s="27" t="n"/>
      <c r="E208" s="27" t="n"/>
      <c r="F208" s="27" t="n"/>
      <c r="G208" s="342" t="n"/>
      <c r="H208" s="341" t="n"/>
      <c r="I208" s="27" t="n"/>
      <c r="J208" s="30" t="n"/>
      <c r="K208" s="30" t="n"/>
      <c r="L208" s="343" t="n"/>
      <c r="M208" s="344" t="n"/>
      <c r="N208" s="343" t="n"/>
      <c r="O208" s="343" t="n"/>
      <c r="P208" s="345" t="n"/>
      <c r="Q208" s="343" t="n"/>
      <c r="R208" s="346" t="n"/>
      <c r="S208" s="30" t="n"/>
      <c r="T208" s="30" t="n"/>
      <c r="U208" s="30" t="n"/>
      <c r="V208" s="346" t="n"/>
      <c r="W208" s="30" t="n"/>
      <c r="X208" s="30" t="n"/>
    </row>
    <row r="209">
      <c r="A209" s="27" t="n"/>
      <c r="B209" s="341" t="n"/>
      <c r="C209" s="27" t="n"/>
      <c r="D209" s="27" t="n"/>
      <c r="E209" s="27" t="n"/>
      <c r="F209" s="27" t="n"/>
      <c r="G209" s="342" t="n"/>
      <c r="H209" s="341" t="n"/>
      <c r="I209" s="27" t="n"/>
      <c r="J209" s="30" t="n"/>
      <c r="K209" s="30" t="n"/>
      <c r="L209" s="343" t="n"/>
      <c r="M209" s="344" t="n"/>
      <c r="N209" s="343" t="n"/>
      <c r="O209" s="343" t="n"/>
      <c r="P209" s="345" t="n"/>
      <c r="Q209" s="343" t="n"/>
      <c r="R209" s="346" t="n"/>
      <c r="S209" s="30" t="n"/>
      <c r="T209" s="30" t="n"/>
      <c r="U209" s="30" t="n"/>
      <c r="V209" s="346" t="n"/>
      <c r="W209" s="30" t="n"/>
      <c r="X209" s="30" t="n"/>
    </row>
    <row r="210">
      <c r="A210" s="27" t="n"/>
      <c r="B210" s="341" t="n"/>
      <c r="C210" s="27" t="n"/>
      <c r="D210" s="27" t="n"/>
      <c r="E210" s="27" t="n"/>
      <c r="F210" s="27" t="n"/>
      <c r="G210" s="342" t="n"/>
      <c r="H210" s="341" t="n"/>
      <c r="I210" s="27" t="n"/>
      <c r="J210" s="30" t="n"/>
      <c r="K210" s="30" t="n"/>
      <c r="L210" s="343" t="n"/>
      <c r="M210" s="344" t="n"/>
      <c r="N210" s="343" t="n"/>
      <c r="O210" s="343" t="n"/>
      <c r="P210" s="345" t="n"/>
      <c r="Q210" s="343" t="n"/>
      <c r="R210" s="346" t="n"/>
      <c r="S210" s="30" t="n"/>
      <c r="T210" s="30" t="n"/>
      <c r="U210" s="30" t="n"/>
      <c r="V210" s="346" t="n"/>
      <c r="W210" s="30" t="n"/>
      <c r="X210" s="30" t="n"/>
    </row>
    <row r="211">
      <c r="A211" s="27" t="n"/>
      <c r="B211" s="341" t="n"/>
      <c r="C211" s="27" t="n"/>
      <c r="D211" s="27" t="n"/>
      <c r="E211" s="27" t="n"/>
      <c r="F211" s="27" t="n"/>
      <c r="G211" s="342" t="n"/>
      <c r="H211" s="341" t="n"/>
      <c r="I211" s="27" t="n"/>
      <c r="J211" s="30" t="n"/>
      <c r="K211" s="30" t="n"/>
      <c r="L211" s="343" t="n"/>
      <c r="M211" s="344" t="n"/>
      <c r="N211" s="343" t="n"/>
      <c r="O211" s="343" t="n"/>
      <c r="P211" s="345" t="n"/>
      <c r="Q211" s="343" t="n"/>
      <c r="R211" s="346" t="n"/>
      <c r="S211" s="30" t="n"/>
      <c r="T211" s="30" t="n"/>
      <c r="U211" s="30" t="n"/>
      <c r="V211" s="346" t="n"/>
      <c r="W211" s="30" t="n"/>
      <c r="X211" s="30" t="n"/>
    </row>
    <row r="212">
      <c r="A212" s="27" t="n"/>
      <c r="B212" s="341" t="n"/>
      <c r="C212" s="27" t="n"/>
      <c r="D212" s="27" t="n"/>
      <c r="E212" s="27" t="n"/>
      <c r="F212" s="27" t="n"/>
      <c r="G212" s="342" t="n"/>
      <c r="H212" s="341" t="n"/>
      <c r="I212" s="27" t="n"/>
      <c r="J212" s="30" t="n"/>
      <c r="K212" s="30" t="n"/>
      <c r="L212" s="343" t="n"/>
      <c r="M212" s="344" t="n"/>
      <c r="N212" s="343" t="n"/>
      <c r="O212" s="343" t="n"/>
      <c r="P212" s="345" t="n"/>
      <c r="Q212" s="343" t="n"/>
      <c r="R212" s="346" t="n"/>
      <c r="S212" s="30" t="n"/>
      <c r="T212" s="30" t="n"/>
      <c r="U212" s="30" t="n"/>
      <c r="V212" s="346" t="n"/>
      <c r="W212" s="30" t="n"/>
      <c r="X212" s="30" t="n"/>
    </row>
    <row r="213">
      <c r="A213" s="27" t="n"/>
      <c r="B213" s="341" t="n"/>
      <c r="C213" s="27" t="n"/>
      <c r="D213" s="27" t="n"/>
      <c r="E213" s="27" t="n"/>
      <c r="F213" s="27" t="n"/>
      <c r="G213" s="342" t="n"/>
      <c r="H213" s="341" t="n"/>
      <c r="I213" s="27" t="n"/>
      <c r="J213" s="30" t="n"/>
      <c r="K213" s="30" t="n"/>
      <c r="L213" s="343" t="n"/>
      <c r="M213" s="344" t="n"/>
      <c r="N213" s="343" t="n"/>
      <c r="O213" s="343" t="n"/>
      <c r="P213" s="345" t="n"/>
      <c r="Q213" s="343" t="n"/>
      <c r="R213" s="346" t="n"/>
      <c r="S213" s="30" t="n"/>
      <c r="T213" s="30" t="n"/>
      <c r="U213" s="30" t="n"/>
      <c r="V213" s="346" t="n"/>
      <c r="W213" s="30" t="n"/>
      <c r="X213" s="30" t="n"/>
    </row>
    <row r="214">
      <c r="A214" s="27" t="n"/>
      <c r="B214" s="341" t="n"/>
      <c r="C214" s="27" t="n"/>
      <c r="D214" s="27" t="n"/>
      <c r="E214" s="27" t="n"/>
      <c r="F214" s="27" t="n"/>
      <c r="G214" s="342" t="n"/>
      <c r="H214" s="341" t="n"/>
      <c r="I214" s="27" t="n"/>
      <c r="J214" s="30" t="n"/>
      <c r="K214" s="30" t="n"/>
      <c r="L214" s="343" t="n"/>
      <c r="M214" s="344" t="n"/>
      <c r="N214" s="343" t="n"/>
      <c r="O214" s="343" t="n"/>
      <c r="P214" s="345" t="n"/>
      <c r="Q214" s="343" t="n"/>
      <c r="R214" s="346" t="n"/>
      <c r="S214" s="30" t="n"/>
      <c r="T214" s="30" t="n"/>
      <c r="U214" s="30" t="n"/>
      <c r="V214" s="346" t="n"/>
      <c r="W214" s="30" t="n"/>
      <c r="X214" s="30" t="n"/>
    </row>
    <row r="215">
      <c r="A215" s="27" t="n"/>
      <c r="B215" s="341" t="n"/>
      <c r="C215" s="27" t="n"/>
      <c r="D215" s="27" t="n"/>
      <c r="E215" s="27" t="n"/>
      <c r="F215" s="27" t="n"/>
      <c r="G215" s="342" t="n"/>
      <c r="H215" s="341" t="n"/>
      <c r="I215" s="27" t="n"/>
      <c r="J215" s="30" t="n"/>
      <c r="K215" s="30" t="n"/>
      <c r="L215" s="343" t="n"/>
      <c r="M215" s="344" t="n"/>
      <c r="N215" s="343" t="n"/>
      <c r="O215" s="343" t="n"/>
      <c r="P215" s="345" t="n"/>
      <c r="Q215" s="343" t="n"/>
      <c r="R215" s="346" t="n"/>
      <c r="S215" s="30" t="n"/>
      <c r="T215" s="30" t="n"/>
      <c r="U215" s="30" t="n"/>
      <c r="V215" s="346" t="n"/>
      <c r="W215" s="30" t="n"/>
      <c r="X215" s="30" t="n"/>
    </row>
    <row r="216">
      <c r="A216" s="27" t="n"/>
      <c r="B216" s="341" t="n"/>
      <c r="C216" s="27" t="n"/>
      <c r="D216" s="27" t="n"/>
      <c r="E216" s="27" t="n"/>
      <c r="F216" s="27" t="n"/>
      <c r="G216" s="342" t="n"/>
      <c r="H216" s="341" t="n"/>
      <c r="I216" s="27" t="n"/>
      <c r="J216" s="30" t="n"/>
      <c r="K216" s="30" t="n"/>
      <c r="L216" s="343" t="n"/>
      <c r="M216" s="344" t="n"/>
      <c r="N216" s="343" t="n"/>
      <c r="O216" s="343" t="n"/>
      <c r="P216" s="345" t="n"/>
      <c r="Q216" s="343" t="n"/>
      <c r="R216" s="346" t="n"/>
      <c r="S216" s="30" t="n"/>
      <c r="T216" s="30" t="n"/>
      <c r="U216" s="30" t="n"/>
      <c r="V216" s="346" t="n"/>
      <c r="W216" s="30" t="n"/>
      <c r="X216" s="30" t="n"/>
    </row>
    <row r="217">
      <c r="A217" s="27" t="n"/>
      <c r="B217" s="341" t="n"/>
      <c r="C217" s="27" t="n"/>
      <c r="D217" s="27" t="n"/>
      <c r="E217" s="27" t="n"/>
      <c r="F217" s="27" t="n"/>
      <c r="G217" s="342" t="n"/>
      <c r="H217" s="341" t="n"/>
      <c r="I217" s="27" t="n"/>
      <c r="J217" s="30" t="n"/>
      <c r="K217" s="30" t="n"/>
      <c r="L217" s="343" t="n"/>
      <c r="M217" s="344" t="n"/>
      <c r="N217" s="343" t="n"/>
      <c r="O217" s="343" t="n"/>
      <c r="P217" s="345" t="n"/>
      <c r="Q217" s="343" t="n"/>
      <c r="R217" s="346" t="n"/>
      <c r="S217" s="30" t="n"/>
      <c r="T217" s="30" t="n"/>
      <c r="U217" s="30" t="n"/>
      <c r="V217" s="346" t="n"/>
      <c r="W217" s="30" t="n"/>
      <c r="X217" s="30" t="n"/>
    </row>
    <row r="218">
      <c r="A218" s="27" t="n"/>
      <c r="B218" s="341" t="n"/>
      <c r="C218" s="27" t="n"/>
      <c r="D218" s="27" t="n"/>
      <c r="E218" s="27" t="n"/>
      <c r="F218" s="27" t="n"/>
      <c r="G218" s="342" t="n"/>
      <c r="H218" s="341" t="n"/>
      <c r="I218" s="27" t="n"/>
      <c r="J218" s="30" t="n"/>
      <c r="K218" s="30" t="n"/>
      <c r="L218" s="343" t="n"/>
      <c r="M218" s="344" t="n"/>
      <c r="N218" s="343" t="n"/>
      <c r="O218" s="343" t="n"/>
      <c r="P218" s="345" t="n"/>
      <c r="Q218" s="343" t="n"/>
      <c r="R218" s="346" t="n"/>
      <c r="S218" s="30" t="n"/>
      <c r="T218" s="30" t="n"/>
      <c r="U218" s="30" t="n"/>
      <c r="V218" s="346" t="n"/>
      <c r="W218" s="30" t="n"/>
      <c r="X218" s="30" t="n"/>
    </row>
    <row r="219">
      <c r="A219" s="27" t="n"/>
      <c r="B219" s="341" t="n"/>
      <c r="C219" s="27" t="n"/>
      <c r="D219" s="27" t="n"/>
      <c r="E219" s="27" t="n"/>
      <c r="F219" s="27" t="n"/>
      <c r="G219" s="342" t="n"/>
      <c r="H219" s="341" t="n"/>
      <c r="I219" s="27" t="n"/>
      <c r="J219" s="30" t="n"/>
      <c r="K219" s="30" t="n"/>
      <c r="L219" s="343" t="n"/>
      <c r="M219" s="344" t="n"/>
      <c r="N219" s="343" t="n"/>
      <c r="O219" s="343" t="n"/>
      <c r="P219" s="345" t="n"/>
      <c r="Q219" s="343" t="n"/>
      <c r="R219" s="346" t="n"/>
      <c r="S219" s="30" t="n"/>
      <c r="T219" s="30" t="n"/>
      <c r="U219" s="30" t="n"/>
      <c r="V219" s="346" t="n"/>
      <c r="W219" s="30" t="n"/>
      <c r="X219" s="30" t="n"/>
    </row>
    <row r="220">
      <c r="A220" s="27" t="n"/>
      <c r="B220" s="341" t="n"/>
      <c r="C220" s="27" t="n"/>
      <c r="D220" s="27" t="n"/>
      <c r="E220" s="27" t="n"/>
      <c r="F220" s="27" t="n"/>
      <c r="G220" s="342" t="n"/>
      <c r="H220" s="341" t="n"/>
      <c r="I220" s="27" t="n"/>
      <c r="J220" s="30" t="n"/>
      <c r="K220" s="30" t="n"/>
      <c r="L220" s="343" t="n"/>
      <c r="M220" s="344" t="n"/>
      <c r="N220" s="343" t="n"/>
      <c r="O220" s="343" t="n"/>
      <c r="P220" s="345" t="n"/>
      <c r="Q220" s="343" t="n"/>
      <c r="R220" s="346" t="n"/>
      <c r="S220" s="30" t="n"/>
      <c r="T220" s="30" t="n"/>
      <c r="U220" s="30" t="n"/>
      <c r="V220" s="346" t="n"/>
      <c r="W220" s="30" t="n"/>
      <c r="X220" s="30" t="n"/>
    </row>
    <row r="221">
      <c r="A221" s="27" t="n"/>
      <c r="B221" s="341" t="n"/>
      <c r="C221" s="27" t="n"/>
      <c r="D221" s="27" t="n"/>
      <c r="E221" s="27" t="n"/>
      <c r="F221" s="27" t="n"/>
      <c r="G221" s="342" t="n"/>
      <c r="H221" s="341" t="n"/>
      <c r="I221" s="27" t="n"/>
      <c r="J221" s="30" t="n"/>
      <c r="K221" s="30" t="n"/>
      <c r="L221" s="343" t="n"/>
      <c r="M221" s="344" t="n"/>
      <c r="N221" s="343" t="n"/>
      <c r="O221" s="343" t="n"/>
      <c r="P221" s="345" t="n"/>
      <c r="Q221" s="343" t="n"/>
      <c r="R221" s="346" t="n"/>
      <c r="S221" s="30" t="n"/>
      <c r="T221" s="30" t="n"/>
      <c r="U221" s="30" t="n"/>
      <c r="V221" s="346" t="n"/>
      <c r="W221" s="30" t="n"/>
      <c r="X221" s="30" t="n"/>
    </row>
    <row r="222">
      <c r="A222" s="27" t="n"/>
      <c r="B222" s="341" t="n"/>
      <c r="C222" s="27" t="n"/>
      <c r="D222" s="27" t="n"/>
      <c r="E222" s="27" t="n"/>
      <c r="F222" s="27" t="n"/>
      <c r="G222" s="342" t="n"/>
      <c r="H222" s="341" t="n"/>
      <c r="I222" s="27" t="n"/>
      <c r="J222" s="30" t="n"/>
      <c r="K222" s="30" t="n"/>
      <c r="L222" s="343" t="n"/>
      <c r="M222" s="344" t="n"/>
      <c r="N222" s="343" t="n"/>
      <c r="O222" s="343" t="n"/>
      <c r="P222" s="345" t="n"/>
      <c r="Q222" s="343" t="n"/>
      <c r="R222" s="346" t="n"/>
      <c r="S222" s="30" t="n"/>
      <c r="T222" s="30" t="n"/>
      <c r="U222" s="30" t="n"/>
      <c r="V222" s="346" t="n"/>
      <c r="W222" s="30" t="n"/>
      <c r="X222" s="30" t="n"/>
    </row>
    <row r="223">
      <c r="A223" s="27" t="n"/>
      <c r="B223" s="341" t="n"/>
      <c r="C223" s="27" t="n"/>
      <c r="D223" s="27" t="n"/>
      <c r="E223" s="27" t="n"/>
      <c r="F223" s="27" t="n"/>
      <c r="G223" s="342" t="n"/>
      <c r="H223" s="341" t="n"/>
      <c r="I223" s="27" t="n"/>
      <c r="J223" s="30" t="n"/>
      <c r="K223" s="30" t="n"/>
      <c r="L223" s="343" t="n"/>
      <c r="M223" s="344" t="n"/>
      <c r="N223" s="343" t="n"/>
      <c r="O223" s="343" t="n"/>
      <c r="P223" s="345" t="n"/>
      <c r="Q223" s="343" t="n"/>
      <c r="R223" s="346" t="n"/>
      <c r="S223" s="30" t="n"/>
      <c r="T223" s="30" t="n"/>
      <c r="U223" s="30" t="n"/>
      <c r="V223" s="346" t="n"/>
      <c r="W223" s="30" t="n"/>
      <c r="X223" s="30" t="n"/>
    </row>
    <row r="224">
      <c r="A224" s="27" t="n"/>
      <c r="B224" s="341" t="n"/>
      <c r="C224" s="27" t="n"/>
      <c r="D224" s="27" t="n"/>
      <c r="E224" s="27" t="n"/>
      <c r="F224" s="27" t="n"/>
      <c r="G224" s="342" t="n"/>
      <c r="H224" s="341" t="n"/>
      <c r="I224" s="27" t="n"/>
      <c r="J224" s="30" t="n"/>
      <c r="K224" s="30" t="n"/>
      <c r="L224" s="343" t="n"/>
      <c r="M224" s="344" t="n"/>
      <c r="N224" s="343" t="n"/>
      <c r="O224" s="343" t="n"/>
      <c r="P224" s="345" t="n"/>
      <c r="Q224" s="343" t="n"/>
      <c r="R224" s="346" t="n"/>
      <c r="S224" s="30" t="n"/>
      <c r="T224" s="30" t="n"/>
      <c r="U224" s="30" t="n"/>
      <c r="V224" s="346" t="n"/>
      <c r="W224" s="30" t="n"/>
      <c r="X224" s="30" t="n"/>
    </row>
    <row r="225">
      <c r="A225" s="27" t="n"/>
      <c r="B225" s="341" t="n"/>
      <c r="C225" s="27" t="n"/>
      <c r="D225" s="27" t="n"/>
      <c r="E225" s="27" t="n"/>
      <c r="F225" s="27" t="n"/>
      <c r="G225" s="342" t="n"/>
      <c r="H225" s="341" t="n"/>
      <c r="I225" s="27" t="n"/>
      <c r="J225" s="30" t="n"/>
      <c r="K225" s="30" t="n"/>
      <c r="L225" s="343" t="n"/>
      <c r="M225" s="344" t="n"/>
      <c r="N225" s="343" t="n"/>
      <c r="O225" s="343" t="n"/>
      <c r="P225" s="345" t="n"/>
      <c r="Q225" s="343" t="n"/>
      <c r="R225" s="346" t="n"/>
      <c r="S225" s="30" t="n"/>
      <c r="T225" s="30" t="n"/>
      <c r="U225" s="30" t="n"/>
      <c r="V225" s="346" t="n"/>
      <c r="W225" s="30" t="n"/>
      <c r="X225" s="30" t="n"/>
    </row>
    <row r="226">
      <c r="A226" s="27" t="n"/>
      <c r="B226" s="341" t="n"/>
      <c r="C226" s="27" t="n"/>
      <c r="D226" s="27" t="n"/>
      <c r="E226" s="27" t="n"/>
      <c r="F226" s="27" t="n"/>
      <c r="G226" s="342" t="n"/>
      <c r="H226" s="341" t="n"/>
      <c r="I226" s="27" t="n"/>
      <c r="J226" s="30" t="n"/>
      <c r="K226" s="30" t="n"/>
      <c r="L226" s="343" t="n"/>
      <c r="M226" s="344" t="n"/>
      <c r="N226" s="343" t="n"/>
      <c r="O226" s="343" t="n"/>
      <c r="P226" s="345" t="n"/>
      <c r="Q226" s="343" t="n"/>
      <c r="R226" s="346" t="n"/>
      <c r="S226" s="30" t="n"/>
      <c r="T226" s="30" t="n"/>
      <c r="U226" s="30" t="n"/>
      <c r="V226" s="346" t="n"/>
      <c r="W226" s="30" t="n"/>
      <c r="X226" s="30" t="n"/>
    </row>
    <row r="227">
      <c r="A227" s="27" t="n"/>
      <c r="B227" s="341" t="n"/>
      <c r="C227" s="27" t="n"/>
      <c r="D227" s="27" t="n"/>
      <c r="E227" s="27" t="n"/>
      <c r="F227" s="27" t="n"/>
      <c r="G227" s="342" t="n"/>
      <c r="H227" s="341" t="n"/>
      <c r="I227" s="27" t="n"/>
      <c r="J227" s="30" t="n"/>
      <c r="K227" s="30" t="n"/>
      <c r="L227" s="343" t="n"/>
      <c r="M227" s="344" t="n"/>
      <c r="N227" s="343" t="n"/>
      <c r="O227" s="343" t="n"/>
      <c r="P227" s="345" t="n"/>
      <c r="Q227" s="343" t="n"/>
      <c r="R227" s="346" t="n"/>
      <c r="S227" s="30" t="n"/>
      <c r="T227" s="30" t="n"/>
      <c r="U227" s="30" t="n"/>
      <c r="V227" s="346" t="n"/>
      <c r="W227" s="30" t="n"/>
      <c r="X227" s="30" t="n"/>
    </row>
    <row r="228">
      <c r="A228" s="27" t="n"/>
      <c r="B228" s="341" t="n"/>
      <c r="C228" s="27" t="n"/>
      <c r="D228" s="27" t="n"/>
      <c r="E228" s="27" t="n"/>
      <c r="F228" s="27" t="n"/>
      <c r="G228" s="342" t="n"/>
      <c r="H228" s="341" t="n"/>
      <c r="I228" s="27" t="n"/>
      <c r="J228" s="30" t="n"/>
      <c r="K228" s="30" t="n"/>
      <c r="L228" s="343" t="n"/>
      <c r="M228" s="344" t="n"/>
      <c r="N228" s="343" t="n"/>
      <c r="O228" s="343" t="n"/>
      <c r="P228" s="345" t="n"/>
      <c r="Q228" s="343" t="n"/>
      <c r="R228" s="346" t="n"/>
      <c r="S228" s="30" t="n"/>
      <c r="T228" s="30" t="n"/>
      <c r="U228" s="30" t="n"/>
      <c r="V228" s="346" t="n"/>
      <c r="W228" s="30" t="n"/>
      <c r="X228" s="30" t="n"/>
    </row>
    <row r="229">
      <c r="A229" s="27" t="n"/>
      <c r="B229" s="341" t="n"/>
      <c r="C229" s="27" t="n"/>
      <c r="D229" s="27" t="n"/>
      <c r="E229" s="27" t="n"/>
      <c r="F229" s="27" t="n"/>
      <c r="G229" s="342" t="n"/>
      <c r="H229" s="341" t="n"/>
      <c r="I229" s="27" t="n"/>
      <c r="J229" s="30" t="n"/>
      <c r="K229" s="30" t="n"/>
      <c r="L229" s="343" t="n"/>
      <c r="M229" s="344" t="n"/>
      <c r="N229" s="343" t="n"/>
      <c r="O229" s="343" t="n"/>
      <c r="P229" s="345" t="n"/>
      <c r="Q229" s="343" t="n"/>
      <c r="R229" s="346" t="n"/>
      <c r="S229" s="30" t="n"/>
      <c r="T229" s="30" t="n"/>
      <c r="U229" s="30" t="n"/>
      <c r="V229" s="346" t="n"/>
      <c r="W229" s="30" t="n"/>
      <c r="X229" s="30" t="n"/>
    </row>
    <row r="230">
      <c r="A230" s="27" t="n"/>
      <c r="B230" s="341" t="n"/>
      <c r="C230" s="27" t="n"/>
      <c r="D230" s="27" t="n"/>
      <c r="E230" s="27" t="n"/>
      <c r="F230" s="27" t="n"/>
      <c r="G230" s="342" t="n"/>
      <c r="H230" s="341" t="n"/>
      <c r="I230" s="27" t="n"/>
      <c r="J230" s="30" t="n"/>
      <c r="K230" s="30" t="n"/>
      <c r="L230" s="343" t="n"/>
      <c r="M230" s="344" t="n"/>
      <c r="N230" s="343" t="n"/>
      <c r="O230" s="343" t="n"/>
      <c r="P230" s="345" t="n"/>
      <c r="Q230" s="343" t="n"/>
      <c r="R230" s="346" t="n"/>
      <c r="S230" s="30" t="n"/>
      <c r="T230" s="30" t="n"/>
      <c r="U230" s="30" t="n"/>
      <c r="V230" s="346" t="n"/>
      <c r="W230" s="30" t="n"/>
      <c r="X230" s="30" t="n"/>
    </row>
    <row r="231">
      <c r="A231" s="27" t="n"/>
      <c r="B231" s="341" t="n"/>
      <c r="C231" s="27" t="n"/>
      <c r="D231" s="27" t="n"/>
      <c r="E231" s="27" t="n"/>
      <c r="F231" s="27" t="n"/>
      <c r="G231" s="342" t="n"/>
      <c r="H231" s="341" t="n"/>
      <c r="I231" s="27" t="n"/>
      <c r="J231" s="30" t="n"/>
      <c r="K231" s="30" t="n"/>
      <c r="L231" s="343" t="n"/>
      <c r="M231" s="344" t="n"/>
      <c r="N231" s="343" t="n"/>
      <c r="O231" s="343" t="n"/>
      <c r="P231" s="345" t="n"/>
      <c r="Q231" s="343" t="n"/>
      <c r="R231" s="346" t="n"/>
      <c r="S231" s="30" t="n"/>
      <c r="T231" s="30" t="n"/>
      <c r="U231" s="30" t="n"/>
      <c r="V231" s="346" t="n"/>
      <c r="W231" s="30" t="n"/>
      <c r="X231" s="30" t="n"/>
    </row>
    <row r="232">
      <c r="A232" s="27" t="n"/>
      <c r="B232" s="341" t="n"/>
      <c r="C232" s="27" t="n"/>
      <c r="D232" s="27" t="n"/>
      <c r="E232" s="27" t="n"/>
      <c r="F232" s="27" t="n"/>
      <c r="G232" s="342" t="n"/>
      <c r="H232" s="341" t="n"/>
      <c r="I232" s="27" t="n"/>
      <c r="J232" s="30" t="n"/>
      <c r="K232" s="30" t="n"/>
      <c r="L232" s="343" t="n"/>
      <c r="M232" s="344" t="n"/>
      <c r="N232" s="343" t="n"/>
      <c r="O232" s="343" t="n"/>
      <c r="P232" s="345" t="n"/>
      <c r="Q232" s="343" t="n"/>
      <c r="R232" s="346" t="n"/>
      <c r="S232" s="30" t="n"/>
      <c r="T232" s="30" t="n"/>
      <c r="U232" s="30" t="n"/>
      <c r="V232" s="346" t="n"/>
      <c r="W232" s="30" t="n"/>
      <c r="X232" s="30" t="n"/>
    </row>
    <row r="233">
      <c r="A233" s="27" t="n"/>
      <c r="B233" s="341" t="n"/>
      <c r="C233" s="27" t="n"/>
      <c r="D233" s="27" t="n"/>
      <c r="E233" s="27" t="n"/>
      <c r="F233" s="27" t="n"/>
      <c r="G233" s="342" t="n"/>
      <c r="H233" s="341" t="n"/>
      <c r="I233" s="27" t="n"/>
      <c r="J233" s="30" t="n"/>
      <c r="K233" s="30" t="n"/>
      <c r="L233" s="343" t="n"/>
      <c r="M233" s="344" t="n"/>
      <c r="N233" s="343" t="n"/>
      <c r="O233" s="343" t="n"/>
      <c r="P233" s="345" t="n"/>
      <c r="Q233" s="343" t="n"/>
      <c r="R233" s="346" t="n"/>
      <c r="S233" s="30" t="n"/>
      <c r="T233" s="30" t="n"/>
      <c r="U233" s="30" t="n"/>
      <c r="V233" s="346" t="n"/>
      <c r="W233" s="30" t="n"/>
      <c r="X233" s="30" t="n"/>
    </row>
    <row r="234">
      <c r="A234" s="27" t="n"/>
      <c r="B234" s="341" t="n"/>
      <c r="C234" s="27" t="n"/>
      <c r="D234" s="27" t="n"/>
      <c r="E234" s="27" t="n"/>
      <c r="F234" s="27" t="n"/>
      <c r="G234" s="342" t="n"/>
      <c r="H234" s="341" t="n"/>
      <c r="I234" s="27" t="n"/>
      <c r="J234" s="30" t="n"/>
      <c r="K234" s="30" t="n"/>
      <c r="L234" s="343" t="n"/>
      <c r="M234" s="344" t="n"/>
      <c r="N234" s="343" t="n"/>
      <c r="O234" s="343" t="n"/>
      <c r="P234" s="345" t="n"/>
      <c r="Q234" s="343" t="n"/>
      <c r="R234" s="346" t="n"/>
      <c r="S234" s="30" t="n"/>
      <c r="T234" s="30" t="n"/>
      <c r="U234" s="30" t="n"/>
      <c r="V234" s="346" t="n"/>
      <c r="W234" s="30" t="n"/>
      <c r="X234" s="30" t="n"/>
    </row>
    <row r="235">
      <c r="A235" s="27" t="n"/>
      <c r="B235" s="341" t="n"/>
      <c r="C235" s="27" t="n"/>
      <c r="D235" s="27" t="n"/>
      <c r="E235" s="27" t="n"/>
      <c r="F235" s="27" t="n"/>
      <c r="G235" s="342" t="n"/>
      <c r="H235" s="341" t="n"/>
      <c r="I235" s="27" t="n"/>
      <c r="J235" s="30" t="n"/>
      <c r="K235" s="30" t="n"/>
      <c r="L235" s="343" t="n"/>
      <c r="M235" s="344" t="n"/>
      <c r="N235" s="343" t="n"/>
      <c r="O235" s="343" t="n"/>
      <c r="P235" s="345" t="n"/>
      <c r="Q235" s="343" t="n"/>
      <c r="R235" s="346" t="n"/>
      <c r="S235" s="30" t="n"/>
      <c r="T235" s="30" t="n"/>
      <c r="U235" s="30" t="n"/>
      <c r="V235" s="346" t="n"/>
      <c r="W235" s="30" t="n"/>
      <c r="X235" s="30" t="n"/>
    </row>
    <row r="236">
      <c r="A236" s="27" t="n"/>
      <c r="B236" s="341" t="n"/>
      <c r="C236" s="27" t="n"/>
      <c r="D236" s="27" t="n"/>
      <c r="E236" s="27" t="n"/>
      <c r="F236" s="27" t="n"/>
      <c r="G236" s="342" t="n"/>
      <c r="H236" s="341" t="n"/>
      <c r="I236" s="27" t="n"/>
      <c r="J236" s="30" t="n"/>
      <c r="K236" s="30" t="n"/>
      <c r="L236" s="343" t="n"/>
      <c r="M236" s="344" t="n"/>
      <c r="N236" s="343" t="n"/>
      <c r="O236" s="343" t="n"/>
      <c r="P236" s="345" t="n"/>
      <c r="Q236" s="343" t="n"/>
      <c r="R236" s="346" t="n"/>
      <c r="S236" s="30" t="n"/>
      <c r="T236" s="30" t="n"/>
      <c r="U236" s="30" t="n"/>
      <c r="V236" s="346" t="n"/>
      <c r="W236" s="30" t="n"/>
      <c r="X236" s="30" t="n"/>
    </row>
    <row r="237">
      <c r="A237" s="27" t="n"/>
      <c r="B237" s="341" t="n"/>
      <c r="C237" s="27" t="n"/>
      <c r="D237" s="27" t="n"/>
      <c r="E237" s="27" t="n"/>
      <c r="F237" s="27" t="n"/>
      <c r="G237" s="342" t="n"/>
      <c r="H237" s="341" t="n"/>
      <c r="I237" s="27" t="n"/>
      <c r="J237" s="30" t="n"/>
      <c r="K237" s="30" t="n"/>
      <c r="L237" s="343" t="n"/>
      <c r="M237" s="344" t="n"/>
      <c r="N237" s="343" t="n"/>
      <c r="O237" s="343" t="n"/>
      <c r="P237" s="345" t="n"/>
      <c r="Q237" s="343" t="n"/>
      <c r="R237" s="346" t="n"/>
      <c r="S237" s="30" t="n"/>
      <c r="T237" s="30" t="n"/>
      <c r="U237" s="30" t="n"/>
      <c r="V237" s="346" t="n"/>
      <c r="W237" s="30" t="n"/>
      <c r="X237" s="30" t="n"/>
    </row>
    <row r="238">
      <c r="A238" s="27" t="n"/>
      <c r="B238" s="341" t="n"/>
      <c r="C238" s="27" t="n"/>
      <c r="D238" s="27" t="n"/>
      <c r="E238" s="27" t="n"/>
      <c r="F238" s="27" t="n"/>
      <c r="G238" s="342" t="n"/>
      <c r="H238" s="341" t="n"/>
      <c r="I238" s="27" t="n"/>
      <c r="J238" s="30" t="n"/>
      <c r="K238" s="30" t="n"/>
      <c r="L238" s="343" t="n"/>
      <c r="M238" s="344" t="n"/>
      <c r="N238" s="343" t="n"/>
      <c r="O238" s="343" t="n"/>
      <c r="P238" s="345" t="n"/>
      <c r="Q238" s="343" t="n"/>
      <c r="R238" s="346" t="n"/>
      <c r="S238" s="30" t="n"/>
      <c r="T238" s="30" t="n"/>
      <c r="U238" s="30" t="n"/>
      <c r="V238" s="346" t="n"/>
      <c r="W238" s="30" t="n"/>
      <c r="X238" s="30" t="n"/>
    </row>
    <row r="239">
      <c r="A239" s="27" t="n"/>
      <c r="B239" s="341" t="n"/>
      <c r="C239" s="27" t="n"/>
      <c r="D239" s="27" t="n"/>
      <c r="E239" s="27" t="n"/>
      <c r="F239" s="27" t="n"/>
      <c r="G239" s="342" t="n"/>
      <c r="H239" s="341" t="n"/>
      <c r="I239" s="27" t="n"/>
      <c r="J239" s="30" t="n"/>
      <c r="K239" s="30" t="n"/>
      <c r="L239" s="343" t="n"/>
      <c r="M239" s="344" t="n"/>
      <c r="N239" s="343" t="n"/>
      <c r="O239" s="343" t="n"/>
      <c r="P239" s="345" t="n"/>
      <c r="Q239" s="343" t="n"/>
      <c r="R239" s="346" t="n"/>
      <c r="S239" s="30" t="n"/>
      <c r="T239" s="30" t="n"/>
      <c r="U239" s="30" t="n"/>
      <c r="V239" s="346" t="n"/>
      <c r="W239" s="30" t="n"/>
      <c r="X239" s="30" t="n"/>
    </row>
    <row r="240">
      <c r="A240" s="27" t="n"/>
      <c r="B240" s="341" t="n"/>
      <c r="C240" s="27" t="n"/>
      <c r="D240" s="27" t="n"/>
      <c r="E240" s="27" t="n"/>
      <c r="F240" s="27" t="n"/>
      <c r="G240" s="342" t="n"/>
      <c r="H240" s="341" t="n"/>
      <c r="I240" s="27" t="n"/>
      <c r="J240" s="30" t="n"/>
      <c r="K240" s="30" t="n"/>
      <c r="L240" s="343" t="n"/>
      <c r="M240" s="344" t="n"/>
      <c r="N240" s="343" t="n"/>
      <c r="O240" s="343" t="n"/>
      <c r="P240" s="345" t="n"/>
      <c r="Q240" s="343" t="n"/>
      <c r="R240" s="346" t="n"/>
      <c r="S240" s="30" t="n"/>
      <c r="T240" s="30" t="n"/>
      <c r="U240" s="30" t="n"/>
      <c r="V240" s="346" t="n"/>
      <c r="W240" s="30" t="n"/>
      <c r="X240" s="30" t="n"/>
    </row>
    <row r="241">
      <c r="A241" s="27" t="n"/>
      <c r="B241" s="341" t="n"/>
      <c r="C241" s="27" t="n"/>
      <c r="D241" s="27" t="n"/>
      <c r="E241" s="27" t="n"/>
      <c r="F241" s="27" t="n"/>
      <c r="G241" s="342" t="n"/>
      <c r="H241" s="341" t="n"/>
      <c r="I241" s="27" t="n"/>
      <c r="J241" s="30" t="n"/>
      <c r="K241" s="30" t="n"/>
      <c r="L241" s="343" t="n"/>
      <c r="M241" s="344" t="n"/>
      <c r="N241" s="343" t="n"/>
      <c r="O241" s="343" t="n"/>
      <c r="P241" s="345" t="n"/>
      <c r="Q241" s="343" t="n"/>
      <c r="R241" s="346" t="n"/>
      <c r="S241" s="30" t="n"/>
      <c r="T241" s="30" t="n"/>
      <c r="U241" s="30" t="n"/>
      <c r="V241" s="346" t="n"/>
      <c r="W241" s="30" t="n"/>
      <c r="X241" s="30" t="n"/>
    </row>
    <row r="242">
      <c r="A242" s="27" t="n"/>
      <c r="B242" s="341" t="n"/>
      <c r="C242" s="27" t="n"/>
      <c r="D242" s="27" t="n"/>
      <c r="E242" s="27" t="n"/>
      <c r="F242" s="27" t="n"/>
      <c r="G242" s="342" t="n"/>
      <c r="H242" s="341" t="n"/>
      <c r="I242" s="27" t="n"/>
      <c r="J242" s="30" t="n"/>
      <c r="K242" s="30" t="n"/>
      <c r="L242" s="343" t="n"/>
      <c r="M242" s="344" t="n"/>
      <c r="N242" s="343" t="n"/>
      <c r="O242" s="343" t="n"/>
      <c r="P242" s="345" t="n"/>
      <c r="Q242" s="343" t="n"/>
      <c r="R242" s="346" t="n"/>
      <c r="S242" s="30" t="n"/>
      <c r="T242" s="30" t="n"/>
      <c r="U242" s="30" t="n"/>
      <c r="V242" s="346" t="n"/>
      <c r="W242" s="30" t="n"/>
      <c r="X242" s="30" t="n"/>
    </row>
    <row r="243">
      <c r="A243" s="27" t="n"/>
      <c r="B243" s="341" t="n"/>
      <c r="C243" s="27" t="n"/>
      <c r="D243" s="27" t="n"/>
      <c r="E243" s="27" t="n"/>
      <c r="F243" s="27" t="n"/>
      <c r="G243" s="342" t="n"/>
      <c r="H243" s="341" t="n"/>
      <c r="I243" s="27" t="n"/>
      <c r="J243" s="30" t="n"/>
      <c r="K243" s="30" t="n"/>
      <c r="L243" s="343" t="n"/>
      <c r="M243" s="344" t="n"/>
      <c r="N243" s="343" t="n"/>
      <c r="O243" s="343" t="n"/>
      <c r="P243" s="345" t="n"/>
      <c r="Q243" s="343" t="n"/>
      <c r="R243" s="346" t="n"/>
      <c r="S243" s="30" t="n"/>
      <c r="T243" s="30" t="n"/>
      <c r="U243" s="30" t="n"/>
      <c r="V243" s="346" t="n"/>
      <c r="W243" s="30" t="n"/>
      <c r="X243" s="30" t="n"/>
    </row>
    <row r="244">
      <c r="A244" s="27" t="n"/>
      <c r="B244" s="341" t="n"/>
      <c r="C244" s="27" t="n"/>
      <c r="D244" s="27" t="n"/>
      <c r="E244" s="27" t="n"/>
      <c r="F244" s="27" t="n"/>
      <c r="G244" s="342" t="n"/>
      <c r="H244" s="341" t="n"/>
      <c r="I244" s="27" t="n"/>
      <c r="J244" s="30" t="n"/>
      <c r="K244" s="30" t="n"/>
      <c r="L244" s="343" t="n"/>
      <c r="M244" s="344" t="n"/>
      <c r="N244" s="343" t="n"/>
      <c r="O244" s="343" t="n"/>
      <c r="P244" s="345" t="n"/>
      <c r="Q244" s="343" t="n"/>
      <c r="R244" s="346" t="n"/>
      <c r="S244" s="30" t="n"/>
      <c r="T244" s="30" t="n"/>
      <c r="U244" s="30" t="n"/>
      <c r="V244" s="346" t="n"/>
      <c r="W244" s="30" t="n"/>
      <c r="X244" s="30" t="n"/>
    </row>
    <row r="245">
      <c r="A245" s="27" t="n"/>
      <c r="B245" s="341" t="n"/>
      <c r="C245" s="27" t="n"/>
      <c r="D245" s="27" t="n"/>
      <c r="E245" s="27" t="n"/>
      <c r="F245" s="27" t="n"/>
      <c r="G245" s="342" t="n"/>
      <c r="H245" s="341" t="n"/>
      <c r="I245" s="27" t="n"/>
      <c r="J245" s="30" t="n"/>
      <c r="K245" s="30" t="n"/>
      <c r="L245" s="343" t="n"/>
      <c r="M245" s="344" t="n"/>
      <c r="N245" s="343" t="n"/>
      <c r="O245" s="343" t="n"/>
      <c r="P245" s="345" t="n"/>
      <c r="Q245" s="343" t="n"/>
      <c r="R245" s="346" t="n"/>
      <c r="S245" s="30" t="n"/>
      <c r="T245" s="30" t="n"/>
      <c r="U245" s="30" t="n"/>
      <c r="V245" s="346" t="n"/>
      <c r="W245" s="30" t="n"/>
      <c r="X245" s="30" t="n"/>
    </row>
    <row r="246">
      <c r="A246" s="27" t="n"/>
      <c r="B246" s="341" t="n"/>
      <c r="C246" s="27" t="n"/>
      <c r="D246" s="27" t="n"/>
      <c r="E246" s="27" t="n"/>
      <c r="F246" s="27" t="n"/>
      <c r="G246" s="342" t="n"/>
      <c r="H246" s="341" t="n"/>
      <c r="I246" s="27" t="n"/>
      <c r="J246" s="30" t="n"/>
      <c r="K246" s="30" t="n"/>
      <c r="L246" s="343" t="n"/>
      <c r="M246" s="344" t="n"/>
      <c r="N246" s="343" t="n"/>
      <c r="O246" s="343" t="n"/>
      <c r="P246" s="345" t="n"/>
      <c r="Q246" s="343" t="n"/>
      <c r="R246" s="346" t="n"/>
      <c r="S246" s="30" t="n"/>
      <c r="T246" s="30" t="n"/>
      <c r="U246" s="30" t="n"/>
      <c r="V246" s="346" t="n"/>
      <c r="W246" s="30" t="n"/>
      <c r="X246" s="30" t="n"/>
    </row>
    <row r="247">
      <c r="A247" s="27" t="n"/>
      <c r="B247" s="341" t="n"/>
      <c r="C247" s="27" t="n"/>
      <c r="D247" s="27" t="n"/>
      <c r="E247" s="27" t="n"/>
      <c r="F247" s="27" t="n"/>
      <c r="G247" s="342" t="n"/>
      <c r="H247" s="341" t="n"/>
      <c r="I247" s="27" t="n"/>
      <c r="J247" s="30" t="n"/>
      <c r="K247" s="30" t="n"/>
      <c r="L247" s="343" t="n"/>
      <c r="M247" s="344" t="n"/>
      <c r="N247" s="343" t="n"/>
      <c r="O247" s="343" t="n"/>
      <c r="P247" s="345" t="n"/>
      <c r="Q247" s="343" t="n"/>
      <c r="R247" s="346" t="n"/>
      <c r="S247" s="30" t="n"/>
      <c r="T247" s="30" t="n"/>
      <c r="U247" s="30" t="n"/>
      <c r="V247" s="346" t="n"/>
      <c r="W247" s="30" t="n"/>
      <c r="X247" s="30" t="n"/>
    </row>
    <row r="248">
      <c r="A248" s="27" t="n"/>
      <c r="B248" s="341" t="n"/>
      <c r="C248" s="27" t="n"/>
      <c r="D248" s="27" t="n"/>
      <c r="E248" s="27" t="n"/>
      <c r="F248" s="27" t="n"/>
      <c r="G248" s="342" t="n"/>
      <c r="H248" s="341" t="n"/>
      <c r="I248" s="27" t="n"/>
      <c r="J248" s="30" t="n"/>
      <c r="K248" s="30" t="n"/>
      <c r="L248" s="343" t="n"/>
      <c r="M248" s="344" t="n"/>
      <c r="N248" s="343" t="n"/>
      <c r="O248" s="343" t="n"/>
      <c r="P248" s="345" t="n"/>
      <c r="Q248" s="343" t="n"/>
      <c r="R248" s="346" t="n"/>
      <c r="S248" s="30" t="n"/>
      <c r="T248" s="30" t="n"/>
      <c r="U248" s="30" t="n"/>
      <c r="V248" s="346" t="n"/>
      <c r="W248" s="30" t="n"/>
      <c r="X248" s="30" t="n"/>
    </row>
    <row r="249">
      <c r="A249" s="27" t="n"/>
      <c r="B249" s="341" t="n"/>
      <c r="C249" s="27" t="n"/>
      <c r="D249" s="27" t="n"/>
      <c r="E249" s="27" t="n"/>
      <c r="F249" s="27" t="n"/>
      <c r="G249" s="342" t="n"/>
      <c r="H249" s="341" t="n"/>
      <c r="I249" s="27" t="n"/>
      <c r="J249" s="30" t="n"/>
      <c r="K249" s="30" t="n"/>
      <c r="L249" s="343" t="n"/>
      <c r="M249" s="344" t="n"/>
      <c r="N249" s="343" t="n"/>
      <c r="O249" s="343" t="n"/>
      <c r="P249" s="345" t="n"/>
      <c r="Q249" s="343" t="n"/>
      <c r="R249" s="346" t="n"/>
      <c r="S249" s="30" t="n"/>
      <c r="T249" s="30" t="n"/>
      <c r="U249" s="30" t="n"/>
      <c r="V249" s="346" t="n"/>
      <c r="W249" s="30" t="n"/>
      <c r="X249" s="30" t="n"/>
    </row>
    <row r="250">
      <c r="A250" s="27" t="n"/>
      <c r="B250" s="341" t="n"/>
      <c r="C250" s="27" t="n"/>
      <c r="D250" s="27" t="n"/>
      <c r="E250" s="27" t="n"/>
      <c r="F250" s="27" t="n"/>
      <c r="G250" s="342" t="n"/>
      <c r="H250" s="341" t="n"/>
      <c r="I250" s="27" t="n"/>
      <c r="J250" s="30" t="n"/>
      <c r="K250" s="30" t="n"/>
      <c r="L250" s="343" t="n"/>
      <c r="M250" s="344" t="n"/>
      <c r="N250" s="343" t="n"/>
      <c r="O250" s="343" t="n"/>
      <c r="P250" s="345" t="n"/>
      <c r="Q250" s="343" t="n"/>
      <c r="R250" s="346" t="n"/>
      <c r="S250" s="30" t="n"/>
      <c r="T250" s="30" t="n"/>
      <c r="U250" s="30" t="n"/>
      <c r="V250" s="346" t="n"/>
      <c r="W250" s="30" t="n"/>
      <c r="X250" s="30" t="n"/>
    </row>
    <row r="251">
      <c r="A251" s="27" t="n"/>
      <c r="B251" s="341" t="n"/>
      <c r="C251" s="27" t="n"/>
      <c r="D251" s="27" t="n"/>
      <c r="E251" s="27" t="n"/>
      <c r="F251" s="27" t="n"/>
      <c r="G251" s="342" t="n"/>
      <c r="H251" s="341" t="n"/>
      <c r="I251" s="27" t="n"/>
      <c r="J251" s="30" t="n"/>
      <c r="K251" s="30" t="n"/>
      <c r="L251" s="343" t="n"/>
      <c r="M251" s="344" t="n"/>
      <c r="N251" s="343" t="n"/>
      <c r="O251" s="343" t="n"/>
      <c r="P251" s="345" t="n"/>
      <c r="Q251" s="343" t="n"/>
      <c r="R251" s="346" t="n"/>
      <c r="S251" s="30" t="n"/>
      <c r="T251" s="30" t="n"/>
      <c r="U251" s="30" t="n"/>
      <c r="V251" s="346" t="n"/>
      <c r="W251" s="30" t="n"/>
      <c r="X251" s="30" t="n"/>
    </row>
    <row r="252">
      <c r="A252" s="27" t="n"/>
      <c r="B252" s="341" t="n"/>
      <c r="C252" s="27" t="n"/>
      <c r="D252" s="27" t="n"/>
      <c r="E252" s="27" t="n"/>
      <c r="F252" s="27" t="n"/>
      <c r="G252" s="342" t="n"/>
      <c r="H252" s="341" t="n"/>
      <c r="I252" s="27" t="n"/>
      <c r="J252" s="30" t="n"/>
      <c r="K252" s="30" t="n"/>
      <c r="L252" s="343" t="n"/>
      <c r="M252" s="344" t="n"/>
      <c r="N252" s="343" t="n"/>
      <c r="O252" s="343" t="n"/>
      <c r="P252" s="345" t="n"/>
      <c r="Q252" s="343" t="n"/>
      <c r="R252" s="346" t="n"/>
      <c r="S252" s="30" t="n"/>
      <c r="T252" s="30" t="n"/>
      <c r="U252" s="30" t="n"/>
      <c r="V252" s="346" t="n"/>
      <c r="W252" s="30" t="n"/>
      <c r="X252" s="30" t="n"/>
    </row>
    <row r="253">
      <c r="A253" s="27" t="n"/>
      <c r="B253" s="341" t="n"/>
      <c r="C253" s="27" t="n"/>
      <c r="D253" s="27" t="n"/>
      <c r="E253" s="27" t="n"/>
      <c r="F253" s="27" t="n"/>
      <c r="G253" s="342" t="n"/>
      <c r="H253" s="341" t="n"/>
      <c r="I253" s="27" t="n"/>
      <c r="J253" s="30" t="n"/>
      <c r="K253" s="30" t="n"/>
      <c r="L253" s="343" t="n"/>
      <c r="M253" s="344" t="n"/>
      <c r="N253" s="343" t="n"/>
      <c r="O253" s="343" t="n"/>
      <c r="P253" s="345" t="n"/>
      <c r="Q253" s="343" t="n"/>
      <c r="R253" s="346" t="n"/>
      <c r="S253" s="30" t="n"/>
      <c r="T253" s="30" t="n"/>
      <c r="U253" s="30" t="n"/>
      <c r="V253" s="346" t="n"/>
      <c r="W253" s="30" t="n"/>
      <c r="X253" s="30" t="n"/>
    </row>
    <row r="254">
      <c r="A254" s="27" t="n"/>
      <c r="B254" s="341" t="n"/>
      <c r="C254" s="27" t="n"/>
      <c r="D254" s="27" t="n"/>
      <c r="E254" s="27" t="n"/>
      <c r="F254" s="27" t="n"/>
      <c r="G254" s="342" t="n"/>
      <c r="H254" s="341" t="n"/>
      <c r="I254" s="27" t="n"/>
      <c r="J254" s="30" t="n"/>
      <c r="K254" s="30" t="n"/>
      <c r="L254" s="343" t="n"/>
      <c r="M254" s="344" t="n"/>
      <c r="N254" s="343" t="n"/>
      <c r="O254" s="343" t="n"/>
      <c r="P254" s="345" t="n"/>
      <c r="Q254" s="343" t="n"/>
      <c r="R254" s="346" t="n"/>
      <c r="S254" s="30" t="n"/>
      <c r="T254" s="30" t="n"/>
      <c r="U254" s="30" t="n"/>
      <c r="V254" s="346" t="n"/>
      <c r="W254" s="30" t="n"/>
      <c r="X254" s="30" t="n"/>
    </row>
    <row r="255">
      <c r="A255" s="27" t="n"/>
      <c r="B255" s="341" t="n"/>
      <c r="C255" s="27" t="n"/>
      <c r="D255" s="27" t="n"/>
      <c r="E255" s="27" t="n"/>
      <c r="F255" s="27" t="n"/>
      <c r="G255" s="342" t="n"/>
      <c r="H255" s="341" t="n"/>
      <c r="I255" s="27" t="n"/>
      <c r="J255" s="30" t="n"/>
      <c r="K255" s="30" t="n"/>
      <c r="L255" s="343" t="n"/>
      <c r="M255" s="344" t="n"/>
      <c r="N255" s="343" t="n"/>
      <c r="O255" s="343" t="n"/>
      <c r="P255" s="345" t="n"/>
      <c r="Q255" s="343" t="n"/>
      <c r="R255" s="346" t="n"/>
      <c r="S255" s="30" t="n"/>
      <c r="T255" s="30" t="n"/>
      <c r="U255" s="30" t="n"/>
      <c r="V255" s="346" t="n"/>
      <c r="W255" s="30" t="n"/>
      <c r="X255" s="30" t="n"/>
    </row>
    <row r="256">
      <c r="A256" s="27" t="n"/>
      <c r="B256" s="341" t="n"/>
      <c r="C256" s="27" t="n"/>
      <c r="D256" s="27" t="n"/>
      <c r="E256" s="27" t="n"/>
      <c r="F256" s="27" t="n"/>
      <c r="G256" s="342" t="n"/>
      <c r="H256" s="341" t="n"/>
      <c r="I256" s="27" t="n"/>
      <c r="J256" s="30" t="n"/>
      <c r="K256" s="30" t="n"/>
      <c r="L256" s="343" t="n"/>
      <c r="M256" s="344" t="n"/>
      <c r="N256" s="343" t="n"/>
      <c r="O256" s="343" t="n"/>
      <c r="P256" s="345" t="n"/>
      <c r="Q256" s="343" t="n"/>
      <c r="R256" s="346" t="n"/>
      <c r="S256" s="30" t="n"/>
      <c r="T256" s="30" t="n"/>
      <c r="U256" s="30" t="n"/>
      <c r="V256" s="346" t="n"/>
      <c r="W256" s="30" t="n"/>
      <c r="X256" s="30" t="n"/>
    </row>
    <row r="257">
      <c r="A257" s="27" t="n"/>
      <c r="B257" s="341" t="n"/>
      <c r="C257" s="27" t="n"/>
      <c r="D257" s="27" t="n"/>
      <c r="E257" s="27" t="n"/>
      <c r="F257" s="27" t="n"/>
      <c r="G257" s="342" t="n"/>
      <c r="H257" s="341" t="n"/>
      <c r="I257" s="27" t="n"/>
      <c r="J257" s="30" t="n"/>
      <c r="K257" s="30" t="n"/>
      <c r="L257" s="343" t="n"/>
      <c r="M257" s="344" t="n"/>
      <c r="N257" s="343" t="n"/>
      <c r="O257" s="343" t="n"/>
      <c r="P257" s="345" t="n"/>
      <c r="Q257" s="343" t="n"/>
      <c r="R257" s="346" t="n"/>
      <c r="S257" s="30" t="n"/>
      <c r="T257" s="30" t="n"/>
      <c r="U257" s="30" t="n"/>
      <c r="V257" s="346" t="n"/>
      <c r="W257" s="30" t="n"/>
      <c r="X257" s="30" t="n"/>
    </row>
    <row r="258">
      <c r="A258" s="27" t="n"/>
      <c r="B258" s="341" t="n"/>
      <c r="C258" s="27" t="n"/>
      <c r="D258" s="27" t="n"/>
      <c r="E258" s="27" t="n"/>
      <c r="F258" s="27" t="n"/>
      <c r="G258" s="342" t="n"/>
      <c r="H258" s="341" t="n"/>
      <c r="I258" s="27" t="n"/>
      <c r="J258" s="30" t="n"/>
      <c r="K258" s="30" t="n"/>
      <c r="L258" s="343" t="n"/>
      <c r="M258" s="344" t="n"/>
      <c r="N258" s="343" t="n"/>
      <c r="O258" s="343" t="n"/>
      <c r="P258" s="345" t="n"/>
      <c r="Q258" s="343" t="n"/>
      <c r="R258" s="346" t="n"/>
      <c r="S258" s="30" t="n"/>
      <c r="T258" s="30" t="n"/>
      <c r="U258" s="30" t="n"/>
      <c r="V258" s="346" t="n"/>
      <c r="W258" s="30" t="n"/>
      <c r="X258" s="30" t="n"/>
    </row>
  </sheetData>
  <mergeCells count="10">
    <mergeCell ref="W7:X7"/>
    <mergeCell ref="C2:X2"/>
    <mergeCell ref="A7:I7"/>
    <mergeCell ref="M6:T6"/>
    <mergeCell ref="L7:P7"/>
    <mergeCell ref="J7:K7"/>
    <mergeCell ref="B5:E5"/>
    <mergeCell ref="A1:B2"/>
    <mergeCell ref="Q7:V7"/>
    <mergeCell ref="C1:X1"/>
  </mergeCells>
  <conditionalFormatting sqref="W9:W258">
    <cfRule type="expression" priority="1" dxfId="0">
      <formula>$W9="REVIEW"</formula>
    </cfRule>
  </conditionalFormatting>
  <conditionalFormatting sqref="W9:W108">
    <cfRule type="expression" priority="2" dxfId="2">
      <formula>W9="OK"</formula>
    </cfRule>
    <cfRule type="expression" priority="3" dxfId="4">
      <formula>W9="REVIEW"</formula>
    </cfRule>
  </conditionalFormatting>
  <dataValidations count="7">
    <dataValidation sqref="C9:C258" showDropDown="0" showInputMessage="0" showErrorMessage="0" allowBlank="0" type="list">
      <formula1>Setup!$A$36:$A$50</formula1>
    </dataValidation>
    <dataValidation sqref="D9:D258" showDropDown="0" showInputMessage="0" showErrorMessage="0" allowBlank="0" type="list">
      <formula1>Setup!$A$56:$A$66</formula1>
    </dataValidation>
    <dataValidation sqref="E9:E258" showDropDown="0" showInputMessage="0" showErrorMessage="0" allowBlank="0" type="list">
      <formula1>Setup!$A$72:$A$76</formula1>
    </dataValidation>
    <dataValidation sqref="F9:F258" showDropDown="0" showInputMessage="0" showErrorMessage="0" allowBlank="0" type="list">
      <formula1>Setup!$A$82:$A$88</formula1>
    </dataValidation>
    <dataValidation sqref="H5" showDropDown="0" showInputMessage="0" showErrorMessage="0" allowBlank="0" type="list">
      <formula1>"All,Draft,Unpaid,Partial,Paid"</formula1>
    </dataValidation>
    <dataValidation sqref="K5" showDropDown="0" showInputMessage="0" showErrorMessage="0" allowBlank="0" type="list">
      <formula1>Setup!$A$56:$A$66</formula1>
    </dataValidation>
    <dataValidation sqref="N5" showDropDown="0" showInputMessage="0" showErrorMessage="0" allowBlank="0" type="list">
      <formula1>"All,Current,1-30,31-60,61-90,90+,Closed,Review"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style="78" min="1" max="1"/>
    <col width="28" customWidth="1" style="78" min="2" max="2"/>
    <col width="9" customWidth="1" style="78" min="3" max="3"/>
    <col width="12" customWidth="1" style="78" min="4" max="4"/>
    <col width="12" customWidth="1" style="78" min="5" max="5"/>
    <col width="15" customWidth="1" style="78" min="6" max="6"/>
    <col width="14" customWidth="1" style="78" min="7" max="7"/>
    <col width="12" customWidth="1" style="78" min="8" max="8"/>
    <col width="12" customWidth="1" style="78" min="9" max="9"/>
    <col width="12" customWidth="1" style="78" min="10" max="10"/>
    <col width="12" customWidth="1" style="78" min="11" max="11"/>
    <col width="25" customWidth="1" style="78" min="12" max="12"/>
    <col width="13" customWidth="1" style="78" min="13" max="13"/>
    <col width="14" customWidth="1" style="78" min="14" max="14"/>
    <col width="11" customWidth="1" style="78" min="15" max="15"/>
    <col width="32" customWidth="1" style="78" min="16" max="16"/>
  </cols>
  <sheetData>
    <row r="1" ht="30" customHeight="1" s="78">
      <c r="A1" s="293" t="n"/>
      <c r="B1" s="293" t="n"/>
      <c r="C1" s="294" t="inlineStr">
        <is>
          <t>DEPLETION</t>
        </is>
      </c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5" t="n"/>
      <c r="N1" s="295" t="n"/>
      <c r="O1" s="295" t="n"/>
      <c r="P1" s="295" t="n"/>
    </row>
    <row r="2" ht="24" customHeight="1" s="78">
      <c r="A2" s="293" t="n"/>
      <c r="B2" s="293" t="n"/>
      <c r="C2" s="296" t="inlineStr">
        <is>
          <t>Authoritative product-level sales ledger. Enter Invoice #, Product, Cases and Sale Price only.</t>
        </is>
      </c>
      <c r="D2" s="295" t="n"/>
      <c r="E2" s="295" t="n"/>
      <c r="F2" s="295" t="n"/>
      <c r="G2" s="295" t="n"/>
      <c r="H2" s="295" t="n"/>
      <c r="I2" s="295" t="n"/>
      <c r="J2" s="295" t="n"/>
      <c r="K2" s="295" t="n"/>
      <c r="L2" s="295" t="n"/>
      <c r="M2" s="295" t="n"/>
      <c r="N2" s="295" t="n"/>
      <c r="O2" s="295" t="n"/>
      <c r="P2" s="295" t="n"/>
    </row>
    <row r="3" ht="8" customHeight="1" s="78">
      <c r="A3" s="249" t="n"/>
      <c r="B3" s="249" t="n"/>
      <c r="C3" s="249" t="n"/>
      <c r="D3" s="249" t="n"/>
      <c r="E3" s="249" t="n"/>
      <c r="F3" s="249" t="n"/>
      <c r="G3" s="249" t="n"/>
      <c r="H3" s="249" t="n"/>
      <c r="I3" s="249" t="n"/>
      <c r="J3" s="249" t="n"/>
      <c r="K3" s="249" t="n"/>
      <c r="L3" s="249" t="n"/>
      <c r="M3" s="249" t="n"/>
      <c r="N3" s="249" t="n"/>
      <c r="O3" s="249" t="n"/>
      <c r="P3" s="249" t="n"/>
    </row>
    <row r="4">
      <c r="A4" s="249" t="n"/>
      <c r="B4" s="249" t="n"/>
      <c r="C4" s="249" t="n"/>
      <c r="D4" s="249" t="n"/>
      <c r="E4" s="249" t="n"/>
      <c r="F4" s="249" t="n"/>
      <c r="G4" s="249" t="n"/>
      <c r="H4" s="249" t="n"/>
      <c r="I4" s="249" t="n"/>
      <c r="J4" s="249" t="n"/>
      <c r="K4" s="249" t="n"/>
      <c r="L4" s="249" t="n"/>
      <c r="M4" s="249" t="n"/>
      <c r="N4" s="249" t="n"/>
      <c r="O4" s="249" t="n"/>
      <c r="P4" s="249" t="n"/>
    </row>
    <row r="5" ht="30" customHeight="1" s="78">
      <c r="A5" s="190" t="inlineStr">
        <is>
          <t>SEARCH</t>
        </is>
      </c>
      <c r="B5" s="187" t="str"/>
      <c r="D5" s="1" t="n"/>
      <c r="E5" s="187" t="str"/>
      <c r="F5" s="191" t="inlineStr">
        <is>
          <t>REP</t>
        </is>
      </c>
      <c r="G5" s="187" t="inlineStr">
        <is>
          <t>All</t>
        </is>
      </c>
      <c r="H5" s="187" t="str"/>
      <c r="I5" s="191" t="inlineStr">
        <is>
          <t>PRODUCT LINE</t>
        </is>
      </c>
      <c r="J5" s="187" t="inlineStr">
        <is>
          <t>All</t>
        </is>
      </c>
      <c r="K5" s="187" t="str"/>
      <c r="L5" s="191" t="inlineStr">
        <is>
          <t>PRODUCT</t>
        </is>
      </c>
      <c r="M5" s="187" t="inlineStr">
        <is>
          <t>All</t>
        </is>
      </c>
      <c r="N5" s="187" t="str"/>
      <c r="O5" s="191" t="inlineStr">
        <is>
          <t>QA</t>
        </is>
      </c>
      <c r="P5" s="189" t="inlineStr">
        <is>
          <t>All</t>
        </is>
      </c>
    </row>
    <row r="6">
      <c r="A6" s="195" t="inlineStr">
        <is>
          <t>RECORDS</t>
        </is>
      </c>
      <c r="B6" s="196">
        <f>COUNTIF($A$9:$A$208,"&lt;&gt;")</f>
        <v/>
      </c>
      <c r="C6" s="194" t="str"/>
      <c r="D6" s="195" t="inlineStr">
        <is>
          <t>REVENUE</t>
        </is>
      </c>
      <c r="E6" s="196">
        <f>SUM($E$9:$E$208)</f>
        <v/>
      </c>
      <c r="F6" s="194" t="str"/>
      <c r="G6" s="195" t="inlineStr">
        <is>
          <t>CASES</t>
        </is>
      </c>
      <c r="H6" s="196">
        <f>SUM($C$9:$C$208)</f>
        <v/>
      </c>
      <c r="I6" s="194" t="str"/>
      <c r="J6" s="195" t="inlineStr">
        <is>
          <t>NEEDS REVIEW</t>
        </is>
      </c>
      <c r="K6" s="196">
        <f>COUNTIF($O$9:$O$208,"REVIEW")</f>
        <v/>
      </c>
      <c r="L6" s="347" t="inlineStr">
        <is>
          <t>Use Lagom → Import Depletion or enter rows directly</t>
        </is>
      </c>
      <c r="M6" s="348" t="str"/>
      <c r="N6" s="1" t="n"/>
      <c r="O6" s="1" t="n"/>
      <c r="P6" s="1" t="n"/>
    </row>
    <row r="7" ht="22" customHeight="1" s="78">
      <c r="A7" s="302" t="inlineStr">
        <is>
          <t>DEPLETION INPUT</t>
        </is>
      </c>
      <c r="B7" s="303" t="n"/>
      <c r="C7" s="303" t="n"/>
      <c r="D7" s="303" t="n"/>
      <c r="E7" s="302" t="inlineStr">
        <is>
          <t>PRODUCT ECONOMICS</t>
        </is>
      </c>
      <c r="F7" s="303" t="n"/>
      <c r="G7" s="303" t="n"/>
      <c r="H7" s="303" t="n"/>
      <c r="I7" s="303" t="n"/>
      <c r="J7" s="303" t="n"/>
      <c r="K7" s="302" t="inlineStr">
        <is>
          <t>INVOICE CONTEXT</t>
        </is>
      </c>
      <c r="L7" s="303" t="n"/>
      <c r="M7" s="303" t="n"/>
      <c r="N7" s="303" t="n"/>
      <c r="O7" s="302" t="inlineStr">
        <is>
          <t>QA</t>
        </is>
      </c>
      <c r="P7" s="303" t="n"/>
    </row>
    <row r="8" ht="28" customHeight="1" s="78">
      <c r="A8" s="149" t="inlineStr">
        <is>
          <t>Invoice #</t>
        </is>
      </c>
      <c r="B8" s="150" t="inlineStr">
        <is>
          <t>Product</t>
        </is>
      </c>
      <c r="C8" s="150" t="inlineStr">
        <is>
          <t>Cases</t>
        </is>
      </c>
      <c r="D8" s="150" t="inlineStr">
        <is>
          <t>Sale Price</t>
        </is>
      </c>
      <c r="E8" s="150" t="inlineStr">
        <is>
          <t>Revenue</t>
        </is>
      </c>
      <c r="F8" s="150" t="inlineStr">
        <is>
          <t>SKU</t>
        </is>
      </c>
      <c r="G8" s="150" t="inlineStr">
        <is>
          <t>Product Line</t>
        </is>
      </c>
      <c r="H8" s="150" t="inlineStr">
        <is>
          <t>COGS / Case</t>
        </is>
      </c>
      <c r="I8" s="150" t="inlineStr">
        <is>
          <t>Total COGS</t>
        </is>
      </c>
      <c r="J8" s="150" t="inlineStr">
        <is>
          <t>Gross Profit</t>
        </is>
      </c>
      <c r="K8" s="150" t="inlineStr">
        <is>
          <t>Invoice Date</t>
        </is>
      </c>
      <c r="L8" s="150" t="inlineStr">
        <is>
          <t>Account</t>
        </is>
      </c>
      <c r="M8" s="150" t="inlineStr">
        <is>
          <t>Sales Rep</t>
        </is>
      </c>
      <c r="N8" s="150" t="inlineStr">
        <is>
          <t>Account Type</t>
        </is>
      </c>
      <c r="O8" s="150" t="inlineStr">
        <is>
          <t>QA Status</t>
        </is>
      </c>
      <c r="P8" s="151" t="inlineStr">
        <is>
          <t>Search Key</t>
        </is>
      </c>
    </row>
    <row r="9">
      <c r="A9" s="321" t="inlineStr">
        <is>
          <t>1088</t>
        </is>
      </c>
      <c r="B9" s="323" t="inlineStr">
        <is>
          <t>Lagom - 24K Lemonade</t>
        </is>
      </c>
      <c r="C9" s="349" t="n">
        <v>1</v>
      </c>
      <c r="D9" s="324" t="n">
        <v>72.98999999999999</v>
      </c>
      <c r="E9" s="326">
        <f>IF(OR($A9="",$B9="",$C9="",$D9=""),"",$C9*$D9)</f>
        <v/>
      </c>
      <c r="F9" s="325">
        <f>IF($B9="","",IFERROR(VLOOKUP($B9,Setup!$A$9:$H$30,2,FALSE),""))</f>
        <v/>
      </c>
      <c r="G9" s="325">
        <f>IF($B9="","",IFERROR(VLOOKUP($B9,Setup!$A$9:$H$30,5,FALSE),""))</f>
        <v/>
      </c>
      <c r="H9" s="326">
        <f>IF($B9="","",IFERROR(VLOOKUP($B9,Setup!$A$9:$H$30,6,FALSE),""))</f>
        <v/>
      </c>
      <c r="I9" s="326">
        <f>IF(OR($C9="",$H9=""),"",$C9*$H9)</f>
        <v/>
      </c>
      <c r="J9" s="326">
        <f>IF(OR($E9="",$I9=""),"",$E9-$I9)</f>
        <v/>
      </c>
      <c r="K9" s="329">
        <f>IF($A9="","",IFERROR(VLOOKUP($A9,Invoices!$A$9:$X$108,2,FALSE),""))</f>
        <v/>
      </c>
      <c r="L9" s="325">
        <f>IF($A9="","",IFERROR(VLOOKUP($A9,Invoices!$A$9:$X$108,3,FALSE),""))</f>
        <v/>
      </c>
      <c r="M9" s="325">
        <f>IF($A9="","",IFERROR(VLOOKUP($A9,Invoices!$A$9:$X$108,4,FALSE),""))</f>
        <v/>
      </c>
      <c r="N9" s="325">
        <f>IF($A9="","",IFERROR(VLOOKUP($A9,Invoices!$A$9:$X$108,5,FALSE),""))</f>
        <v/>
      </c>
      <c r="O9" s="325">
        <f>IF(AND($A9="",$B9="",$C9="",$D9=""),"",IF(OR($A9="",$B9="",$C9&lt;=0,$D9&lt;=0,$F9="",$H9="",$K9=""),"REVIEW","OK"))</f>
        <v/>
      </c>
      <c r="P9" s="330">
        <f>IF($A9="","",LOWER($A9&amp;" "&amp;$B9&amp;" "&amp;$F9&amp;" "&amp;$G9&amp;" "&amp;$L9&amp;" "&amp;$M9&amp;" "&amp;$N9))</f>
        <v/>
      </c>
    </row>
    <row r="10">
      <c r="A10" s="321" t="inlineStr">
        <is>
          <t>1088</t>
        </is>
      </c>
      <c r="B10" s="323" t="inlineStr">
        <is>
          <t>Lagom - Strawberry Lime Fusion</t>
        </is>
      </c>
      <c r="C10" s="349" t="n">
        <v>1</v>
      </c>
      <c r="D10" s="324" t="n">
        <v>72.98999999999999</v>
      </c>
      <c r="E10" s="326">
        <f>IF(OR($A10="",$B10="",$C10="",$D10=""),"",$C10*$D10)</f>
        <v/>
      </c>
      <c r="F10" s="325">
        <f>IF($B10="","",IFERROR(VLOOKUP($B10,Setup!$A$9:$H$30,2,FALSE),""))</f>
        <v/>
      </c>
      <c r="G10" s="325">
        <f>IF($B10="","",IFERROR(VLOOKUP($B10,Setup!$A$9:$H$30,5,FALSE),""))</f>
        <v/>
      </c>
      <c r="H10" s="326">
        <f>IF($B10="","",IFERROR(VLOOKUP($B10,Setup!$A$9:$H$30,6,FALSE),""))</f>
        <v/>
      </c>
      <c r="I10" s="326">
        <f>IF(OR($C10="",$H10=""),"",$C10*$H10)</f>
        <v/>
      </c>
      <c r="J10" s="326">
        <f>IF(OR($E10="",$I10=""),"",$E10-$I10)</f>
        <v/>
      </c>
      <c r="K10" s="329">
        <f>IF($A10="","",IFERROR(VLOOKUP($A10,Invoices!$A$9:$X$108,2,FALSE),""))</f>
        <v/>
      </c>
      <c r="L10" s="325">
        <f>IF($A10="","",IFERROR(VLOOKUP($A10,Invoices!$A$9:$X$108,3,FALSE),""))</f>
        <v/>
      </c>
      <c r="M10" s="325">
        <f>IF($A10="","",IFERROR(VLOOKUP($A10,Invoices!$A$9:$X$108,4,FALSE),""))</f>
        <v/>
      </c>
      <c r="N10" s="325">
        <f>IF($A10="","",IFERROR(VLOOKUP($A10,Invoices!$A$9:$X$108,5,FALSE),""))</f>
        <v/>
      </c>
      <c r="O10" s="325">
        <f>IF(AND($A10="",$B10="",$C10="",$D10=""),"",IF(OR($A10="",$B10="",$C10&lt;=0,$D10&lt;=0,$F10="",$H10="",$K10=""),"REVIEW","OK"))</f>
        <v/>
      </c>
      <c r="P10" s="330">
        <f>IF($A10="","",LOWER($A10&amp;" "&amp;$B10&amp;" "&amp;$F10&amp;" "&amp;$G10&amp;" "&amp;$L10&amp;" "&amp;$M10&amp;" "&amp;$N10))</f>
        <v/>
      </c>
    </row>
    <row r="11">
      <c r="A11" s="321" t="inlineStr">
        <is>
          <t>1088</t>
        </is>
      </c>
      <c r="B11" s="323" t="inlineStr">
        <is>
          <t>Lagom - Blackberry Breeze</t>
        </is>
      </c>
      <c r="C11" s="349" t="n">
        <v>1</v>
      </c>
      <c r="D11" s="324" t="n">
        <v>72.98999999999999</v>
      </c>
      <c r="E11" s="326">
        <f>IF(OR($A11="",$B11="",$C11="",$D11=""),"",$C11*$D11)</f>
        <v/>
      </c>
      <c r="F11" s="325">
        <f>IF($B11="","",IFERROR(VLOOKUP($B11,Setup!$A$9:$H$30,2,FALSE),""))</f>
        <v/>
      </c>
      <c r="G11" s="325">
        <f>IF($B11="","",IFERROR(VLOOKUP($B11,Setup!$A$9:$H$30,5,FALSE),""))</f>
        <v/>
      </c>
      <c r="H11" s="326">
        <f>IF($B11="","",IFERROR(VLOOKUP($B11,Setup!$A$9:$H$30,6,FALSE),""))</f>
        <v/>
      </c>
      <c r="I11" s="326">
        <f>IF(OR($C11="",$H11=""),"",$C11*$H11)</f>
        <v/>
      </c>
      <c r="J11" s="326">
        <f>IF(OR($E11="",$I11=""),"",$E11-$I11)</f>
        <v/>
      </c>
      <c r="K11" s="329">
        <f>IF($A11="","",IFERROR(VLOOKUP($A11,Invoices!$A$9:$X$108,2,FALSE),""))</f>
        <v/>
      </c>
      <c r="L11" s="325">
        <f>IF($A11="","",IFERROR(VLOOKUP($A11,Invoices!$A$9:$X$108,3,FALSE),""))</f>
        <v/>
      </c>
      <c r="M11" s="325">
        <f>IF($A11="","",IFERROR(VLOOKUP($A11,Invoices!$A$9:$X$108,4,FALSE),""))</f>
        <v/>
      </c>
      <c r="N11" s="325">
        <f>IF($A11="","",IFERROR(VLOOKUP($A11,Invoices!$A$9:$X$108,5,FALSE),""))</f>
        <v/>
      </c>
      <c r="O11" s="325">
        <f>IF(AND($A11="",$B11="",$C11="",$D11=""),"",IF(OR($A11="",$B11="",$C11&lt;=0,$D11&lt;=0,$F11="",$H11="",$K11=""),"REVIEW","OK"))</f>
        <v/>
      </c>
      <c r="P11" s="330">
        <f>IF($A11="","",LOWER($A11&amp;" "&amp;$B11&amp;" "&amp;$F11&amp;" "&amp;$G11&amp;" "&amp;$L11&amp;" "&amp;$M11&amp;" "&amp;$N11))</f>
        <v/>
      </c>
    </row>
    <row r="12">
      <c r="A12" s="321" t="inlineStr">
        <is>
          <t>1088</t>
        </is>
      </c>
      <c r="B12" s="323" t="inlineStr">
        <is>
          <t>Lagom - Watermelon Refresher</t>
        </is>
      </c>
      <c r="C12" s="349" t="n">
        <v>1</v>
      </c>
      <c r="D12" s="324" t="n">
        <v>72.98999999999999</v>
      </c>
      <c r="E12" s="326">
        <f>IF(OR($A12="",$B12="",$C12="",$D12=""),"",$C12*$D12)</f>
        <v/>
      </c>
      <c r="F12" s="325">
        <f>IF($B12="","",IFERROR(VLOOKUP($B12,Setup!$A$9:$H$30,2,FALSE),""))</f>
        <v/>
      </c>
      <c r="G12" s="325">
        <f>IF($B12="","",IFERROR(VLOOKUP($B12,Setup!$A$9:$H$30,5,FALSE),""))</f>
        <v/>
      </c>
      <c r="H12" s="326">
        <f>IF($B12="","",IFERROR(VLOOKUP($B12,Setup!$A$9:$H$30,6,FALSE),""))</f>
        <v/>
      </c>
      <c r="I12" s="326">
        <f>IF(OR($C12="",$H12=""),"",$C12*$H12)</f>
        <v/>
      </c>
      <c r="J12" s="326">
        <f>IF(OR($E12="",$I12=""),"",$E12-$I12)</f>
        <v/>
      </c>
      <c r="K12" s="329">
        <f>IF($A12="","",IFERROR(VLOOKUP($A12,Invoices!$A$9:$X$108,2,FALSE),""))</f>
        <v/>
      </c>
      <c r="L12" s="325">
        <f>IF($A12="","",IFERROR(VLOOKUP($A12,Invoices!$A$9:$X$108,3,FALSE),""))</f>
        <v/>
      </c>
      <c r="M12" s="325">
        <f>IF($A12="","",IFERROR(VLOOKUP($A12,Invoices!$A$9:$X$108,4,FALSE),""))</f>
        <v/>
      </c>
      <c r="N12" s="325">
        <f>IF($A12="","",IFERROR(VLOOKUP($A12,Invoices!$A$9:$X$108,5,FALSE),""))</f>
        <v/>
      </c>
      <c r="O12" s="325">
        <f>IF(AND($A12="",$B12="",$C12="",$D12=""),"",IF(OR($A12="",$B12="",$C12&lt;=0,$D12&lt;=0,$F12="",$H12="",$K12=""),"REVIEW","OK"))</f>
        <v/>
      </c>
      <c r="P12" s="330">
        <f>IF($A12="","",LOWER($A12&amp;" "&amp;$B12&amp;" "&amp;$F12&amp;" "&amp;$G12&amp;" "&amp;$L12&amp;" "&amp;$M12&amp;" "&amp;$N12))</f>
        <v/>
      </c>
    </row>
    <row r="13">
      <c r="A13" s="321" t="inlineStr">
        <is>
          <t>1089</t>
        </is>
      </c>
      <c r="B13" s="323" t="inlineStr">
        <is>
          <t>Lagom - 24K Lemonade</t>
        </is>
      </c>
      <c r="C13" s="349" t="n">
        <v>1</v>
      </c>
      <c r="D13" s="324" t="n">
        <v>72.98999999999999</v>
      </c>
      <c r="E13" s="326">
        <f>IF(OR($A13="",$B13="",$C13="",$D13=""),"",$C13*$D13)</f>
        <v/>
      </c>
      <c r="F13" s="325">
        <f>IF($B13="","",IFERROR(VLOOKUP($B13,Setup!$A$9:$H$30,2,FALSE),""))</f>
        <v/>
      </c>
      <c r="G13" s="325">
        <f>IF($B13="","",IFERROR(VLOOKUP($B13,Setup!$A$9:$H$30,5,FALSE),""))</f>
        <v/>
      </c>
      <c r="H13" s="326">
        <f>IF($B13="","",IFERROR(VLOOKUP($B13,Setup!$A$9:$H$30,6,FALSE),""))</f>
        <v/>
      </c>
      <c r="I13" s="326">
        <f>IF(OR($C13="",$H13=""),"",$C13*$H13)</f>
        <v/>
      </c>
      <c r="J13" s="326">
        <f>IF(OR($E13="",$I13=""),"",$E13-$I13)</f>
        <v/>
      </c>
      <c r="K13" s="329">
        <f>IF($A13="","",IFERROR(VLOOKUP($A13,Invoices!$A$9:$X$108,2,FALSE),""))</f>
        <v/>
      </c>
      <c r="L13" s="325">
        <f>IF($A13="","",IFERROR(VLOOKUP($A13,Invoices!$A$9:$X$108,3,FALSE),""))</f>
        <v/>
      </c>
      <c r="M13" s="325">
        <f>IF($A13="","",IFERROR(VLOOKUP($A13,Invoices!$A$9:$X$108,4,FALSE),""))</f>
        <v/>
      </c>
      <c r="N13" s="325">
        <f>IF($A13="","",IFERROR(VLOOKUP($A13,Invoices!$A$9:$X$108,5,FALSE),""))</f>
        <v/>
      </c>
      <c r="O13" s="325">
        <f>IF(AND($A13="",$B13="",$C13="",$D13=""),"",IF(OR($A13="",$B13="",$C13&lt;=0,$D13&lt;=0,$F13="",$H13="",$K13=""),"REVIEW","OK"))</f>
        <v/>
      </c>
      <c r="P13" s="330">
        <f>IF($A13="","",LOWER($A13&amp;" "&amp;$B13&amp;" "&amp;$F13&amp;" "&amp;$G13&amp;" "&amp;$L13&amp;" "&amp;$M13&amp;" "&amp;$N13))</f>
        <v/>
      </c>
    </row>
    <row r="14">
      <c r="A14" s="321" t="inlineStr">
        <is>
          <t>1089</t>
        </is>
      </c>
      <c r="B14" s="323" t="inlineStr">
        <is>
          <t>Lagom - Strawberry Lime Fusion</t>
        </is>
      </c>
      <c r="C14" s="349" t="n">
        <v>1</v>
      </c>
      <c r="D14" s="324" t="n">
        <v>72.98999999999999</v>
      </c>
      <c r="E14" s="326">
        <f>IF(OR($A14="",$B14="",$C14="",$D14=""),"",$C14*$D14)</f>
        <v/>
      </c>
      <c r="F14" s="325">
        <f>IF($B14="","",IFERROR(VLOOKUP($B14,Setup!$A$9:$H$30,2,FALSE),""))</f>
        <v/>
      </c>
      <c r="G14" s="325">
        <f>IF($B14="","",IFERROR(VLOOKUP($B14,Setup!$A$9:$H$30,5,FALSE),""))</f>
        <v/>
      </c>
      <c r="H14" s="326">
        <f>IF($B14="","",IFERROR(VLOOKUP($B14,Setup!$A$9:$H$30,6,FALSE),""))</f>
        <v/>
      </c>
      <c r="I14" s="326">
        <f>IF(OR($C14="",$H14=""),"",$C14*$H14)</f>
        <v/>
      </c>
      <c r="J14" s="326">
        <f>IF(OR($E14="",$I14=""),"",$E14-$I14)</f>
        <v/>
      </c>
      <c r="K14" s="329">
        <f>IF($A14="","",IFERROR(VLOOKUP($A14,Invoices!$A$9:$X$108,2,FALSE),""))</f>
        <v/>
      </c>
      <c r="L14" s="325">
        <f>IF($A14="","",IFERROR(VLOOKUP($A14,Invoices!$A$9:$X$108,3,FALSE),""))</f>
        <v/>
      </c>
      <c r="M14" s="325">
        <f>IF($A14="","",IFERROR(VLOOKUP($A14,Invoices!$A$9:$X$108,4,FALSE),""))</f>
        <v/>
      </c>
      <c r="N14" s="325">
        <f>IF($A14="","",IFERROR(VLOOKUP($A14,Invoices!$A$9:$X$108,5,FALSE),""))</f>
        <v/>
      </c>
      <c r="O14" s="325">
        <f>IF(AND($A14="",$B14="",$C14="",$D14=""),"",IF(OR($A14="",$B14="",$C14&lt;=0,$D14&lt;=0,$F14="",$H14="",$K14=""),"REVIEW","OK"))</f>
        <v/>
      </c>
      <c r="P14" s="330">
        <f>IF($A14="","",LOWER($A14&amp;" "&amp;$B14&amp;" "&amp;$F14&amp;" "&amp;$G14&amp;" "&amp;$L14&amp;" "&amp;$M14&amp;" "&amp;$N14))</f>
        <v/>
      </c>
    </row>
    <row r="15">
      <c r="A15" s="321" t="inlineStr">
        <is>
          <t>1089</t>
        </is>
      </c>
      <c r="B15" s="323" t="inlineStr">
        <is>
          <t>Lagom - Blackberry Breeze</t>
        </is>
      </c>
      <c r="C15" s="349" t="n">
        <v>1</v>
      </c>
      <c r="D15" s="324" t="n">
        <v>72.98999999999999</v>
      </c>
      <c r="E15" s="326">
        <f>IF(OR($A15="",$B15="",$C15="",$D15=""),"",$C15*$D15)</f>
        <v/>
      </c>
      <c r="F15" s="325">
        <f>IF($B15="","",IFERROR(VLOOKUP($B15,Setup!$A$9:$H$30,2,FALSE),""))</f>
        <v/>
      </c>
      <c r="G15" s="325">
        <f>IF($B15="","",IFERROR(VLOOKUP($B15,Setup!$A$9:$H$30,5,FALSE),""))</f>
        <v/>
      </c>
      <c r="H15" s="326">
        <f>IF($B15="","",IFERROR(VLOOKUP($B15,Setup!$A$9:$H$30,6,FALSE),""))</f>
        <v/>
      </c>
      <c r="I15" s="326">
        <f>IF(OR($C15="",$H15=""),"",$C15*$H15)</f>
        <v/>
      </c>
      <c r="J15" s="326">
        <f>IF(OR($E15="",$I15=""),"",$E15-$I15)</f>
        <v/>
      </c>
      <c r="K15" s="329">
        <f>IF($A15="","",IFERROR(VLOOKUP($A15,Invoices!$A$9:$X$108,2,FALSE),""))</f>
        <v/>
      </c>
      <c r="L15" s="325">
        <f>IF($A15="","",IFERROR(VLOOKUP($A15,Invoices!$A$9:$X$108,3,FALSE),""))</f>
        <v/>
      </c>
      <c r="M15" s="325">
        <f>IF($A15="","",IFERROR(VLOOKUP($A15,Invoices!$A$9:$X$108,4,FALSE),""))</f>
        <v/>
      </c>
      <c r="N15" s="325">
        <f>IF($A15="","",IFERROR(VLOOKUP($A15,Invoices!$A$9:$X$108,5,FALSE),""))</f>
        <v/>
      </c>
      <c r="O15" s="325">
        <f>IF(AND($A15="",$B15="",$C15="",$D15=""),"",IF(OR($A15="",$B15="",$C15&lt;=0,$D15&lt;=0,$F15="",$H15="",$K15=""),"REVIEW","OK"))</f>
        <v/>
      </c>
      <c r="P15" s="330">
        <f>IF($A15="","",LOWER($A15&amp;" "&amp;$B15&amp;" "&amp;$F15&amp;" "&amp;$G15&amp;" "&amp;$L15&amp;" "&amp;$M15&amp;" "&amp;$N15))</f>
        <v/>
      </c>
    </row>
    <row r="16">
      <c r="A16" s="321" t="inlineStr">
        <is>
          <t>1089</t>
        </is>
      </c>
      <c r="B16" s="323" t="inlineStr">
        <is>
          <t>Lagom - Watermelon Refresher</t>
        </is>
      </c>
      <c r="C16" s="349" t="n">
        <v>1</v>
      </c>
      <c r="D16" s="324" t="n">
        <v>72.98999999999999</v>
      </c>
      <c r="E16" s="326">
        <f>IF(OR($A16="",$B16="",$C16="",$D16=""),"",$C16*$D16)</f>
        <v/>
      </c>
      <c r="F16" s="325">
        <f>IF($B16="","",IFERROR(VLOOKUP($B16,Setup!$A$9:$H$30,2,FALSE),""))</f>
        <v/>
      </c>
      <c r="G16" s="325">
        <f>IF($B16="","",IFERROR(VLOOKUP($B16,Setup!$A$9:$H$30,5,FALSE),""))</f>
        <v/>
      </c>
      <c r="H16" s="326">
        <f>IF($B16="","",IFERROR(VLOOKUP($B16,Setup!$A$9:$H$30,6,FALSE),""))</f>
        <v/>
      </c>
      <c r="I16" s="326">
        <f>IF(OR($C16="",$H16=""),"",$C16*$H16)</f>
        <v/>
      </c>
      <c r="J16" s="326">
        <f>IF(OR($E16="",$I16=""),"",$E16-$I16)</f>
        <v/>
      </c>
      <c r="K16" s="329">
        <f>IF($A16="","",IFERROR(VLOOKUP($A16,Invoices!$A$9:$X$108,2,FALSE),""))</f>
        <v/>
      </c>
      <c r="L16" s="325">
        <f>IF($A16="","",IFERROR(VLOOKUP($A16,Invoices!$A$9:$X$108,3,FALSE),""))</f>
        <v/>
      </c>
      <c r="M16" s="325">
        <f>IF($A16="","",IFERROR(VLOOKUP($A16,Invoices!$A$9:$X$108,4,FALSE),""))</f>
        <v/>
      </c>
      <c r="N16" s="325">
        <f>IF($A16="","",IFERROR(VLOOKUP($A16,Invoices!$A$9:$X$108,5,FALSE),""))</f>
        <v/>
      </c>
      <c r="O16" s="325">
        <f>IF(AND($A16="",$B16="",$C16="",$D16=""),"",IF(OR($A16="",$B16="",$C16&lt;=0,$D16&lt;=0,$F16="",$H16="",$K16=""),"REVIEW","OK"))</f>
        <v/>
      </c>
      <c r="P16" s="330">
        <f>IF($A16="","",LOWER($A16&amp;" "&amp;$B16&amp;" "&amp;$F16&amp;" "&amp;$G16&amp;" "&amp;$L16&amp;" "&amp;$M16&amp;" "&amp;$N16))</f>
        <v/>
      </c>
    </row>
    <row r="17">
      <c r="A17" s="205" t="n"/>
      <c r="B17" s="207" t="n"/>
      <c r="C17" s="350" t="n"/>
      <c r="D17" s="332" t="n"/>
      <c r="E17" s="326">
        <f>IF(OR($A17="",$B17="",$C17="",$D17=""),"",$C17*$D17)</f>
        <v/>
      </c>
      <c r="F17" s="325">
        <f>IF($B17="","",IFERROR(VLOOKUP($B17,Setup!$A$9:$H$30,2,FALSE),""))</f>
        <v/>
      </c>
      <c r="G17" s="325">
        <f>IF($B17="","",IFERROR(VLOOKUP($B17,Setup!$A$9:$H$30,5,FALSE),""))</f>
        <v/>
      </c>
      <c r="H17" s="326">
        <f>IF($B17="","",IFERROR(VLOOKUP($B17,Setup!$A$9:$H$30,6,FALSE),""))</f>
        <v/>
      </c>
      <c r="I17" s="326">
        <f>IF(OR($C17="",$H17=""),"",$C17*$H17)</f>
        <v/>
      </c>
      <c r="J17" s="326">
        <f>IF(OR($E17="",$I17=""),"",$E17-$I17)</f>
        <v/>
      </c>
      <c r="K17" s="329">
        <f>IF($A17="","",IFERROR(VLOOKUP($A17,Invoices!$A$9:$X$108,2,FALSE),""))</f>
        <v/>
      </c>
      <c r="L17" s="325">
        <f>IF($A17="","",IFERROR(VLOOKUP($A17,Invoices!$A$9:$X$108,3,FALSE),""))</f>
        <v/>
      </c>
      <c r="M17" s="325">
        <f>IF($A17="","",IFERROR(VLOOKUP($A17,Invoices!$A$9:$X$108,4,FALSE),""))</f>
        <v/>
      </c>
      <c r="N17" s="325">
        <f>IF($A17="","",IFERROR(VLOOKUP($A17,Invoices!$A$9:$X$108,5,FALSE),""))</f>
        <v/>
      </c>
      <c r="O17" s="325">
        <f>IF(AND($A17="",$B17="",$C17="",$D17=""),"",IF(OR($A17="",$B17="",$C17&lt;=0,$D17&lt;=0,$F17="",$H17="",$K17=""),"REVIEW","OK"))</f>
        <v/>
      </c>
      <c r="P17" s="330">
        <f>IF($A17="","",LOWER($A17&amp;" "&amp;$B17&amp;" "&amp;$F17&amp;" "&amp;$G17&amp;" "&amp;$L17&amp;" "&amp;$M17&amp;" "&amp;$N17))</f>
        <v/>
      </c>
    </row>
    <row r="18">
      <c r="A18" s="205" t="n"/>
      <c r="B18" s="207" t="n"/>
      <c r="C18" s="350" t="n"/>
      <c r="D18" s="332" t="n"/>
      <c r="E18" s="326">
        <f>IF(OR($A18="",$B18="",$C18="",$D18=""),"",$C18*$D18)</f>
        <v/>
      </c>
      <c r="F18" s="325">
        <f>IF($B18="","",IFERROR(VLOOKUP($B18,Setup!$A$9:$H$30,2,FALSE),""))</f>
        <v/>
      </c>
      <c r="G18" s="325">
        <f>IF($B18="","",IFERROR(VLOOKUP($B18,Setup!$A$9:$H$30,5,FALSE),""))</f>
        <v/>
      </c>
      <c r="H18" s="326">
        <f>IF($B18="","",IFERROR(VLOOKUP($B18,Setup!$A$9:$H$30,6,FALSE),""))</f>
        <v/>
      </c>
      <c r="I18" s="326">
        <f>IF(OR($C18="",$H18=""),"",$C18*$H18)</f>
        <v/>
      </c>
      <c r="J18" s="326">
        <f>IF(OR($E18="",$I18=""),"",$E18-$I18)</f>
        <v/>
      </c>
      <c r="K18" s="329">
        <f>IF($A18="","",IFERROR(VLOOKUP($A18,Invoices!$A$9:$X$108,2,FALSE),""))</f>
        <v/>
      </c>
      <c r="L18" s="325">
        <f>IF($A18="","",IFERROR(VLOOKUP($A18,Invoices!$A$9:$X$108,3,FALSE),""))</f>
        <v/>
      </c>
      <c r="M18" s="325">
        <f>IF($A18="","",IFERROR(VLOOKUP($A18,Invoices!$A$9:$X$108,4,FALSE),""))</f>
        <v/>
      </c>
      <c r="N18" s="325">
        <f>IF($A18="","",IFERROR(VLOOKUP($A18,Invoices!$A$9:$X$108,5,FALSE),""))</f>
        <v/>
      </c>
      <c r="O18" s="325">
        <f>IF(AND($A18="",$B18="",$C18="",$D18=""),"",IF(OR($A18="",$B18="",$C18&lt;=0,$D18&lt;=0,$F18="",$H18="",$K18=""),"REVIEW","OK"))</f>
        <v/>
      </c>
      <c r="P18" s="330">
        <f>IF($A18="","",LOWER($A18&amp;" "&amp;$B18&amp;" "&amp;$F18&amp;" "&amp;$G18&amp;" "&amp;$L18&amp;" "&amp;$M18&amp;" "&amp;$N18))</f>
        <v/>
      </c>
    </row>
    <row r="19">
      <c r="A19" s="205" t="n"/>
      <c r="B19" s="207" t="n"/>
      <c r="C19" s="350" t="n"/>
      <c r="D19" s="332" t="n"/>
      <c r="E19" s="326">
        <f>IF(OR($A19="",$B19="",$C19="",$D19=""),"",$C19*$D19)</f>
        <v/>
      </c>
      <c r="F19" s="325">
        <f>IF($B19="","",IFERROR(VLOOKUP($B19,Setup!$A$9:$H$30,2,FALSE),""))</f>
        <v/>
      </c>
      <c r="G19" s="325">
        <f>IF($B19="","",IFERROR(VLOOKUP($B19,Setup!$A$9:$H$30,5,FALSE),""))</f>
        <v/>
      </c>
      <c r="H19" s="326">
        <f>IF($B19="","",IFERROR(VLOOKUP($B19,Setup!$A$9:$H$30,6,FALSE),""))</f>
        <v/>
      </c>
      <c r="I19" s="326">
        <f>IF(OR($C19="",$H19=""),"",$C19*$H19)</f>
        <v/>
      </c>
      <c r="J19" s="326">
        <f>IF(OR($E19="",$I19=""),"",$E19-$I19)</f>
        <v/>
      </c>
      <c r="K19" s="329">
        <f>IF($A19="","",IFERROR(VLOOKUP($A19,Invoices!$A$9:$X$108,2,FALSE),""))</f>
        <v/>
      </c>
      <c r="L19" s="325">
        <f>IF($A19="","",IFERROR(VLOOKUP($A19,Invoices!$A$9:$X$108,3,FALSE),""))</f>
        <v/>
      </c>
      <c r="M19" s="325">
        <f>IF($A19="","",IFERROR(VLOOKUP($A19,Invoices!$A$9:$X$108,4,FALSE),""))</f>
        <v/>
      </c>
      <c r="N19" s="325">
        <f>IF($A19="","",IFERROR(VLOOKUP($A19,Invoices!$A$9:$X$108,5,FALSE),""))</f>
        <v/>
      </c>
      <c r="O19" s="325">
        <f>IF(AND($A19="",$B19="",$C19="",$D19=""),"",IF(OR($A19="",$B19="",$C19&lt;=0,$D19&lt;=0,$F19="",$H19="",$K19=""),"REVIEW","OK"))</f>
        <v/>
      </c>
      <c r="P19" s="330">
        <f>IF($A19="","",LOWER($A19&amp;" "&amp;$B19&amp;" "&amp;$F19&amp;" "&amp;$G19&amp;" "&amp;$L19&amp;" "&amp;$M19&amp;" "&amp;$N19))</f>
        <v/>
      </c>
    </row>
    <row r="20">
      <c r="A20" s="205" t="n"/>
      <c r="B20" s="207" t="n"/>
      <c r="C20" s="350" t="n"/>
      <c r="D20" s="332" t="n"/>
      <c r="E20" s="326">
        <f>IF(OR($A20="",$B20="",$C20="",$D20=""),"",$C20*$D20)</f>
        <v/>
      </c>
      <c r="F20" s="325">
        <f>IF($B20="","",IFERROR(VLOOKUP($B20,Setup!$A$9:$H$30,2,FALSE),""))</f>
        <v/>
      </c>
      <c r="G20" s="325">
        <f>IF($B20="","",IFERROR(VLOOKUP($B20,Setup!$A$9:$H$30,5,FALSE),""))</f>
        <v/>
      </c>
      <c r="H20" s="326">
        <f>IF($B20="","",IFERROR(VLOOKUP($B20,Setup!$A$9:$H$30,6,FALSE),""))</f>
        <v/>
      </c>
      <c r="I20" s="326">
        <f>IF(OR($C20="",$H20=""),"",$C20*$H20)</f>
        <v/>
      </c>
      <c r="J20" s="326">
        <f>IF(OR($E20="",$I20=""),"",$E20-$I20)</f>
        <v/>
      </c>
      <c r="K20" s="329">
        <f>IF($A20="","",IFERROR(VLOOKUP($A20,Invoices!$A$9:$X$108,2,FALSE),""))</f>
        <v/>
      </c>
      <c r="L20" s="325">
        <f>IF($A20="","",IFERROR(VLOOKUP($A20,Invoices!$A$9:$X$108,3,FALSE),""))</f>
        <v/>
      </c>
      <c r="M20" s="325">
        <f>IF($A20="","",IFERROR(VLOOKUP($A20,Invoices!$A$9:$X$108,4,FALSE),""))</f>
        <v/>
      </c>
      <c r="N20" s="325">
        <f>IF($A20="","",IFERROR(VLOOKUP($A20,Invoices!$A$9:$X$108,5,FALSE),""))</f>
        <v/>
      </c>
      <c r="O20" s="325">
        <f>IF(AND($A20="",$B20="",$C20="",$D20=""),"",IF(OR($A20="",$B20="",$C20&lt;=0,$D20&lt;=0,$F20="",$H20="",$K20=""),"REVIEW","OK"))</f>
        <v/>
      </c>
      <c r="P20" s="330">
        <f>IF($A20="","",LOWER($A20&amp;" "&amp;$B20&amp;" "&amp;$F20&amp;" "&amp;$G20&amp;" "&amp;$L20&amp;" "&amp;$M20&amp;" "&amp;$N20))</f>
        <v/>
      </c>
    </row>
    <row r="21">
      <c r="A21" s="205" t="n"/>
      <c r="B21" s="207" t="n"/>
      <c r="C21" s="350" t="n"/>
      <c r="D21" s="332" t="n"/>
      <c r="E21" s="326">
        <f>IF(OR($A21="",$B21="",$C21="",$D21=""),"",$C21*$D21)</f>
        <v/>
      </c>
      <c r="F21" s="325">
        <f>IF($B21="","",IFERROR(VLOOKUP($B21,Setup!$A$9:$H$30,2,FALSE),""))</f>
        <v/>
      </c>
      <c r="G21" s="325">
        <f>IF($B21="","",IFERROR(VLOOKUP($B21,Setup!$A$9:$H$30,5,FALSE),""))</f>
        <v/>
      </c>
      <c r="H21" s="326">
        <f>IF($B21="","",IFERROR(VLOOKUP($B21,Setup!$A$9:$H$30,6,FALSE),""))</f>
        <v/>
      </c>
      <c r="I21" s="326">
        <f>IF(OR($C21="",$H21=""),"",$C21*$H21)</f>
        <v/>
      </c>
      <c r="J21" s="326">
        <f>IF(OR($E21="",$I21=""),"",$E21-$I21)</f>
        <v/>
      </c>
      <c r="K21" s="329">
        <f>IF($A21="","",IFERROR(VLOOKUP($A21,Invoices!$A$9:$X$108,2,FALSE),""))</f>
        <v/>
      </c>
      <c r="L21" s="325">
        <f>IF($A21="","",IFERROR(VLOOKUP($A21,Invoices!$A$9:$X$108,3,FALSE),""))</f>
        <v/>
      </c>
      <c r="M21" s="325">
        <f>IF($A21="","",IFERROR(VLOOKUP($A21,Invoices!$A$9:$X$108,4,FALSE),""))</f>
        <v/>
      </c>
      <c r="N21" s="325">
        <f>IF($A21="","",IFERROR(VLOOKUP($A21,Invoices!$A$9:$X$108,5,FALSE),""))</f>
        <v/>
      </c>
      <c r="O21" s="325">
        <f>IF(AND($A21="",$B21="",$C21="",$D21=""),"",IF(OR($A21="",$B21="",$C21&lt;=0,$D21&lt;=0,$F21="",$H21="",$K21=""),"REVIEW","OK"))</f>
        <v/>
      </c>
      <c r="P21" s="330">
        <f>IF($A21="","",LOWER($A21&amp;" "&amp;$B21&amp;" "&amp;$F21&amp;" "&amp;$G21&amp;" "&amp;$L21&amp;" "&amp;$M21&amp;" "&amp;$N21))</f>
        <v/>
      </c>
    </row>
    <row r="22">
      <c r="A22" s="205" t="n"/>
      <c r="B22" s="207" t="n"/>
      <c r="C22" s="350" t="n"/>
      <c r="D22" s="332" t="n"/>
      <c r="E22" s="326">
        <f>IF(OR($A22="",$B22="",$C22="",$D22=""),"",$C22*$D22)</f>
        <v/>
      </c>
      <c r="F22" s="325">
        <f>IF($B22="","",IFERROR(VLOOKUP($B22,Setup!$A$9:$H$30,2,FALSE),""))</f>
        <v/>
      </c>
      <c r="G22" s="325">
        <f>IF($B22="","",IFERROR(VLOOKUP($B22,Setup!$A$9:$H$30,5,FALSE),""))</f>
        <v/>
      </c>
      <c r="H22" s="326">
        <f>IF($B22="","",IFERROR(VLOOKUP($B22,Setup!$A$9:$H$30,6,FALSE),""))</f>
        <v/>
      </c>
      <c r="I22" s="326">
        <f>IF(OR($C22="",$H22=""),"",$C22*$H22)</f>
        <v/>
      </c>
      <c r="J22" s="326">
        <f>IF(OR($E22="",$I22=""),"",$E22-$I22)</f>
        <v/>
      </c>
      <c r="K22" s="329">
        <f>IF($A22="","",IFERROR(VLOOKUP($A22,Invoices!$A$9:$X$108,2,FALSE),""))</f>
        <v/>
      </c>
      <c r="L22" s="325">
        <f>IF($A22="","",IFERROR(VLOOKUP($A22,Invoices!$A$9:$X$108,3,FALSE),""))</f>
        <v/>
      </c>
      <c r="M22" s="325">
        <f>IF($A22="","",IFERROR(VLOOKUP($A22,Invoices!$A$9:$X$108,4,FALSE),""))</f>
        <v/>
      </c>
      <c r="N22" s="325">
        <f>IF($A22="","",IFERROR(VLOOKUP($A22,Invoices!$A$9:$X$108,5,FALSE),""))</f>
        <v/>
      </c>
      <c r="O22" s="325">
        <f>IF(AND($A22="",$B22="",$C22="",$D22=""),"",IF(OR($A22="",$B22="",$C22&lt;=0,$D22&lt;=0,$F22="",$H22="",$K22=""),"REVIEW","OK"))</f>
        <v/>
      </c>
      <c r="P22" s="330">
        <f>IF($A22="","",LOWER($A22&amp;" "&amp;$B22&amp;" "&amp;$F22&amp;" "&amp;$G22&amp;" "&amp;$L22&amp;" "&amp;$M22&amp;" "&amp;$N22))</f>
        <v/>
      </c>
    </row>
    <row r="23">
      <c r="A23" s="205" t="n"/>
      <c r="B23" s="207" t="n"/>
      <c r="C23" s="350" t="n"/>
      <c r="D23" s="332" t="n"/>
      <c r="E23" s="326">
        <f>IF(OR($A23="",$B23="",$C23="",$D23=""),"",$C23*$D23)</f>
        <v/>
      </c>
      <c r="F23" s="325">
        <f>IF($B23="","",IFERROR(VLOOKUP($B23,Setup!$A$9:$H$30,2,FALSE),""))</f>
        <v/>
      </c>
      <c r="G23" s="325">
        <f>IF($B23="","",IFERROR(VLOOKUP($B23,Setup!$A$9:$H$30,5,FALSE),""))</f>
        <v/>
      </c>
      <c r="H23" s="326">
        <f>IF($B23="","",IFERROR(VLOOKUP($B23,Setup!$A$9:$H$30,6,FALSE),""))</f>
        <v/>
      </c>
      <c r="I23" s="326">
        <f>IF(OR($C23="",$H23=""),"",$C23*$H23)</f>
        <v/>
      </c>
      <c r="J23" s="326">
        <f>IF(OR($E23="",$I23=""),"",$E23-$I23)</f>
        <v/>
      </c>
      <c r="K23" s="329">
        <f>IF($A23="","",IFERROR(VLOOKUP($A23,Invoices!$A$9:$X$108,2,FALSE),""))</f>
        <v/>
      </c>
      <c r="L23" s="325">
        <f>IF($A23="","",IFERROR(VLOOKUP($A23,Invoices!$A$9:$X$108,3,FALSE),""))</f>
        <v/>
      </c>
      <c r="M23" s="325">
        <f>IF($A23="","",IFERROR(VLOOKUP($A23,Invoices!$A$9:$X$108,4,FALSE),""))</f>
        <v/>
      </c>
      <c r="N23" s="325">
        <f>IF($A23="","",IFERROR(VLOOKUP($A23,Invoices!$A$9:$X$108,5,FALSE),""))</f>
        <v/>
      </c>
      <c r="O23" s="325">
        <f>IF(AND($A23="",$B23="",$C23="",$D23=""),"",IF(OR($A23="",$B23="",$C23&lt;=0,$D23&lt;=0,$F23="",$H23="",$K23=""),"REVIEW","OK"))</f>
        <v/>
      </c>
      <c r="P23" s="330">
        <f>IF($A23="","",LOWER($A23&amp;" "&amp;$B23&amp;" "&amp;$F23&amp;" "&amp;$G23&amp;" "&amp;$L23&amp;" "&amp;$M23&amp;" "&amp;$N23))</f>
        <v/>
      </c>
    </row>
    <row r="24">
      <c r="A24" s="205" t="n"/>
      <c r="B24" s="207" t="n"/>
      <c r="C24" s="350" t="n"/>
      <c r="D24" s="332" t="n"/>
      <c r="E24" s="326">
        <f>IF(OR($A24="",$B24="",$C24="",$D24=""),"",$C24*$D24)</f>
        <v/>
      </c>
      <c r="F24" s="325">
        <f>IF($B24="","",IFERROR(VLOOKUP($B24,Setup!$A$9:$H$30,2,FALSE),""))</f>
        <v/>
      </c>
      <c r="G24" s="325">
        <f>IF($B24="","",IFERROR(VLOOKUP($B24,Setup!$A$9:$H$30,5,FALSE),""))</f>
        <v/>
      </c>
      <c r="H24" s="326">
        <f>IF($B24="","",IFERROR(VLOOKUP($B24,Setup!$A$9:$H$30,6,FALSE),""))</f>
        <v/>
      </c>
      <c r="I24" s="326">
        <f>IF(OR($C24="",$H24=""),"",$C24*$H24)</f>
        <v/>
      </c>
      <c r="J24" s="326">
        <f>IF(OR($E24="",$I24=""),"",$E24-$I24)</f>
        <v/>
      </c>
      <c r="K24" s="329">
        <f>IF($A24="","",IFERROR(VLOOKUP($A24,Invoices!$A$9:$X$108,2,FALSE),""))</f>
        <v/>
      </c>
      <c r="L24" s="325">
        <f>IF($A24="","",IFERROR(VLOOKUP($A24,Invoices!$A$9:$X$108,3,FALSE),""))</f>
        <v/>
      </c>
      <c r="M24" s="325">
        <f>IF($A24="","",IFERROR(VLOOKUP($A24,Invoices!$A$9:$X$108,4,FALSE),""))</f>
        <v/>
      </c>
      <c r="N24" s="325">
        <f>IF($A24="","",IFERROR(VLOOKUP($A24,Invoices!$A$9:$X$108,5,FALSE),""))</f>
        <v/>
      </c>
      <c r="O24" s="325">
        <f>IF(AND($A24="",$B24="",$C24="",$D24=""),"",IF(OR($A24="",$B24="",$C24&lt;=0,$D24&lt;=0,$F24="",$H24="",$K24=""),"REVIEW","OK"))</f>
        <v/>
      </c>
      <c r="P24" s="330">
        <f>IF($A24="","",LOWER($A24&amp;" "&amp;$B24&amp;" "&amp;$F24&amp;" "&amp;$G24&amp;" "&amp;$L24&amp;" "&amp;$M24&amp;" "&amp;$N24))</f>
        <v/>
      </c>
    </row>
    <row r="25">
      <c r="A25" s="205" t="n"/>
      <c r="B25" s="207" t="n"/>
      <c r="C25" s="350" t="n"/>
      <c r="D25" s="332" t="n"/>
      <c r="E25" s="326">
        <f>IF(OR($A25="",$B25="",$C25="",$D25=""),"",$C25*$D25)</f>
        <v/>
      </c>
      <c r="F25" s="325">
        <f>IF($B25="","",IFERROR(VLOOKUP($B25,Setup!$A$9:$H$30,2,FALSE),""))</f>
        <v/>
      </c>
      <c r="G25" s="325">
        <f>IF($B25="","",IFERROR(VLOOKUP($B25,Setup!$A$9:$H$30,5,FALSE),""))</f>
        <v/>
      </c>
      <c r="H25" s="326">
        <f>IF($B25="","",IFERROR(VLOOKUP($B25,Setup!$A$9:$H$30,6,FALSE),""))</f>
        <v/>
      </c>
      <c r="I25" s="326">
        <f>IF(OR($C25="",$H25=""),"",$C25*$H25)</f>
        <v/>
      </c>
      <c r="J25" s="326">
        <f>IF(OR($E25="",$I25=""),"",$E25-$I25)</f>
        <v/>
      </c>
      <c r="K25" s="329">
        <f>IF($A25="","",IFERROR(VLOOKUP($A25,Invoices!$A$9:$X$108,2,FALSE),""))</f>
        <v/>
      </c>
      <c r="L25" s="325">
        <f>IF($A25="","",IFERROR(VLOOKUP($A25,Invoices!$A$9:$X$108,3,FALSE),""))</f>
        <v/>
      </c>
      <c r="M25" s="325">
        <f>IF($A25="","",IFERROR(VLOOKUP($A25,Invoices!$A$9:$X$108,4,FALSE),""))</f>
        <v/>
      </c>
      <c r="N25" s="325">
        <f>IF($A25="","",IFERROR(VLOOKUP($A25,Invoices!$A$9:$X$108,5,FALSE),""))</f>
        <v/>
      </c>
      <c r="O25" s="325">
        <f>IF(AND($A25="",$B25="",$C25="",$D25=""),"",IF(OR($A25="",$B25="",$C25&lt;=0,$D25&lt;=0,$F25="",$H25="",$K25=""),"REVIEW","OK"))</f>
        <v/>
      </c>
      <c r="P25" s="330">
        <f>IF($A25="","",LOWER($A25&amp;" "&amp;$B25&amp;" "&amp;$F25&amp;" "&amp;$G25&amp;" "&amp;$L25&amp;" "&amp;$M25&amp;" "&amp;$N25))</f>
        <v/>
      </c>
    </row>
    <row r="26">
      <c r="A26" s="205" t="n"/>
      <c r="B26" s="207" t="n"/>
      <c r="C26" s="350" t="n"/>
      <c r="D26" s="332" t="n"/>
      <c r="E26" s="326">
        <f>IF(OR($A26="",$B26="",$C26="",$D26=""),"",$C26*$D26)</f>
        <v/>
      </c>
      <c r="F26" s="325">
        <f>IF($B26="","",IFERROR(VLOOKUP($B26,Setup!$A$9:$H$30,2,FALSE),""))</f>
        <v/>
      </c>
      <c r="G26" s="325">
        <f>IF($B26="","",IFERROR(VLOOKUP($B26,Setup!$A$9:$H$30,5,FALSE),""))</f>
        <v/>
      </c>
      <c r="H26" s="326">
        <f>IF($B26="","",IFERROR(VLOOKUP($B26,Setup!$A$9:$H$30,6,FALSE),""))</f>
        <v/>
      </c>
      <c r="I26" s="326">
        <f>IF(OR($C26="",$H26=""),"",$C26*$H26)</f>
        <v/>
      </c>
      <c r="J26" s="326">
        <f>IF(OR($E26="",$I26=""),"",$E26-$I26)</f>
        <v/>
      </c>
      <c r="K26" s="329">
        <f>IF($A26="","",IFERROR(VLOOKUP($A26,Invoices!$A$9:$X$108,2,FALSE),""))</f>
        <v/>
      </c>
      <c r="L26" s="325">
        <f>IF($A26="","",IFERROR(VLOOKUP($A26,Invoices!$A$9:$X$108,3,FALSE),""))</f>
        <v/>
      </c>
      <c r="M26" s="325">
        <f>IF($A26="","",IFERROR(VLOOKUP($A26,Invoices!$A$9:$X$108,4,FALSE),""))</f>
        <v/>
      </c>
      <c r="N26" s="325">
        <f>IF($A26="","",IFERROR(VLOOKUP($A26,Invoices!$A$9:$X$108,5,FALSE),""))</f>
        <v/>
      </c>
      <c r="O26" s="325">
        <f>IF(AND($A26="",$B26="",$C26="",$D26=""),"",IF(OR($A26="",$B26="",$C26&lt;=0,$D26&lt;=0,$F26="",$H26="",$K26=""),"REVIEW","OK"))</f>
        <v/>
      </c>
      <c r="P26" s="330">
        <f>IF($A26="","",LOWER($A26&amp;" "&amp;$B26&amp;" "&amp;$F26&amp;" "&amp;$G26&amp;" "&amp;$L26&amp;" "&amp;$M26&amp;" "&amp;$N26))</f>
        <v/>
      </c>
    </row>
    <row r="27">
      <c r="A27" s="205" t="n"/>
      <c r="B27" s="207" t="n"/>
      <c r="C27" s="350" t="n"/>
      <c r="D27" s="332" t="n"/>
      <c r="E27" s="326">
        <f>IF(OR($A27="",$B27="",$C27="",$D27=""),"",$C27*$D27)</f>
        <v/>
      </c>
      <c r="F27" s="325">
        <f>IF($B27="","",IFERROR(VLOOKUP($B27,Setup!$A$9:$H$30,2,FALSE),""))</f>
        <v/>
      </c>
      <c r="G27" s="325">
        <f>IF($B27="","",IFERROR(VLOOKUP($B27,Setup!$A$9:$H$30,5,FALSE),""))</f>
        <v/>
      </c>
      <c r="H27" s="326">
        <f>IF($B27="","",IFERROR(VLOOKUP($B27,Setup!$A$9:$H$30,6,FALSE),""))</f>
        <v/>
      </c>
      <c r="I27" s="326">
        <f>IF(OR($C27="",$H27=""),"",$C27*$H27)</f>
        <v/>
      </c>
      <c r="J27" s="326">
        <f>IF(OR($E27="",$I27=""),"",$E27-$I27)</f>
        <v/>
      </c>
      <c r="K27" s="329">
        <f>IF($A27="","",IFERROR(VLOOKUP($A27,Invoices!$A$9:$X$108,2,FALSE),""))</f>
        <v/>
      </c>
      <c r="L27" s="325">
        <f>IF($A27="","",IFERROR(VLOOKUP($A27,Invoices!$A$9:$X$108,3,FALSE),""))</f>
        <v/>
      </c>
      <c r="M27" s="325">
        <f>IF($A27="","",IFERROR(VLOOKUP($A27,Invoices!$A$9:$X$108,4,FALSE),""))</f>
        <v/>
      </c>
      <c r="N27" s="325">
        <f>IF($A27="","",IFERROR(VLOOKUP($A27,Invoices!$A$9:$X$108,5,FALSE),""))</f>
        <v/>
      </c>
      <c r="O27" s="325">
        <f>IF(AND($A27="",$B27="",$C27="",$D27=""),"",IF(OR($A27="",$B27="",$C27&lt;=0,$D27&lt;=0,$F27="",$H27="",$K27=""),"REVIEW","OK"))</f>
        <v/>
      </c>
      <c r="P27" s="330">
        <f>IF($A27="","",LOWER($A27&amp;" "&amp;$B27&amp;" "&amp;$F27&amp;" "&amp;$G27&amp;" "&amp;$L27&amp;" "&amp;$M27&amp;" "&amp;$N27))</f>
        <v/>
      </c>
    </row>
    <row r="28">
      <c r="A28" s="205" t="n"/>
      <c r="B28" s="207" t="n"/>
      <c r="C28" s="350" t="n"/>
      <c r="D28" s="332" t="n"/>
      <c r="E28" s="326">
        <f>IF(OR($A28="",$B28="",$C28="",$D28=""),"",$C28*$D28)</f>
        <v/>
      </c>
      <c r="F28" s="325">
        <f>IF($B28="","",IFERROR(VLOOKUP($B28,Setup!$A$9:$H$30,2,FALSE),""))</f>
        <v/>
      </c>
      <c r="G28" s="325">
        <f>IF($B28="","",IFERROR(VLOOKUP($B28,Setup!$A$9:$H$30,5,FALSE),""))</f>
        <v/>
      </c>
      <c r="H28" s="326">
        <f>IF($B28="","",IFERROR(VLOOKUP($B28,Setup!$A$9:$H$30,6,FALSE),""))</f>
        <v/>
      </c>
      <c r="I28" s="326">
        <f>IF(OR($C28="",$H28=""),"",$C28*$H28)</f>
        <v/>
      </c>
      <c r="J28" s="326">
        <f>IF(OR($E28="",$I28=""),"",$E28-$I28)</f>
        <v/>
      </c>
      <c r="K28" s="329">
        <f>IF($A28="","",IFERROR(VLOOKUP($A28,Invoices!$A$9:$X$108,2,FALSE),""))</f>
        <v/>
      </c>
      <c r="L28" s="325">
        <f>IF($A28="","",IFERROR(VLOOKUP($A28,Invoices!$A$9:$X$108,3,FALSE),""))</f>
        <v/>
      </c>
      <c r="M28" s="325">
        <f>IF($A28="","",IFERROR(VLOOKUP($A28,Invoices!$A$9:$X$108,4,FALSE),""))</f>
        <v/>
      </c>
      <c r="N28" s="325">
        <f>IF($A28="","",IFERROR(VLOOKUP($A28,Invoices!$A$9:$X$108,5,FALSE),""))</f>
        <v/>
      </c>
      <c r="O28" s="325">
        <f>IF(AND($A28="",$B28="",$C28="",$D28=""),"",IF(OR($A28="",$B28="",$C28&lt;=0,$D28&lt;=0,$F28="",$H28="",$K28=""),"REVIEW","OK"))</f>
        <v/>
      </c>
      <c r="P28" s="330">
        <f>IF($A28="","",LOWER($A28&amp;" "&amp;$B28&amp;" "&amp;$F28&amp;" "&amp;$G28&amp;" "&amp;$L28&amp;" "&amp;$M28&amp;" "&amp;$N28))</f>
        <v/>
      </c>
    </row>
    <row r="29">
      <c r="A29" s="205" t="n"/>
      <c r="B29" s="207" t="n"/>
      <c r="C29" s="350" t="n"/>
      <c r="D29" s="332" t="n"/>
      <c r="E29" s="326">
        <f>IF(OR($A29="",$B29="",$C29="",$D29=""),"",$C29*$D29)</f>
        <v/>
      </c>
      <c r="F29" s="325">
        <f>IF($B29="","",IFERROR(VLOOKUP($B29,Setup!$A$9:$H$30,2,FALSE),""))</f>
        <v/>
      </c>
      <c r="G29" s="325">
        <f>IF($B29="","",IFERROR(VLOOKUP($B29,Setup!$A$9:$H$30,5,FALSE),""))</f>
        <v/>
      </c>
      <c r="H29" s="326">
        <f>IF($B29="","",IFERROR(VLOOKUP($B29,Setup!$A$9:$H$30,6,FALSE),""))</f>
        <v/>
      </c>
      <c r="I29" s="326">
        <f>IF(OR($C29="",$H29=""),"",$C29*$H29)</f>
        <v/>
      </c>
      <c r="J29" s="326">
        <f>IF(OR($E29="",$I29=""),"",$E29-$I29)</f>
        <v/>
      </c>
      <c r="K29" s="329">
        <f>IF($A29="","",IFERROR(VLOOKUP($A29,Invoices!$A$9:$X$108,2,FALSE),""))</f>
        <v/>
      </c>
      <c r="L29" s="325">
        <f>IF($A29="","",IFERROR(VLOOKUP($A29,Invoices!$A$9:$X$108,3,FALSE),""))</f>
        <v/>
      </c>
      <c r="M29" s="325">
        <f>IF($A29="","",IFERROR(VLOOKUP($A29,Invoices!$A$9:$X$108,4,FALSE),""))</f>
        <v/>
      </c>
      <c r="N29" s="325">
        <f>IF($A29="","",IFERROR(VLOOKUP($A29,Invoices!$A$9:$X$108,5,FALSE),""))</f>
        <v/>
      </c>
      <c r="O29" s="325">
        <f>IF(AND($A29="",$B29="",$C29="",$D29=""),"",IF(OR($A29="",$B29="",$C29&lt;=0,$D29&lt;=0,$F29="",$H29="",$K29=""),"REVIEW","OK"))</f>
        <v/>
      </c>
      <c r="P29" s="330">
        <f>IF($A29="","",LOWER($A29&amp;" "&amp;$B29&amp;" "&amp;$F29&amp;" "&amp;$G29&amp;" "&amp;$L29&amp;" "&amp;$M29&amp;" "&amp;$N29))</f>
        <v/>
      </c>
    </row>
    <row r="30">
      <c r="A30" s="205" t="n"/>
      <c r="B30" s="207" t="n"/>
      <c r="C30" s="350" t="n"/>
      <c r="D30" s="332" t="n"/>
      <c r="E30" s="326">
        <f>IF(OR($A30="",$B30="",$C30="",$D30=""),"",$C30*$D30)</f>
        <v/>
      </c>
      <c r="F30" s="325">
        <f>IF($B30="","",IFERROR(VLOOKUP($B30,Setup!$A$9:$H$30,2,FALSE),""))</f>
        <v/>
      </c>
      <c r="G30" s="325">
        <f>IF($B30="","",IFERROR(VLOOKUP($B30,Setup!$A$9:$H$30,5,FALSE),""))</f>
        <v/>
      </c>
      <c r="H30" s="326">
        <f>IF($B30="","",IFERROR(VLOOKUP($B30,Setup!$A$9:$H$30,6,FALSE),""))</f>
        <v/>
      </c>
      <c r="I30" s="326">
        <f>IF(OR($C30="",$H30=""),"",$C30*$H30)</f>
        <v/>
      </c>
      <c r="J30" s="326">
        <f>IF(OR($E30="",$I30=""),"",$E30-$I30)</f>
        <v/>
      </c>
      <c r="K30" s="329">
        <f>IF($A30="","",IFERROR(VLOOKUP($A30,Invoices!$A$9:$X$108,2,FALSE),""))</f>
        <v/>
      </c>
      <c r="L30" s="325">
        <f>IF($A30="","",IFERROR(VLOOKUP($A30,Invoices!$A$9:$X$108,3,FALSE),""))</f>
        <v/>
      </c>
      <c r="M30" s="325">
        <f>IF($A30="","",IFERROR(VLOOKUP($A30,Invoices!$A$9:$X$108,4,FALSE),""))</f>
        <v/>
      </c>
      <c r="N30" s="325">
        <f>IF($A30="","",IFERROR(VLOOKUP($A30,Invoices!$A$9:$X$108,5,FALSE),""))</f>
        <v/>
      </c>
      <c r="O30" s="325">
        <f>IF(AND($A30="",$B30="",$C30="",$D30=""),"",IF(OR($A30="",$B30="",$C30&lt;=0,$D30&lt;=0,$F30="",$H30="",$K30=""),"REVIEW","OK"))</f>
        <v/>
      </c>
      <c r="P30" s="330">
        <f>IF($A30="","",LOWER($A30&amp;" "&amp;$B30&amp;" "&amp;$F30&amp;" "&amp;$G30&amp;" "&amp;$L30&amp;" "&amp;$M30&amp;" "&amp;$N30))</f>
        <v/>
      </c>
    </row>
    <row r="31">
      <c r="A31" s="205" t="n"/>
      <c r="B31" s="207" t="n"/>
      <c r="C31" s="350" t="n"/>
      <c r="D31" s="332" t="n"/>
      <c r="E31" s="326">
        <f>IF(OR($A31="",$B31="",$C31="",$D31=""),"",$C31*$D31)</f>
        <v/>
      </c>
      <c r="F31" s="325">
        <f>IF($B31="","",IFERROR(VLOOKUP($B31,Setup!$A$9:$H$30,2,FALSE),""))</f>
        <v/>
      </c>
      <c r="G31" s="325">
        <f>IF($B31="","",IFERROR(VLOOKUP($B31,Setup!$A$9:$H$30,5,FALSE),""))</f>
        <v/>
      </c>
      <c r="H31" s="326">
        <f>IF($B31="","",IFERROR(VLOOKUP($B31,Setup!$A$9:$H$30,6,FALSE),""))</f>
        <v/>
      </c>
      <c r="I31" s="326">
        <f>IF(OR($C31="",$H31=""),"",$C31*$H31)</f>
        <v/>
      </c>
      <c r="J31" s="326">
        <f>IF(OR($E31="",$I31=""),"",$E31-$I31)</f>
        <v/>
      </c>
      <c r="K31" s="329">
        <f>IF($A31="","",IFERROR(VLOOKUP($A31,Invoices!$A$9:$X$108,2,FALSE),""))</f>
        <v/>
      </c>
      <c r="L31" s="325">
        <f>IF($A31="","",IFERROR(VLOOKUP($A31,Invoices!$A$9:$X$108,3,FALSE),""))</f>
        <v/>
      </c>
      <c r="M31" s="325">
        <f>IF($A31="","",IFERROR(VLOOKUP($A31,Invoices!$A$9:$X$108,4,FALSE),""))</f>
        <v/>
      </c>
      <c r="N31" s="325">
        <f>IF($A31="","",IFERROR(VLOOKUP($A31,Invoices!$A$9:$X$108,5,FALSE),""))</f>
        <v/>
      </c>
      <c r="O31" s="325">
        <f>IF(AND($A31="",$B31="",$C31="",$D31=""),"",IF(OR($A31="",$B31="",$C31&lt;=0,$D31&lt;=0,$F31="",$H31="",$K31=""),"REVIEW","OK"))</f>
        <v/>
      </c>
      <c r="P31" s="330">
        <f>IF($A31="","",LOWER($A31&amp;" "&amp;$B31&amp;" "&amp;$F31&amp;" "&amp;$G31&amp;" "&amp;$L31&amp;" "&amp;$M31&amp;" "&amp;$N31))</f>
        <v/>
      </c>
    </row>
    <row r="32">
      <c r="A32" s="205" t="n"/>
      <c r="B32" s="207" t="n"/>
      <c r="C32" s="350" t="n"/>
      <c r="D32" s="332" t="n"/>
      <c r="E32" s="326">
        <f>IF(OR($A32="",$B32="",$C32="",$D32=""),"",$C32*$D32)</f>
        <v/>
      </c>
      <c r="F32" s="325">
        <f>IF($B32="","",IFERROR(VLOOKUP($B32,Setup!$A$9:$H$30,2,FALSE),""))</f>
        <v/>
      </c>
      <c r="G32" s="325">
        <f>IF($B32="","",IFERROR(VLOOKUP($B32,Setup!$A$9:$H$30,5,FALSE),""))</f>
        <v/>
      </c>
      <c r="H32" s="326">
        <f>IF($B32="","",IFERROR(VLOOKUP($B32,Setup!$A$9:$H$30,6,FALSE),""))</f>
        <v/>
      </c>
      <c r="I32" s="326">
        <f>IF(OR($C32="",$H32=""),"",$C32*$H32)</f>
        <v/>
      </c>
      <c r="J32" s="326">
        <f>IF(OR($E32="",$I32=""),"",$E32-$I32)</f>
        <v/>
      </c>
      <c r="K32" s="329">
        <f>IF($A32="","",IFERROR(VLOOKUP($A32,Invoices!$A$9:$X$108,2,FALSE),""))</f>
        <v/>
      </c>
      <c r="L32" s="325">
        <f>IF($A32="","",IFERROR(VLOOKUP($A32,Invoices!$A$9:$X$108,3,FALSE),""))</f>
        <v/>
      </c>
      <c r="M32" s="325">
        <f>IF($A32="","",IFERROR(VLOOKUP($A32,Invoices!$A$9:$X$108,4,FALSE),""))</f>
        <v/>
      </c>
      <c r="N32" s="325">
        <f>IF($A32="","",IFERROR(VLOOKUP($A32,Invoices!$A$9:$X$108,5,FALSE),""))</f>
        <v/>
      </c>
      <c r="O32" s="325">
        <f>IF(AND($A32="",$B32="",$C32="",$D32=""),"",IF(OR($A32="",$B32="",$C32&lt;=0,$D32&lt;=0,$F32="",$H32="",$K32=""),"REVIEW","OK"))</f>
        <v/>
      </c>
      <c r="P32" s="330">
        <f>IF($A32="","",LOWER($A32&amp;" "&amp;$B32&amp;" "&amp;$F32&amp;" "&amp;$G32&amp;" "&amp;$L32&amp;" "&amp;$M32&amp;" "&amp;$N32))</f>
        <v/>
      </c>
    </row>
    <row r="33">
      <c r="A33" s="205" t="n"/>
      <c r="B33" s="207" t="n"/>
      <c r="C33" s="350" t="n"/>
      <c r="D33" s="332" t="n"/>
      <c r="E33" s="326">
        <f>IF(OR($A33="",$B33="",$C33="",$D33=""),"",$C33*$D33)</f>
        <v/>
      </c>
      <c r="F33" s="325">
        <f>IF($B33="","",IFERROR(VLOOKUP($B33,Setup!$A$9:$H$30,2,FALSE),""))</f>
        <v/>
      </c>
      <c r="G33" s="325">
        <f>IF($B33="","",IFERROR(VLOOKUP($B33,Setup!$A$9:$H$30,5,FALSE),""))</f>
        <v/>
      </c>
      <c r="H33" s="326">
        <f>IF($B33="","",IFERROR(VLOOKUP($B33,Setup!$A$9:$H$30,6,FALSE),""))</f>
        <v/>
      </c>
      <c r="I33" s="326">
        <f>IF(OR($C33="",$H33=""),"",$C33*$H33)</f>
        <v/>
      </c>
      <c r="J33" s="326">
        <f>IF(OR($E33="",$I33=""),"",$E33-$I33)</f>
        <v/>
      </c>
      <c r="K33" s="329">
        <f>IF($A33="","",IFERROR(VLOOKUP($A33,Invoices!$A$9:$X$108,2,FALSE),""))</f>
        <v/>
      </c>
      <c r="L33" s="325">
        <f>IF($A33="","",IFERROR(VLOOKUP($A33,Invoices!$A$9:$X$108,3,FALSE),""))</f>
        <v/>
      </c>
      <c r="M33" s="325">
        <f>IF($A33="","",IFERROR(VLOOKUP($A33,Invoices!$A$9:$X$108,4,FALSE),""))</f>
        <v/>
      </c>
      <c r="N33" s="325">
        <f>IF($A33="","",IFERROR(VLOOKUP($A33,Invoices!$A$9:$X$108,5,FALSE),""))</f>
        <v/>
      </c>
      <c r="O33" s="325">
        <f>IF(AND($A33="",$B33="",$C33="",$D33=""),"",IF(OR($A33="",$B33="",$C33&lt;=0,$D33&lt;=0,$F33="",$H33="",$K33=""),"REVIEW","OK"))</f>
        <v/>
      </c>
      <c r="P33" s="330">
        <f>IF($A33="","",LOWER($A33&amp;" "&amp;$B33&amp;" "&amp;$F33&amp;" "&amp;$G33&amp;" "&amp;$L33&amp;" "&amp;$M33&amp;" "&amp;$N33))</f>
        <v/>
      </c>
    </row>
    <row r="34">
      <c r="A34" s="205" t="n"/>
      <c r="B34" s="207" t="n"/>
      <c r="C34" s="350" t="n"/>
      <c r="D34" s="332" t="n"/>
      <c r="E34" s="326">
        <f>IF(OR($A34="",$B34="",$C34="",$D34=""),"",$C34*$D34)</f>
        <v/>
      </c>
      <c r="F34" s="325">
        <f>IF($B34="","",IFERROR(VLOOKUP($B34,Setup!$A$9:$H$30,2,FALSE),""))</f>
        <v/>
      </c>
      <c r="G34" s="325">
        <f>IF($B34="","",IFERROR(VLOOKUP($B34,Setup!$A$9:$H$30,5,FALSE),""))</f>
        <v/>
      </c>
      <c r="H34" s="326">
        <f>IF($B34="","",IFERROR(VLOOKUP($B34,Setup!$A$9:$H$30,6,FALSE),""))</f>
        <v/>
      </c>
      <c r="I34" s="326">
        <f>IF(OR($C34="",$H34=""),"",$C34*$H34)</f>
        <v/>
      </c>
      <c r="J34" s="326">
        <f>IF(OR($E34="",$I34=""),"",$E34-$I34)</f>
        <v/>
      </c>
      <c r="K34" s="329">
        <f>IF($A34="","",IFERROR(VLOOKUP($A34,Invoices!$A$9:$X$108,2,FALSE),""))</f>
        <v/>
      </c>
      <c r="L34" s="325">
        <f>IF($A34="","",IFERROR(VLOOKUP($A34,Invoices!$A$9:$X$108,3,FALSE),""))</f>
        <v/>
      </c>
      <c r="M34" s="325">
        <f>IF($A34="","",IFERROR(VLOOKUP($A34,Invoices!$A$9:$X$108,4,FALSE),""))</f>
        <v/>
      </c>
      <c r="N34" s="325">
        <f>IF($A34="","",IFERROR(VLOOKUP($A34,Invoices!$A$9:$X$108,5,FALSE),""))</f>
        <v/>
      </c>
      <c r="O34" s="325">
        <f>IF(AND($A34="",$B34="",$C34="",$D34=""),"",IF(OR($A34="",$B34="",$C34&lt;=0,$D34&lt;=0,$F34="",$H34="",$K34=""),"REVIEW","OK"))</f>
        <v/>
      </c>
      <c r="P34" s="330">
        <f>IF($A34="","",LOWER($A34&amp;" "&amp;$B34&amp;" "&amp;$F34&amp;" "&amp;$G34&amp;" "&amp;$L34&amp;" "&amp;$M34&amp;" "&amp;$N34))</f>
        <v/>
      </c>
    </row>
    <row r="35">
      <c r="A35" s="205" t="n"/>
      <c r="B35" s="207" t="n"/>
      <c r="C35" s="350" t="n"/>
      <c r="D35" s="332" t="n"/>
      <c r="E35" s="326">
        <f>IF(OR($A35="",$B35="",$C35="",$D35=""),"",$C35*$D35)</f>
        <v/>
      </c>
      <c r="F35" s="325">
        <f>IF($B35="","",IFERROR(VLOOKUP($B35,Setup!$A$9:$H$30,2,FALSE),""))</f>
        <v/>
      </c>
      <c r="G35" s="325">
        <f>IF($B35="","",IFERROR(VLOOKUP($B35,Setup!$A$9:$H$30,5,FALSE),""))</f>
        <v/>
      </c>
      <c r="H35" s="326">
        <f>IF($B35="","",IFERROR(VLOOKUP($B35,Setup!$A$9:$H$30,6,FALSE),""))</f>
        <v/>
      </c>
      <c r="I35" s="326">
        <f>IF(OR($C35="",$H35=""),"",$C35*$H35)</f>
        <v/>
      </c>
      <c r="J35" s="326">
        <f>IF(OR($E35="",$I35=""),"",$E35-$I35)</f>
        <v/>
      </c>
      <c r="K35" s="329">
        <f>IF($A35="","",IFERROR(VLOOKUP($A35,Invoices!$A$9:$X$108,2,FALSE),""))</f>
        <v/>
      </c>
      <c r="L35" s="325">
        <f>IF($A35="","",IFERROR(VLOOKUP($A35,Invoices!$A$9:$X$108,3,FALSE),""))</f>
        <v/>
      </c>
      <c r="M35" s="325">
        <f>IF($A35="","",IFERROR(VLOOKUP($A35,Invoices!$A$9:$X$108,4,FALSE),""))</f>
        <v/>
      </c>
      <c r="N35" s="325">
        <f>IF($A35="","",IFERROR(VLOOKUP($A35,Invoices!$A$9:$X$108,5,FALSE),""))</f>
        <v/>
      </c>
      <c r="O35" s="325">
        <f>IF(AND($A35="",$B35="",$C35="",$D35=""),"",IF(OR($A35="",$B35="",$C35&lt;=0,$D35&lt;=0,$F35="",$H35="",$K35=""),"REVIEW","OK"))</f>
        <v/>
      </c>
      <c r="P35" s="330">
        <f>IF($A35="","",LOWER($A35&amp;" "&amp;$B35&amp;" "&amp;$F35&amp;" "&amp;$G35&amp;" "&amp;$L35&amp;" "&amp;$M35&amp;" "&amp;$N35))</f>
        <v/>
      </c>
    </row>
    <row r="36">
      <c r="A36" s="205" t="n"/>
      <c r="B36" s="207" t="n"/>
      <c r="C36" s="350" t="n"/>
      <c r="D36" s="332" t="n"/>
      <c r="E36" s="326">
        <f>IF(OR($A36="",$B36="",$C36="",$D36=""),"",$C36*$D36)</f>
        <v/>
      </c>
      <c r="F36" s="325">
        <f>IF($B36="","",IFERROR(VLOOKUP($B36,Setup!$A$9:$H$30,2,FALSE),""))</f>
        <v/>
      </c>
      <c r="G36" s="325">
        <f>IF($B36="","",IFERROR(VLOOKUP($B36,Setup!$A$9:$H$30,5,FALSE),""))</f>
        <v/>
      </c>
      <c r="H36" s="326">
        <f>IF($B36="","",IFERROR(VLOOKUP($B36,Setup!$A$9:$H$30,6,FALSE),""))</f>
        <v/>
      </c>
      <c r="I36" s="326">
        <f>IF(OR($C36="",$H36=""),"",$C36*$H36)</f>
        <v/>
      </c>
      <c r="J36" s="326">
        <f>IF(OR($E36="",$I36=""),"",$E36-$I36)</f>
        <v/>
      </c>
      <c r="K36" s="329">
        <f>IF($A36="","",IFERROR(VLOOKUP($A36,Invoices!$A$9:$X$108,2,FALSE),""))</f>
        <v/>
      </c>
      <c r="L36" s="325">
        <f>IF($A36="","",IFERROR(VLOOKUP($A36,Invoices!$A$9:$X$108,3,FALSE),""))</f>
        <v/>
      </c>
      <c r="M36" s="325">
        <f>IF($A36="","",IFERROR(VLOOKUP($A36,Invoices!$A$9:$X$108,4,FALSE),""))</f>
        <v/>
      </c>
      <c r="N36" s="325">
        <f>IF($A36="","",IFERROR(VLOOKUP($A36,Invoices!$A$9:$X$108,5,FALSE),""))</f>
        <v/>
      </c>
      <c r="O36" s="325">
        <f>IF(AND($A36="",$B36="",$C36="",$D36=""),"",IF(OR($A36="",$B36="",$C36&lt;=0,$D36&lt;=0,$F36="",$H36="",$K36=""),"REVIEW","OK"))</f>
        <v/>
      </c>
      <c r="P36" s="330">
        <f>IF($A36="","",LOWER($A36&amp;" "&amp;$B36&amp;" "&amp;$F36&amp;" "&amp;$G36&amp;" "&amp;$L36&amp;" "&amp;$M36&amp;" "&amp;$N36))</f>
        <v/>
      </c>
    </row>
    <row r="37">
      <c r="A37" s="205" t="n"/>
      <c r="B37" s="207" t="n"/>
      <c r="C37" s="350" t="n"/>
      <c r="D37" s="332" t="n"/>
      <c r="E37" s="326">
        <f>IF(OR($A37="",$B37="",$C37="",$D37=""),"",$C37*$D37)</f>
        <v/>
      </c>
      <c r="F37" s="325">
        <f>IF($B37="","",IFERROR(VLOOKUP($B37,Setup!$A$9:$H$30,2,FALSE),""))</f>
        <v/>
      </c>
      <c r="G37" s="325">
        <f>IF($B37="","",IFERROR(VLOOKUP($B37,Setup!$A$9:$H$30,5,FALSE),""))</f>
        <v/>
      </c>
      <c r="H37" s="326">
        <f>IF($B37="","",IFERROR(VLOOKUP($B37,Setup!$A$9:$H$30,6,FALSE),""))</f>
        <v/>
      </c>
      <c r="I37" s="326">
        <f>IF(OR($C37="",$H37=""),"",$C37*$H37)</f>
        <v/>
      </c>
      <c r="J37" s="326">
        <f>IF(OR($E37="",$I37=""),"",$E37-$I37)</f>
        <v/>
      </c>
      <c r="K37" s="329">
        <f>IF($A37="","",IFERROR(VLOOKUP($A37,Invoices!$A$9:$X$108,2,FALSE),""))</f>
        <v/>
      </c>
      <c r="L37" s="325">
        <f>IF($A37="","",IFERROR(VLOOKUP($A37,Invoices!$A$9:$X$108,3,FALSE),""))</f>
        <v/>
      </c>
      <c r="M37" s="325">
        <f>IF($A37="","",IFERROR(VLOOKUP($A37,Invoices!$A$9:$X$108,4,FALSE),""))</f>
        <v/>
      </c>
      <c r="N37" s="325">
        <f>IF($A37="","",IFERROR(VLOOKUP($A37,Invoices!$A$9:$X$108,5,FALSE),""))</f>
        <v/>
      </c>
      <c r="O37" s="325">
        <f>IF(AND($A37="",$B37="",$C37="",$D37=""),"",IF(OR($A37="",$B37="",$C37&lt;=0,$D37&lt;=0,$F37="",$H37="",$K37=""),"REVIEW","OK"))</f>
        <v/>
      </c>
      <c r="P37" s="330">
        <f>IF($A37="","",LOWER($A37&amp;" "&amp;$B37&amp;" "&amp;$F37&amp;" "&amp;$G37&amp;" "&amp;$L37&amp;" "&amp;$M37&amp;" "&amp;$N37))</f>
        <v/>
      </c>
    </row>
    <row r="38">
      <c r="A38" s="205" t="n"/>
      <c r="B38" s="207" t="n"/>
      <c r="C38" s="350" t="n"/>
      <c r="D38" s="332" t="n"/>
      <c r="E38" s="326">
        <f>IF(OR($A38="",$B38="",$C38="",$D38=""),"",$C38*$D38)</f>
        <v/>
      </c>
      <c r="F38" s="325">
        <f>IF($B38="","",IFERROR(VLOOKUP($B38,Setup!$A$9:$H$30,2,FALSE),""))</f>
        <v/>
      </c>
      <c r="G38" s="325">
        <f>IF($B38="","",IFERROR(VLOOKUP($B38,Setup!$A$9:$H$30,5,FALSE),""))</f>
        <v/>
      </c>
      <c r="H38" s="326">
        <f>IF($B38="","",IFERROR(VLOOKUP($B38,Setup!$A$9:$H$30,6,FALSE),""))</f>
        <v/>
      </c>
      <c r="I38" s="326">
        <f>IF(OR($C38="",$H38=""),"",$C38*$H38)</f>
        <v/>
      </c>
      <c r="J38" s="326">
        <f>IF(OR($E38="",$I38=""),"",$E38-$I38)</f>
        <v/>
      </c>
      <c r="K38" s="329">
        <f>IF($A38="","",IFERROR(VLOOKUP($A38,Invoices!$A$9:$X$108,2,FALSE),""))</f>
        <v/>
      </c>
      <c r="L38" s="325">
        <f>IF($A38="","",IFERROR(VLOOKUP($A38,Invoices!$A$9:$X$108,3,FALSE),""))</f>
        <v/>
      </c>
      <c r="M38" s="325">
        <f>IF($A38="","",IFERROR(VLOOKUP($A38,Invoices!$A$9:$X$108,4,FALSE),""))</f>
        <v/>
      </c>
      <c r="N38" s="325">
        <f>IF($A38="","",IFERROR(VLOOKUP($A38,Invoices!$A$9:$X$108,5,FALSE),""))</f>
        <v/>
      </c>
      <c r="O38" s="325">
        <f>IF(AND($A38="",$B38="",$C38="",$D38=""),"",IF(OR($A38="",$B38="",$C38&lt;=0,$D38&lt;=0,$F38="",$H38="",$K38=""),"REVIEW","OK"))</f>
        <v/>
      </c>
      <c r="P38" s="330">
        <f>IF($A38="","",LOWER($A38&amp;" "&amp;$B38&amp;" "&amp;$F38&amp;" "&amp;$G38&amp;" "&amp;$L38&amp;" "&amp;$M38&amp;" "&amp;$N38))</f>
        <v/>
      </c>
    </row>
    <row r="39">
      <c r="A39" s="205" t="n"/>
      <c r="B39" s="207" t="n"/>
      <c r="C39" s="350" t="n"/>
      <c r="D39" s="332" t="n"/>
      <c r="E39" s="326">
        <f>IF(OR($A39="",$B39="",$C39="",$D39=""),"",$C39*$D39)</f>
        <v/>
      </c>
      <c r="F39" s="325">
        <f>IF($B39="","",IFERROR(VLOOKUP($B39,Setup!$A$9:$H$30,2,FALSE),""))</f>
        <v/>
      </c>
      <c r="G39" s="325">
        <f>IF($B39="","",IFERROR(VLOOKUP($B39,Setup!$A$9:$H$30,5,FALSE),""))</f>
        <v/>
      </c>
      <c r="H39" s="326">
        <f>IF($B39="","",IFERROR(VLOOKUP($B39,Setup!$A$9:$H$30,6,FALSE),""))</f>
        <v/>
      </c>
      <c r="I39" s="326">
        <f>IF(OR($C39="",$H39=""),"",$C39*$H39)</f>
        <v/>
      </c>
      <c r="J39" s="326">
        <f>IF(OR($E39="",$I39=""),"",$E39-$I39)</f>
        <v/>
      </c>
      <c r="K39" s="329">
        <f>IF($A39="","",IFERROR(VLOOKUP($A39,Invoices!$A$9:$X$108,2,FALSE),""))</f>
        <v/>
      </c>
      <c r="L39" s="325">
        <f>IF($A39="","",IFERROR(VLOOKUP($A39,Invoices!$A$9:$X$108,3,FALSE),""))</f>
        <v/>
      </c>
      <c r="M39" s="325">
        <f>IF($A39="","",IFERROR(VLOOKUP($A39,Invoices!$A$9:$X$108,4,FALSE),""))</f>
        <v/>
      </c>
      <c r="N39" s="325">
        <f>IF($A39="","",IFERROR(VLOOKUP($A39,Invoices!$A$9:$X$108,5,FALSE),""))</f>
        <v/>
      </c>
      <c r="O39" s="325">
        <f>IF(AND($A39="",$B39="",$C39="",$D39=""),"",IF(OR($A39="",$B39="",$C39&lt;=0,$D39&lt;=0,$F39="",$H39="",$K39=""),"REVIEW","OK"))</f>
        <v/>
      </c>
      <c r="P39" s="330">
        <f>IF($A39="","",LOWER($A39&amp;" "&amp;$B39&amp;" "&amp;$F39&amp;" "&amp;$G39&amp;" "&amp;$L39&amp;" "&amp;$M39&amp;" "&amp;$N39))</f>
        <v/>
      </c>
    </row>
    <row r="40">
      <c r="A40" s="205" t="n"/>
      <c r="B40" s="207" t="n"/>
      <c r="C40" s="350" t="n"/>
      <c r="D40" s="332" t="n"/>
      <c r="E40" s="326">
        <f>IF(OR($A40="",$B40="",$C40="",$D40=""),"",$C40*$D40)</f>
        <v/>
      </c>
      <c r="F40" s="325">
        <f>IF($B40="","",IFERROR(VLOOKUP($B40,Setup!$A$9:$H$30,2,FALSE),""))</f>
        <v/>
      </c>
      <c r="G40" s="325">
        <f>IF($B40="","",IFERROR(VLOOKUP($B40,Setup!$A$9:$H$30,5,FALSE),""))</f>
        <v/>
      </c>
      <c r="H40" s="326">
        <f>IF($B40="","",IFERROR(VLOOKUP($B40,Setup!$A$9:$H$30,6,FALSE),""))</f>
        <v/>
      </c>
      <c r="I40" s="326">
        <f>IF(OR($C40="",$H40=""),"",$C40*$H40)</f>
        <v/>
      </c>
      <c r="J40" s="326">
        <f>IF(OR($E40="",$I40=""),"",$E40-$I40)</f>
        <v/>
      </c>
      <c r="K40" s="329">
        <f>IF($A40="","",IFERROR(VLOOKUP($A40,Invoices!$A$9:$X$108,2,FALSE),""))</f>
        <v/>
      </c>
      <c r="L40" s="325">
        <f>IF($A40="","",IFERROR(VLOOKUP($A40,Invoices!$A$9:$X$108,3,FALSE),""))</f>
        <v/>
      </c>
      <c r="M40" s="325">
        <f>IF($A40="","",IFERROR(VLOOKUP($A40,Invoices!$A$9:$X$108,4,FALSE),""))</f>
        <v/>
      </c>
      <c r="N40" s="325">
        <f>IF($A40="","",IFERROR(VLOOKUP($A40,Invoices!$A$9:$X$108,5,FALSE),""))</f>
        <v/>
      </c>
      <c r="O40" s="325">
        <f>IF(AND($A40="",$B40="",$C40="",$D40=""),"",IF(OR($A40="",$B40="",$C40&lt;=0,$D40&lt;=0,$F40="",$H40="",$K40=""),"REVIEW","OK"))</f>
        <v/>
      </c>
      <c r="P40" s="330">
        <f>IF($A40="","",LOWER($A40&amp;" "&amp;$B40&amp;" "&amp;$F40&amp;" "&amp;$G40&amp;" "&amp;$L40&amp;" "&amp;$M40&amp;" "&amp;$N40))</f>
        <v/>
      </c>
    </row>
    <row r="41">
      <c r="A41" s="205" t="n"/>
      <c r="B41" s="207" t="n"/>
      <c r="C41" s="350" t="n"/>
      <c r="D41" s="332" t="n"/>
      <c r="E41" s="326">
        <f>IF(OR($A41="",$B41="",$C41="",$D41=""),"",$C41*$D41)</f>
        <v/>
      </c>
      <c r="F41" s="325">
        <f>IF($B41="","",IFERROR(VLOOKUP($B41,Setup!$A$9:$H$30,2,FALSE),""))</f>
        <v/>
      </c>
      <c r="G41" s="325">
        <f>IF($B41="","",IFERROR(VLOOKUP($B41,Setup!$A$9:$H$30,5,FALSE),""))</f>
        <v/>
      </c>
      <c r="H41" s="326">
        <f>IF($B41="","",IFERROR(VLOOKUP($B41,Setup!$A$9:$H$30,6,FALSE),""))</f>
        <v/>
      </c>
      <c r="I41" s="326">
        <f>IF(OR($C41="",$H41=""),"",$C41*$H41)</f>
        <v/>
      </c>
      <c r="J41" s="326">
        <f>IF(OR($E41="",$I41=""),"",$E41-$I41)</f>
        <v/>
      </c>
      <c r="K41" s="329">
        <f>IF($A41="","",IFERROR(VLOOKUP($A41,Invoices!$A$9:$X$108,2,FALSE),""))</f>
        <v/>
      </c>
      <c r="L41" s="325">
        <f>IF($A41="","",IFERROR(VLOOKUP($A41,Invoices!$A$9:$X$108,3,FALSE),""))</f>
        <v/>
      </c>
      <c r="M41" s="325">
        <f>IF($A41="","",IFERROR(VLOOKUP($A41,Invoices!$A$9:$X$108,4,FALSE),""))</f>
        <v/>
      </c>
      <c r="N41" s="325">
        <f>IF($A41="","",IFERROR(VLOOKUP($A41,Invoices!$A$9:$X$108,5,FALSE),""))</f>
        <v/>
      </c>
      <c r="O41" s="325">
        <f>IF(AND($A41="",$B41="",$C41="",$D41=""),"",IF(OR($A41="",$B41="",$C41&lt;=0,$D41&lt;=0,$F41="",$H41="",$K41=""),"REVIEW","OK"))</f>
        <v/>
      </c>
      <c r="P41" s="330">
        <f>IF($A41="","",LOWER($A41&amp;" "&amp;$B41&amp;" "&amp;$F41&amp;" "&amp;$G41&amp;" "&amp;$L41&amp;" "&amp;$M41&amp;" "&amp;$N41))</f>
        <v/>
      </c>
    </row>
    <row r="42">
      <c r="A42" s="205" t="n"/>
      <c r="B42" s="207" t="n"/>
      <c r="C42" s="350" t="n"/>
      <c r="D42" s="332" t="n"/>
      <c r="E42" s="326">
        <f>IF(OR($A42="",$B42="",$C42="",$D42=""),"",$C42*$D42)</f>
        <v/>
      </c>
      <c r="F42" s="325">
        <f>IF($B42="","",IFERROR(VLOOKUP($B42,Setup!$A$9:$H$30,2,FALSE),""))</f>
        <v/>
      </c>
      <c r="G42" s="325">
        <f>IF($B42="","",IFERROR(VLOOKUP($B42,Setup!$A$9:$H$30,5,FALSE),""))</f>
        <v/>
      </c>
      <c r="H42" s="326">
        <f>IF($B42="","",IFERROR(VLOOKUP($B42,Setup!$A$9:$H$30,6,FALSE),""))</f>
        <v/>
      </c>
      <c r="I42" s="326">
        <f>IF(OR($C42="",$H42=""),"",$C42*$H42)</f>
        <v/>
      </c>
      <c r="J42" s="326">
        <f>IF(OR($E42="",$I42=""),"",$E42-$I42)</f>
        <v/>
      </c>
      <c r="K42" s="329">
        <f>IF($A42="","",IFERROR(VLOOKUP($A42,Invoices!$A$9:$X$108,2,FALSE),""))</f>
        <v/>
      </c>
      <c r="L42" s="325">
        <f>IF($A42="","",IFERROR(VLOOKUP($A42,Invoices!$A$9:$X$108,3,FALSE),""))</f>
        <v/>
      </c>
      <c r="M42" s="325">
        <f>IF($A42="","",IFERROR(VLOOKUP($A42,Invoices!$A$9:$X$108,4,FALSE),""))</f>
        <v/>
      </c>
      <c r="N42" s="325">
        <f>IF($A42="","",IFERROR(VLOOKUP($A42,Invoices!$A$9:$X$108,5,FALSE),""))</f>
        <v/>
      </c>
      <c r="O42" s="325">
        <f>IF(AND($A42="",$B42="",$C42="",$D42=""),"",IF(OR($A42="",$B42="",$C42&lt;=0,$D42&lt;=0,$F42="",$H42="",$K42=""),"REVIEW","OK"))</f>
        <v/>
      </c>
      <c r="P42" s="330">
        <f>IF($A42="","",LOWER($A42&amp;" "&amp;$B42&amp;" "&amp;$F42&amp;" "&amp;$G42&amp;" "&amp;$L42&amp;" "&amp;$M42&amp;" "&amp;$N42))</f>
        <v/>
      </c>
    </row>
    <row r="43">
      <c r="A43" s="205" t="n"/>
      <c r="B43" s="207" t="n"/>
      <c r="C43" s="350" t="n"/>
      <c r="D43" s="332" t="n"/>
      <c r="E43" s="326">
        <f>IF(OR($A43="",$B43="",$C43="",$D43=""),"",$C43*$D43)</f>
        <v/>
      </c>
      <c r="F43" s="325">
        <f>IF($B43="","",IFERROR(VLOOKUP($B43,Setup!$A$9:$H$30,2,FALSE),""))</f>
        <v/>
      </c>
      <c r="G43" s="325">
        <f>IF($B43="","",IFERROR(VLOOKUP($B43,Setup!$A$9:$H$30,5,FALSE),""))</f>
        <v/>
      </c>
      <c r="H43" s="326">
        <f>IF($B43="","",IFERROR(VLOOKUP($B43,Setup!$A$9:$H$30,6,FALSE),""))</f>
        <v/>
      </c>
      <c r="I43" s="326">
        <f>IF(OR($C43="",$H43=""),"",$C43*$H43)</f>
        <v/>
      </c>
      <c r="J43" s="326">
        <f>IF(OR($E43="",$I43=""),"",$E43-$I43)</f>
        <v/>
      </c>
      <c r="K43" s="329">
        <f>IF($A43="","",IFERROR(VLOOKUP($A43,Invoices!$A$9:$X$108,2,FALSE),""))</f>
        <v/>
      </c>
      <c r="L43" s="325">
        <f>IF($A43="","",IFERROR(VLOOKUP($A43,Invoices!$A$9:$X$108,3,FALSE),""))</f>
        <v/>
      </c>
      <c r="M43" s="325">
        <f>IF($A43="","",IFERROR(VLOOKUP($A43,Invoices!$A$9:$X$108,4,FALSE),""))</f>
        <v/>
      </c>
      <c r="N43" s="325">
        <f>IF($A43="","",IFERROR(VLOOKUP($A43,Invoices!$A$9:$X$108,5,FALSE),""))</f>
        <v/>
      </c>
      <c r="O43" s="325">
        <f>IF(AND($A43="",$B43="",$C43="",$D43=""),"",IF(OR($A43="",$B43="",$C43&lt;=0,$D43&lt;=0,$F43="",$H43="",$K43=""),"REVIEW","OK"))</f>
        <v/>
      </c>
      <c r="P43" s="330">
        <f>IF($A43="","",LOWER($A43&amp;" "&amp;$B43&amp;" "&amp;$F43&amp;" "&amp;$G43&amp;" "&amp;$L43&amp;" "&amp;$M43&amp;" "&amp;$N43))</f>
        <v/>
      </c>
    </row>
    <row r="44">
      <c r="A44" s="205" t="n"/>
      <c r="B44" s="207" t="n"/>
      <c r="C44" s="350" t="n"/>
      <c r="D44" s="332" t="n"/>
      <c r="E44" s="326">
        <f>IF(OR($A44="",$B44="",$C44="",$D44=""),"",$C44*$D44)</f>
        <v/>
      </c>
      <c r="F44" s="325">
        <f>IF($B44="","",IFERROR(VLOOKUP($B44,Setup!$A$9:$H$30,2,FALSE),""))</f>
        <v/>
      </c>
      <c r="G44" s="325">
        <f>IF($B44="","",IFERROR(VLOOKUP($B44,Setup!$A$9:$H$30,5,FALSE),""))</f>
        <v/>
      </c>
      <c r="H44" s="326">
        <f>IF($B44="","",IFERROR(VLOOKUP($B44,Setup!$A$9:$H$30,6,FALSE),""))</f>
        <v/>
      </c>
      <c r="I44" s="326">
        <f>IF(OR($C44="",$H44=""),"",$C44*$H44)</f>
        <v/>
      </c>
      <c r="J44" s="326">
        <f>IF(OR($E44="",$I44=""),"",$E44-$I44)</f>
        <v/>
      </c>
      <c r="K44" s="329">
        <f>IF($A44="","",IFERROR(VLOOKUP($A44,Invoices!$A$9:$X$108,2,FALSE),""))</f>
        <v/>
      </c>
      <c r="L44" s="325">
        <f>IF($A44="","",IFERROR(VLOOKUP($A44,Invoices!$A$9:$X$108,3,FALSE),""))</f>
        <v/>
      </c>
      <c r="M44" s="325">
        <f>IF($A44="","",IFERROR(VLOOKUP($A44,Invoices!$A$9:$X$108,4,FALSE),""))</f>
        <v/>
      </c>
      <c r="N44" s="325">
        <f>IF($A44="","",IFERROR(VLOOKUP($A44,Invoices!$A$9:$X$108,5,FALSE),""))</f>
        <v/>
      </c>
      <c r="O44" s="325">
        <f>IF(AND($A44="",$B44="",$C44="",$D44=""),"",IF(OR($A44="",$B44="",$C44&lt;=0,$D44&lt;=0,$F44="",$H44="",$K44=""),"REVIEW","OK"))</f>
        <v/>
      </c>
      <c r="P44" s="330">
        <f>IF($A44="","",LOWER($A44&amp;" "&amp;$B44&amp;" "&amp;$F44&amp;" "&amp;$G44&amp;" "&amp;$L44&amp;" "&amp;$M44&amp;" "&amp;$N44))</f>
        <v/>
      </c>
    </row>
    <row r="45">
      <c r="A45" s="205" t="n"/>
      <c r="B45" s="207" t="n"/>
      <c r="C45" s="350" t="n"/>
      <c r="D45" s="332" t="n"/>
      <c r="E45" s="326">
        <f>IF(OR($A45="",$B45="",$C45="",$D45=""),"",$C45*$D45)</f>
        <v/>
      </c>
      <c r="F45" s="325">
        <f>IF($B45="","",IFERROR(VLOOKUP($B45,Setup!$A$9:$H$30,2,FALSE),""))</f>
        <v/>
      </c>
      <c r="G45" s="325">
        <f>IF($B45="","",IFERROR(VLOOKUP($B45,Setup!$A$9:$H$30,5,FALSE),""))</f>
        <v/>
      </c>
      <c r="H45" s="326">
        <f>IF($B45="","",IFERROR(VLOOKUP($B45,Setup!$A$9:$H$30,6,FALSE),""))</f>
        <v/>
      </c>
      <c r="I45" s="326">
        <f>IF(OR($C45="",$H45=""),"",$C45*$H45)</f>
        <v/>
      </c>
      <c r="J45" s="326">
        <f>IF(OR($E45="",$I45=""),"",$E45-$I45)</f>
        <v/>
      </c>
      <c r="K45" s="329">
        <f>IF($A45="","",IFERROR(VLOOKUP($A45,Invoices!$A$9:$X$108,2,FALSE),""))</f>
        <v/>
      </c>
      <c r="L45" s="325">
        <f>IF($A45="","",IFERROR(VLOOKUP($A45,Invoices!$A$9:$X$108,3,FALSE),""))</f>
        <v/>
      </c>
      <c r="M45" s="325">
        <f>IF($A45="","",IFERROR(VLOOKUP($A45,Invoices!$A$9:$X$108,4,FALSE),""))</f>
        <v/>
      </c>
      <c r="N45" s="325">
        <f>IF($A45="","",IFERROR(VLOOKUP($A45,Invoices!$A$9:$X$108,5,FALSE),""))</f>
        <v/>
      </c>
      <c r="O45" s="325">
        <f>IF(AND($A45="",$B45="",$C45="",$D45=""),"",IF(OR($A45="",$B45="",$C45&lt;=0,$D45&lt;=0,$F45="",$H45="",$K45=""),"REVIEW","OK"))</f>
        <v/>
      </c>
      <c r="P45" s="330">
        <f>IF($A45="","",LOWER($A45&amp;" "&amp;$B45&amp;" "&amp;$F45&amp;" "&amp;$G45&amp;" "&amp;$L45&amp;" "&amp;$M45&amp;" "&amp;$N45))</f>
        <v/>
      </c>
    </row>
    <row r="46">
      <c r="A46" s="205" t="n"/>
      <c r="B46" s="207" t="n"/>
      <c r="C46" s="350" t="n"/>
      <c r="D46" s="332" t="n"/>
      <c r="E46" s="326">
        <f>IF(OR($A46="",$B46="",$C46="",$D46=""),"",$C46*$D46)</f>
        <v/>
      </c>
      <c r="F46" s="325">
        <f>IF($B46="","",IFERROR(VLOOKUP($B46,Setup!$A$9:$H$30,2,FALSE),""))</f>
        <v/>
      </c>
      <c r="G46" s="325">
        <f>IF($B46="","",IFERROR(VLOOKUP($B46,Setup!$A$9:$H$30,5,FALSE),""))</f>
        <v/>
      </c>
      <c r="H46" s="326">
        <f>IF($B46="","",IFERROR(VLOOKUP($B46,Setup!$A$9:$H$30,6,FALSE),""))</f>
        <v/>
      </c>
      <c r="I46" s="326">
        <f>IF(OR($C46="",$H46=""),"",$C46*$H46)</f>
        <v/>
      </c>
      <c r="J46" s="326">
        <f>IF(OR($E46="",$I46=""),"",$E46-$I46)</f>
        <v/>
      </c>
      <c r="K46" s="329">
        <f>IF($A46="","",IFERROR(VLOOKUP($A46,Invoices!$A$9:$X$108,2,FALSE),""))</f>
        <v/>
      </c>
      <c r="L46" s="325">
        <f>IF($A46="","",IFERROR(VLOOKUP($A46,Invoices!$A$9:$X$108,3,FALSE),""))</f>
        <v/>
      </c>
      <c r="M46" s="325">
        <f>IF($A46="","",IFERROR(VLOOKUP($A46,Invoices!$A$9:$X$108,4,FALSE),""))</f>
        <v/>
      </c>
      <c r="N46" s="325">
        <f>IF($A46="","",IFERROR(VLOOKUP($A46,Invoices!$A$9:$X$108,5,FALSE),""))</f>
        <v/>
      </c>
      <c r="O46" s="325">
        <f>IF(AND($A46="",$B46="",$C46="",$D46=""),"",IF(OR($A46="",$B46="",$C46&lt;=0,$D46&lt;=0,$F46="",$H46="",$K46=""),"REVIEW","OK"))</f>
        <v/>
      </c>
      <c r="P46" s="330">
        <f>IF($A46="","",LOWER($A46&amp;" "&amp;$B46&amp;" "&amp;$F46&amp;" "&amp;$G46&amp;" "&amp;$L46&amp;" "&amp;$M46&amp;" "&amp;$N46))</f>
        <v/>
      </c>
    </row>
    <row r="47">
      <c r="A47" s="205" t="n"/>
      <c r="B47" s="207" t="n"/>
      <c r="C47" s="350" t="n"/>
      <c r="D47" s="332" t="n"/>
      <c r="E47" s="326">
        <f>IF(OR($A47="",$B47="",$C47="",$D47=""),"",$C47*$D47)</f>
        <v/>
      </c>
      <c r="F47" s="325">
        <f>IF($B47="","",IFERROR(VLOOKUP($B47,Setup!$A$9:$H$30,2,FALSE),""))</f>
        <v/>
      </c>
      <c r="G47" s="325">
        <f>IF($B47="","",IFERROR(VLOOKUP($B47,Setup!$A$9:$H$30,5,FALSE),""))</f>
        <v/>
      </c>
      <c r="H47" s="326">
        <f>IF($B47="","",IFERROR(VLOOKUP($B47,Setup!$A$9:$H$30,6,FALSE),""))</f>
        <v/>
      </c>
      <c r="I47" s="326">
        <f>IF(OR($C47="",$H47=""),"",$C47*$H47)</f>
        <v/>
      </c>
      <c r="J47" s="326">
        <f>IF(OR($E47="",$I47=""),"",$E47-$I47)</f>
        <v/>
      </c>
      <c r="K47" s="329">
        <f>IF($A47="","",IFERROR(VLOOKUP($A47,Invoices!$A$9:$X$108,2,FALSE),""))</f>
        <v/>
      </c>
      <c r="L47" s="325">
        <f>IF($A47="","",IFERROR(VLOOKUP($A47,Invoices!$A$9:$X$108,3,FALSE),""))</f>
        <v/>
      </c>
      <c r="M47" s="325">
        <f>IF($A47="","",IFERROR(VLOOKUP($A47,Invoices!$A$9:$X$108,4,FALSE),""))</f>
        <v/>
      </c>
      <c r="N47" s="325">
        <f>IF($A47="","",IFERROR(VLOOKUP($A47,Invoices!$A$9:$X$108,5,FALSE),""))</f>
        <v/>
      </c>
      <c r="O47" s="325">
        <f>IF(AND($A47="",$B47="",$C47="",$D47=""),"",IF(OR($A47="",$B47="",$C47&lt;=0,$D47&lt;=0,$F47="",$H47="",$K47=""),"REVIEW","OK"))</f>
        <v/>
      </c>
      <c r="P47" s="330">
        <f>IF($A47="","",LOWER($A47&amp;" "&amp;$B47&amp;" "&amp;$F47&amp;" "&amp;$G47&amp;" "&amp;$L47&amp;" "&amp;$M47&amp;" "&amp;$N47))</f>
        <v/>
      </c>
    </row>
    <row r="48">
      <c r="A48" s="205" t="n"/>
      <c r="B48" s="207" t="n"/>
      <c r="C48" s="350" t="n"/>
      <c r="D48" s="332" t="n"/>
      <c r="E48" s="326">
        <f>IF(OR($A48="",$B48="",$C48="",$D48=""),"",$C48*$D48)</f>
        <v/>
      </c>
      <c r="F48" s="325">
        <f>IF($B48="","",IFERROR(VLOOKUP($B48,Setup!$A$9:$H$30,2,FALSE),""))</f>
        <v/>
      </c>
      <c r="G48" s="325">
        <f>IF($B48="","",IFERROR(VLOOKUP($B48,Setup!$A$9:$H$30,5,FALSE),""))</f>
        <v/>
      </c>
      <c r="H48" s="326">
        <f>IF($B48="","",IFERROR(VLOOKUP($B48,Setup!$A$9:$H$30,6,FALSE),""))</f>
        <v/>
      </c>
      <c r="I48" s="326">
        <f>IF(OR($C48="",$H48=""),"",$C48*$H48)</f>
        <v/>
      </c>
      <c r="J48" s="326">
        <f>IF(OR($E48="",$I48=""),"",$E48-$I48)</f>
        <v/>
      </c>
      <c r="K48" s="329">
        <f>IF($A48="","",IFERROR(VLOOKUP($A48,Invoices!$A$9:$X$108,2,FALSE),""))</f>
        <v/>
      </c>
      <c r="L48" s="325">
        <f>IF($A48="","",IFERROR(VLOOKUP($A48,Invoices!$A$9:$X$108,3,FALSE),""))</f>
        <v/>
      </c>
      <c r="M48" s="325">
        <f>IF($A48="","",IFERROR(VLOOKUP($A48,Invoices!$A$9:$X$108,4,FALSE),""))</f>
        <v/>
      </c>
      <c r="N48" s="325">
        <f>IF($A48="","",IFERROR(VLOOKUP($A48,Invoices!$A$9:$X$108,5,FALSE),""))</f>
        <v/>
      </c>
      <c r="O48" s="325">
        <f>IF(AND($A48="",$B48="",$C48="",$D48=""),"",IF(OR($A48="",$B48="",$C48&lt;=0,$D48&lt;=0,$F48="",$H48="",$K48=""),"REVIEW","OK"))</f>
        <v/>
      </c>
      <c r="P48" s="330">
        <f>IF($A48="","",LOWER($A48&amp;" "&amp;$B48&amp;" "&amp;$F48&amp;" "&amp;$G48&amp;" "&amp;$L48&amp;" "&amp;$M48&amp;" "&amp;$N48))</f>
        <v/>
      </c>
    </row>
    <row r="49">
      <c r="A49" s="205" t="n"/>
      <c r="B49" s="207" t="n"/>
      <c r="C49" s="350" t="n"/>
      <c r="D49" s="332" t="n"/>
      <c r="E49" s="326">
        <f>IF(OR($A49="",$B49="",$C49="",$D49=""),"",$C49*$D49)</f>
        <v/>
      </c>
      <c r="F49" s="325">
        <f>IF($B49="","",IFERROR(VLOOKUP($B49,Setup!$A$9:$H$30,2,FALSE),""))</f>
        <v/>
      </c>
      <c r="G49" s="325">
        <f>IF($B49="","",IFERROR(VLOOKUP($B49,Setup!$A$9:$H$30,5,FALSE),""))</f>
        <v/>
      </c>
      <c r="H49" s="326">
        <f>IF($B49="","",IFERROR(VLOOKUP($B49,Setup!$A$9:$H$30,6,FALSE),""))</f>
        <v/>
      </c>
      <c r="I49" s="326">
        <f>IF(OR($C49="",$H49=""),"",$C49*$H49)</f>
        <v/>
      </c>
      <c r="J49" s="326">
        <f>IF(OR($E49="",$I49=""),"",$E49-$I49)</f>
        <v/>
      </c>
      <c r="K49" s="329">
        <f>IF($A49="","",IFERROR(VLOOKUP($A49,Invoices!$A$9:$X$108,2,FALSE),""))</f>
        <v/>
      </c>
      <c r="L49" s="325">
        <f>IF($A49="","",IFERROR(VLOOKUP($A49,Invoices!$A$9:$X$108,3,FALSE),""))</f>
        <v/>
      </c>
      <c r="M49" s="325">
        <f>IF($A49="","",IFERROR(VLOOKUP($A49,Invoices!$A$9:$X$108,4,FALSE),""))</f>
        <v/>
      </c>
      <c r="N49" s="325">
        <f>IF($A49="","",IFERROR(VLOOKUP($A49,Invoices!$A$9:$X$108,5,FALSE),""))</f>
        <v/>
      </c>
      <c r="O49" s="325">
        <f>IF(AND($A49="",$B49="",$C49="",$D49=""),"",IF(OR($A49="",$B49="",$C49&lt;=0,$D49&lt;=0,$F49="",$H49="",$K49=""),"REVIEW","OK"))</f>
        <v/>
      </c>
      <c r="P49" s="330">
        <f>IF($A49="","",LOWER($A49&amp;" "&amp;$B49&amp;" "&amp;$F49&amp;" "&amp;$G49&amp;" "&amp;$L49&amp;" "&amp;$M49&amp;" "&amp;$N49))</f>
        <v/>
      </c>
    </row>
    <row r="50">
      <c r="A50" s="205" t="n"/>
      <c r="B50" s="207" t="n"/>
      <c r="C50" s="350" t="n"/>
      <c r="D50" s="332" t="n"/>
      <c r="E50" s="326">
        <f>IF(OR($A50="",$B50="",$C50="",$D50=""),"",$C50*$D50)</f>
        <v/>
      </c>
      <c r="F50" s="325">
        <f>IF($B50="","",IFERROR(VLOOKUP($B50,Setup!$A$9:$H$30,2,FALSE),""))</f>
        <v/>
      </c>
      <c r="G50" s="325">
        <f>IF($B50="","",IFERROR(VLOOKUP($B50,Setup!$A$9:$H$30,5,FALSE),""))</f>
        <v/>
      </c>
      <c r="H50" s="326">
        <f>IF($B50="","",IFERROR(VLOOKUP($B50,Setup!$A$9:$H$30,6,FALSE),""))</f>
        <v/>
      </c>
      <c r="I50" s="326">
        <f>IF(OR($C50="",$H50=""),"",$C50*$H50)</f>
        <v/>
      </c>
      <c r="J50" s="326">
        <f>IF(OR($E50="",$I50=""),"",$E50-$I50)</f>
        <v/>
      </c>
      <c r="K50" s="329">
        <f>IF($A50="","",IFERROR(VLOOKUP($A50,Invoices!$A$9:$X$108,2,FALSE),""))</f>
        <v/>
      </c>
      <c r="L50" s="325">
        <f>IF($A50="","",IFERROR(VLOOKUP($A50,Invoices!$A$9:$X$108,3,FALSE),""))</f>
        <v/>
      </c>
      <c r="M50" s="325">
        <f>IF($A50="","",IFERROR(VLOOKUP($A50,Invoices!$A$9:$X$108,4,FALSE),""))</f>
        <v/>
      </c>
      <c r="N50" s="325">
        <f>IF($A50="","",IFERROR(VLOOKUP($A50,Invoices!$A$9:$X$108,5,FALSE),""))</f>
        <v/>
      </c>
      <c r="O50" s="325">
        <f>IF(AND($A50="",$B50="",$C50="",$D50=""),"",IF(OR($A50="",$B50="",$C50&lt;=0,$D50&lt;=0,$F50="",$H50="",$K50=""),"REVIEW","OK"))</f>
        <v/>
      </c>
      <c r="P50" s="330">
        <f>IF($A50="","",LOWER($A50&amp;" "&amp;$B50&amp;" "&amp;$F50&amp;" "&amp;$G50&amp;" "&amp;$L50&amp;" "&amp;$M50&amp;" "&amp;$N50))</f>
        <v/>
      </c>
    </row>
    <row r="51">
      <c r="A51" s="205" t="n"/>
      <c r="B51" s="207" t="n"/>
      <c r="C51" s="350" t="n"/>
      <c r="D51" s="332" t="n"/>
      <c r="E51" s="326">
        <f>IF(OR($A51="",$B51="",$C51="",$D51=""),"",$C51*$D51)</f>
        <v/>
      </c>
      <c r="F51" s="325">
        <f>IF($B51="","",IFERROR(VLOOKUP($B51,Setup!$A$9:$H$30,2,FALSE),""))</f>
        <v/>
      </c>
      <c r="G51" s="325">
        <f>IF($B51="","",IFERROR(VLOOKUP($B51,Setup!$A$9:$H$30,5,FALSE),""))</f>
        <v/>
      </c>
      <c r="H51" s="326">
        <f>IF($B51="","",IFERROR(VLOOKUP($B51,Setup!$A$9:$H$30,6,FALSE),""))</f>
        <v/>
      </c>
      <c r="I51" s="326">
        <f>IF(OR($C51="",$H51=""),"",$C51*$H51)</f>
        <v/>
      </c>
      <c r="J51" s="326">
        <f>IF(OR($E51="",$I51=""),"",$E51-$I51)</f>
        <v/>
      </c>
      <c r="K51" s="329">
        <f>IF($A51="","",IFERROR(VLOOKUP($A51,Invoices!$A$9:$X$108,2,FALSE),""))</f>
        <v/>
      </c>
      <c r="L51" s="325">
        <f>IF($A51="","",IFERROR(VLOOKUP($A51,Invoices!$A$9:$X$108,3,FALSE),""))</f>
        <v/>
      </c>
      <c r="M51" s="325">
        <f>IF($A51="","",IFERROR(VLOOKUP($A51,Invoices!$A$9:$X$108,4,FALSE),""))</f>
        <v/>
      </c>
      <c r="N51" s="325">
        <f>IF($A51="","",IFERROR(VLOOKUP($A51,Invoices!$A$9:$X$108,5,FALSE),""))</f>
        <v/>
      </c>
      <c r="O51" s="325">
        <f>IF(AND($A51="",$B51="",$C51="",$D51=""),"",IF(OR($A51="",$B51="",$C51&lt;=0,$D51&lt;=0,$F51="",$H51="",$K51=""),"REVIEW","OK"))</f>
        <v/>
      </c>
      <c r="P51" s="330">
        <f>IF($A51="","",LOWER($A51&amp;" "&amp;$B51&amp;" "&amp;$F51&amp;" "&amp;$G51&amp;" "&amp;$L51&amp;" "&amp;$M51&amp;" "&amp;$N51))</f>
        <v/>
      </c>
    </row>
    <row r="52">
      <c r="A52" s="205" t="n"/>
      <c r="B52" s="207" t="n"/>
      <c r="C52" s="350" t="n"/>
      <c r="D52" s="332" t="n"/>
      <c r="E52" s="326">
        <f>IF(OR($A52="",$B52="",$C52="",$D52=""),"",$C52*$D52)</f>
        <v/>
      </c>
      <c r="F52" s="325">
        <f>IF($B52="","",IFERROR(VLOOKUP($B52,Setup!$A$9:$H$30,2,FALSE),""))</f>
        <v/>
      </c>
      <c r="G52" s="325">
        <f>IF($B52="","",IFERROR(VLOOKUP($B52,Setup!$A$9:$H$30,5,FALSE),""))</f>
        <v/>
      </c>
      <c r="H52" s="326">
        <f>IF($B52="","",IFERROR(VLOOKUP($B52,Setup!$A$9:$H$30,6,FALSE),""))</f>
        <v/>
      </c>
      <c r="I52" s="326">
        <f>IF(OR($C52="",$H52=""),"",$C52*$H52)</f>
        <v/>
      </c>
      <c r="J52" s="326">
        <f>IF(OR($E52="",$I52=""),"",$E52-$I52)</f>
        <v/>
      </c>
      <c r="K52" s="329">
        <f>IF($A52="","",IFERROR(VLOOKUP($A52,Invoices!$A$9:$X$108,2,FALSE),""))</f>
        <v/>
      </c>
      <c r="L52" s="325">
        <f>IF($A52="","",IFERROR(VLOOKUP($A52,Invoices!$A$9:$X$108,3,FALSE),""))</f>
        <v/>
      </c>
      <c r="M52" s="325">
        <f>IF($A52="","",IFERROR(VLOOKUP($A52,Invoices!$A$9:$X$108,4,FALSE),""))</f>
        <v/>
      </c>
      <c r="N52" s="325">
        <f>IF($A52="","",IFERROR(VLOOKUP($A52,Invoices!$A$9:$X$108,5,FALSE),""))</f>
        <v/>
      </c>
      <c r="O52" s="325">
        <f>IF(AND($A52="",$B52="",$C52="",$D52=""),"",IF(OR($A52="",$B52="",$C52&lt;=0,$D52&lt;=0,$F52="",$H52="",$K52=""),"REVIEW","OK"))</f>
        <v/>
      </c>
      <c r="P52" s="330">
        <f>IF($A52="","",LOWER($A52&amp;" "&amp;$B52&amp;" "&amp;$F52&amp;" "&amp;$G52&amp;" "&amp;$L52&amp;" "&amp;$M52&amp;" "&amp;$N52))</f>
        <v/>
      </c>
    </row>
    <row r="53">
      <c r="A53" s="205" t="n"/>
      <c r="B53" s="207" t="n"/>
      <c r="C53" s="350" t="n"/>
      <c r="D53" s="332" t="n"/>
      <c r="E53" s="326">
        <f>IF(OR($A53="",$B53="",$C53="",$D53=""),"",$C53*$D53)</f>
        <v/>
      </c>
      <c r="F53" s="325">
        <f>IF($B53="","",IFERROR(VLOOKUP($B53,Setup!$A$9:$H$30,2,FALSE),""))</f>
        <v/>
      </c>
      <c r="G53" s="325">
        <f>IF($B53="","",IFERROR(VLOOKUP($B53,Setup!$A$9:$H$30,5,FALSE),""))</f>
        <v/>
      </c>
      <c r="H53" s="326">
        <f>IF($B53="","",IFERROR(VLOOKUP($B53,Setup!$A$9:$H$30,6,FALSE),""))</f>
        <v/>
      </c>
      <c r="I53" s="326">
        <f>IF(OR($C53="",$H53=""),"",$C53*$H53)</f>
        <v/>
      </c>
      <c r="J53" s="326">
        <f>IF(OR($E53="",$I53=""),"",$E53-$I53)</f>
        <v/>
      </c>
      <c r="K53" s="329">
        <f>IF($A53="","",IFERROR(VLOOKUP($A53,Invoices!$A$9:$X$108,2,FALSE),""))</f>
        <v/>
      </c>
      <c r="L53" s="325">
        <f>IF($A53="","",IFERROR(VLOOKUP($A53,Invoices!$A$9:$X$108,3,FALSE),""))</f>
        <v/>
      </c>
      <c r="M53" s="325">
        <f>IF($A53="","",IFERROR(VLOOKUP($A53,Invoices!$A$9:$X$108,4,FALSE),""))</f>
        <v/>
      </c>
      <c r="N53" s="325">
        <f>IF($A53="","",IFERROR(VLOOKUP($A53,Invoices!$A$9:$X$108,5,FALSE),""))</f>
        <v/>
      </c>
      <c r="O53" s="325">
        <f>IF(AND($A53="",$B53="",$C53="",$D53=""),"",IF(OR($A53="",$B53="",$C53&lt;=0,$D53&lt;=0,$F53="",$H53="",$K53=""),"REVIEW","OK"))</f>
        <v/>
      </c>
      <c r="P53" s="330">
        <f>IF($A53="","",LOWER($A53&amp;" "&amp;$B53&amp;" "&amp;$F53&amp;" "&amp;$G53&amp;" "&amp;$L53&amp;" "&amp;$M53&amp;" "&amp;$N53))</f>
        <v/>
      </c>
    </row>
    <row r="54">
      <c r="A54" s="205" t="n"/>
      <c r="B54" s="207" t="n"/>
      <c r="C54" s="350" t="n"/>
      <c r="D54" s="332" t="n"/>
      <c r="E54" s="326">
        <f>IF(OR($A54="",$B54="",$C54="",$D54=""),"",$C54*$D54)</f>
        <v/>
      </c>
      <c r="F54" s="325">
        <f>IF($B54="","",IFERROR(VLOOKUP($B54,Setup!$A$9:$H$30,2,FALSE),""))</f>
        <v/>
      </c>
      <c r="G54" s="325">
        <f>IF($B54="","",IFERROR(VLOOKUP($B54,Setup!$A$9:$H$30,5,FALSE),""))</f>
        <v/>
      </c>
      <c r="H54" s="326">
        <f>IF($B54="","",IFERROR(VLOOKUP($B54,Setup!$A$9:$H$30,6,FALSE),""))</f>
        <v/>
      </c>
      <c r="I54" s="326">
        <f>IF(OR($C54="",$H54=""),"",$C54*$H54)</f>
        <v/>
      </c>
      <c r="J54" s="326">
        <f>IF(OR($E54="",$I54=""),"",$E54-$I54)</f>
        <v/>
      </c>
      <c r="K54" s="329">
        <f>IF($A54="","",IFERROR(VLOOKUP($A54,Invoices!$A$9:$X$108,2,FALSE),""))</f>
        <v/>
      </c>
      <c r="L54" s="325">
        <f>IF($A54="","",IFERROR(VLOOKUP($A54,Invoices!$A$9:$X$108,3,FALSE),""))</f>
        <v/>
      </c>
      <c r="M54" s="325">
        <f>IF($A54="","",IFERROR(VLOOKUP($A54,Invoices!$A$9:$X$108,4,FALSE),""))</f>
        <v/>
      </c>
      <c r="N54" s="325">
        <f>IF($A54="","",IFERROR(VLOOKUP($A54,Invoices!$A$9:$X$108,5,FALSE),""))</f>
        <v/>
      </c>
      <c r="O54" s="325">
        <f>IF(AND($A54="",$B54="",$C54="",$D54=""),"",IF(OR($A54="",$B54="",$C54&lt;=0,$D54&lt;=0,$F54="",$H54="",$K54=""),"REVIEW","OK"))</f>
        <v/>
      </c>
      <c r="P54" s="330">
        <f>IF($A54="","",LOWER($A54&amp;" "&amp;$B54&amp;" "&amp;$F54&amp;" "&amp;$G54&amp;" "&amp;$L54&amp;" "&amp;$M54&amp;" "&amp;$N54))</f>
        <v/>
      </c>
    </row>
    <row r="55">
      <c r="A55" s="205" t="n"/>
      <c r="B55" s="207" t="n"/>
      <c r="C55" s="350" t="n"/>
      <c r="D55" s="332" t="n"/>
      <c r="E55" s="326">
        <f>IF(OR($A55="",$B55="",$C55="",$D55=""),"",$C55*$D55)</f>
        <v/>
      </c>
      <c r="F55" s="325">
        <f>IF($B55="","",IFERROR(VLOOKUP($B55,Setup!$A$9:$H$30,2,FALSE),""))</f>
        <v/>
      </c>
      <c r="G55" s="325">
        <f>IF($B55="","",IFERROR(VLOOKUP($B55,Setup!$A$9:$H$30,5,FALSE),""))</f>
        <v/>
      </c>
      <c r="H55" s="326">
        <f>IF($B55="","",IFERROR(VLOOKUP($B55,Setup!$A$9:$H$30,6,FALSE),""))</f>
        <v/>
      </c>
      <c r="I55" s="326">
        <f>IF(OR($C55="",$H55=""),"",$C55*$H55)</f>
        <v/>
      </c>
      <c r="J55" s="326">
        <f>IF(OR($E55="",$I55=""),"",$E55-$I55)</f>
        <v/>
      </c>
      <c r="K55" s="329">
        <f>IF($A55="","",IFERROR(VLOOKUP($A55,Invoices!$A$9:$X$108,2,FALSE),""))</f>
        <v/>
      </c>
      <c r="L55" s="325">
        <f>IF($A55="","",IFERROR(VLOOKUP($A55,Invoices!$A$9:$X$108,3,FALSE),""))</f>
        <v/>
      </c>
      <c r="M55" s="325">
        <f>IF($A55="","",IFERROR(VLOOKUP($A55,Invoices!$A$9:$X$108,4,FALSE),""))</f>
        <v/>
      </c>
      <c r="N55" s="325">
        <f>IF($A55="","",IFERROR(VLOOKUP($A55,Invoices!$A$9:$X$108,5,FALSE),""))</f>
        <v/>
      </c>
      <c r="O55" s="325">
        <f>IF(AND($A55="",$B55="",$C55="",$D55=""),"",IF(OR($A55="",$B55="",$C55&lt;=0,$D55&lt;=0,$F55="",$H55="",$K55=""),"REVIEW","OK"))</f>
        <v/>
      </c>
      <c r="P55" s="330">
        <f>IF($A55="","",LOWER($A55&amp;" "&amp;$B55&amp;" "&amp;$F55&amp;" "&amp;$G55&amp;" "&amp;$L55&amp;" "&amp;$M55&amp;" "&amp;$N55))</f>
        <v/>
      </c>
    </row>
    <row r="56">
      <c r="A56" s="205" t="n"/>
      <c r="B56" s="207" t="n"/>
      <c r="C56" s="350" t="n"/>
      <c r="D56" s="332" t="n"/>
      <c r="E56" s="326">
        <f>IF(OR($A56="",$B56="",$C56="",$D56=""),"",$C56*$D56)</f>
        <v/>
      </c>
      <c r="F56" s="325">
        <f>IF($B56="","",IFERROR(VLOOKUP($B56,Setup!$A$9:$H$30,2,FALSE),""))</f>
        <v/>
      </c>
      <c r="G56" s="325">
        <f>IF($B56="","",IFERROR(VLOOKUP($B56,Setup!$A$9:$H$30,5,FALSE),""))</f>
        <v/>
      </c>
      <c r="H56" s="326">
        <f>IF($B56="","",IFERROR(VLOOKUP($B56,Setup!$A$9:$H$30,6,FALSE),""))</f>
        <v/>
      </c>
      <c r="I56" s="326">
        <f>IF(OR($C56="",$H56=""),"",$C56*$H56)</f>
        <v/>
      </c>
      <c r="J56" s="326">
        <f>IF(OR($E56="",$I56=""),"",$E56-$I56)</f>
        <v/>
      </c>
      <c r="K56" s="329">
        <f>IF($A56="","",IFERROR(VLOOKUP($A56,Invoices!$A$9:$X$108,2,FALSE),""))</f>
        <v/>
      </c>
      <c r="L56" s="325">
        <f>IF($A56="","",IFERROR(VLOOKUP($A56,Invoices!$A$9:$X$108,3,FALSE),""))</f>
        <v/>
      </c>
      <c r="M56" s="325">
        <f>IF($A56="","",IFERROR(VLOOKUP($A56,Invoices!$A$9:$X$108,4,FALSE),""))</f>
        <v/>
      </c>
      <c r="N56" s="325">
        <f>IF($A56="","",IFERROR(VLOOKUP($A56,Invoices!$A$9:$X$108,5,FALSE),""))</f>
        <v/>
      </c>
      <c r="O56" s="325">
        <f>IF(AND($A56="",$B56="",$C56="",$D56=""),"",IF(OR($A56="",$B56="",$C56&lt;=0,$D56&lt;=0,$F56="",$H56="",$K56=""),"REVIEW","OK"))</f>
        <v/>
      </c>
      <c r="P56" s="330">
        <f>IF($A56="","",LOWER($A56&amp;" "&amp;$B56&amp;" "&amp;$F56&amp;" "&amp;$G56&amp;" "&amp;$L56&amp;" "&amp;$M56&amp;" "&amp;$N56))</f>
        <v/>
      </c>
    </row>
    <row r="57">
      <c r="A57" s="205" t="n"/>
      <c r="B57" s="207" t="n"/>
      <c r="C57" s="350" t="n"/>
      <c r="D57" s="332" t="n"/>
      <c r="E57" s="326">
        <f>IF(OR($A57="",$B57="",$C57="",$D57=""),"",$C57*$D57)</f>
        <v/>
      </c>
      <c r="F57" s="325">
        <f>IF($B57="","",IFERROR(VLOOKUP($B57,Setup!$A$9:$H$30,2,FALSE),""))</f>
        <v/>
      </c>
      <c r="G57" s="325">
        <f>IF($B57="","",IFERROR(VLOOKUP($B57,Setup!$A$9:$H$30,5,FALSE),""))</f>
        <v/>
      </c>
      <c r="H57" s="326">
        <f>IF($B57="","",IFERROR(VLOOKUP($B57,Setup!$A$9:$H$30,6,FALSE),""))</f>
        <v/>
      </c>
      <c r="I57" s="326">
        <f>IF(OR($C57="",$H57=""),"",$C57*$H57)</f>
        <v/>
      </c>
      <c r="J57" s="326">
        <f>IF(OR($E57="",$I57=""),"",$E57-$I57)</f>
        <v/>
      </c>
      <c r="K57" s="329">
        <f>IF($A57="","",IFERROR(VLOOKUP($A57,Invoices!$A$9:$X$108,2,FALSE),""))</f>
        <v/>
      </c>
      <c r="L57" s="325">
        <f>IF($A57="","",IFERROR(VLOOKUP($A57,Invoices!$A$9:$X$108,3,FALSE),""))</f>
        <v/>
      </c>
      <c r="M57" s="325">
        <f>IF($A57="","",IFERROR(VLOOKUP($A57,Invoices!$A$9:$X$108,4,FALSE),""))</f>
        <v/>
      </c>
      <c r="N57" s="325">
        <f>IF($A57="","",IFERROR(VLOOKUP($A57,Invoices!$A$9:$X$108,5,FALSE),""))</f>
        <v/>
      </c>
      <c r="O57" s="325">
        <f>IF(AND($A57="",$B57="",$C57="",$D57=""),"",IF(OR($A57="",$B57="",$C57&lt;=0,$D57&lt;=0,$F57="",$H57="",$K57=""),"REVIEW","OK"))</f>
        <v/>
      </c>
      <c r="P57" s="330">
        <f>IF($A57="","",LOWER($A57&amp;" "&amp;$B57&amp;" "&amp;$F57&amp;" "&amp;$G57&amp;" "&amp;$L57&amp;" "&amp;$M57&amp;" "&amp;$N57))</f>
        <v/>
      </c>
    </row>
    <row r="58">
      <c r="A58" s="205" t="n"/>
      <c r="B58" s="207" t="n"/>
      <c r="C58" s="350" t="n"/>
      <c r="D58" s="332" t="n"/>
      <c r="E58" s="326">
        <f>IF(OR($A58="",$B58="",$C58="",$D58=""),"",$C58*$D58)</f>
        <v/>
      </c>
      <c r="F58" s="325">
        <f>IF($B58="","",IFERROR(VLOOKUP($B58,Setup!$A$9:$H$30,2,FALSE),""))</f>
        <v/>
      </c>
      <c r="G58" s="325">
        <f>IF($B58="","",IFERROR(VLOOKUP($B58,Setup!$A$9:$H$30,5,FALSE),""))</f>
        <v/>
      </c>
      <c r="H58" s="326">
        <f>IF($B58="","",IFERROR(VLOOKUP($B58,Setup!$A$9:$H$30,6,FALSE),""))</f>
        <v/>
      </c>
      <c r="I58" s="326">
        <f>IF(OR($C58="",$H58=""),"",$C58*$H58)</f>
        <v/>
      </c>
      <c r="J58" s="326">
        <f>IF(OR($E58="",$I58=""),"",$E58-$I58)</f>
        <v/>
      </c>
      <c r="K58" s="329">
        <f>IF($A58="","",IFERROR(VLOOKUP($A58,Invoices!$A$9:$X$108,2,FALSE),""))</f>
        <v/>
      </c>
      <c r="L58" s="325">
        <f>IF($A58="","",IFERROR(VLOOKUP($A58,Invoices!$A$9:$X$108,3,FALSE),""))</f>
        <v/>
      </c>
      <c r="M58" s="325">
        <f>IF($A58="","",IFERROR(VLOOKUP($A58,Invoices!$A$9:$X$108,4,FALSE),""))</f>
        <v/>
      </c>
      <c r="N58" s="325">
        <f>IF($A58="","",IFERROR(VLOOKUP($A58,Invoices!$A$9:$X$108,5,FALSE),""))</f>
        <v/>
      </c>
      <c r="O58" s="325">
        <f>IF(AND($A58="",$B58="",$C58="",$D58=""),"",IF(OR($A58="",$B58="",$C58&lt;=0,$D58&lt;=0,$F58="",$H58="",$K58=""),"REVIEW","OK"))</f>
        <v/>
      </c>
      <c r="P58" s="330">
        <f>IF($A58="","",LOWER($A58&amp;" "&amp;$B58&amp;" "&amp;$F58&amp;" "&amp;$G58&amp;" "&amp;$L58&amp;" "&amp;$M58&amp;" "&amp;$N58))</f>
        <v/>
      </c>
    </row>
    <row r="59">
      <c r="A59" s="205" t="n"/>
      <c r="B59" s="207" t="n"/>
      <c r="C59" s="350" t="n"/>
      <c r="D59" s="332" t="n"/>
      <c r="E59" s="326">
        <f>IF(OR($A59="",$B59="",$C59="",$D59=""),"",$C59*$D59)</f>
        <v/>
      </c>
      <c r="F59" s="325">
        <f>IF($B59="","",IFERROR(VLOOKUP($B59,Setup!$A$9:$H$30,2,FALSE),""))</f>
        <v/>
      </c>
      <c r="G59" s="325">
        <f>IF($B59="","",IFERROR(VLOOKUP($B59,Setup!$A$9:$H$30,5,FALSE),""))</f>
        <v/>
      </c>
      <c r="H59" s="326">
        <f>IF($B59="","",IFERROR(VLOOKUP($B59,Setup!$A$9:$H$30,6,FALSE),""))</f>
        <v/>
      </c>
      <c r="I59" s="326">
        <f>IF(OR($C59="",$H59=""),"",$C59*$H59)</f>
        <v/>
      </c>
      <c r="J59" s="326">
        <f>IF(OR($E59="",$I59=""),"",$E59-$I59)</f>
        <v/>
      </c>
      <c r="K59" s="329">
        <f>IF($A59="","",IFERROR(VLOOKUP($A59,Invoices!$A$9:$X$108,2,FALSE),""))</f>
        <v/>
      </c>
      <c r="L59" s="325">
        <f>IF($A59="","",IFERROR(VLOOKUP($A59,Invoices!$A$9:$X$108,3,FALSE),""))</f>
        <v/>
      </c>
      <c r="M59" s="325">
        <f>IF($A59="","",IFERROR(VLOOKUP($A59,Invoices!$A$9:$X$108,4,FALSE),""))</f>
        <v/>
      </c>
      <c r="N59" s="325">
        <f>IF($A59="","",IFERROR(VLOOKUP($A59,Invoices!$A$9:$X$108,5,FALSE),""))</f>
        <v/>
      </c>
      <c r="O59" s="325">
        <f>IF(AND($A59="",$B59="",$C59="",$D59=""),"",IF(OR($A59="",$B59="",$C59&lt;=0,$D59&lt;=0,$F59="",$H59="",$K59=""),"REVIEW","OK"))</f>
        <v/>
      </c>
      <c r="P59" s="330">
        <f>IF($A59="","",LOWER($A59&amp;" "&amp;$B59&amp;" "&amp;$F59&amp;" "&amp;$G59&amp;" "&amp;$L59&amp;" "&amp;$M59&amp;" "&amp;$N59))</f>
        <v/>
      </c>
    </row>
    <row r="60">
      <c r="A60" s="205" t="n"/>
      <c r="B60" s="207" t="n"/>
      <c r="C60" s="350" t="n"/>
      <c r="D60" s="332" t="n"/>
      <c r="E60" s="326">
        <f>IF(OR($A60="",$B60="",$C60="",$D60=""),"",$C60*$D60)</f>
        <v/>
      </c>
      <c r="F60" s="325">
        <f>IF($B60="","",IFERROR(VLOOKUP($B60,Setup!$A$9:$H$30,2,FALSE),""))</f>
        <v/>
      </c>
      <c r="G60" s="325">
        <f>IF($B60="","",IFERROR(VLOOKUP($B60,Setup!$A$9:$H$30,5,FALSE),""))</f>
        <v/>
      </c>
      <c r="H60" s="326">
        <f>IF($B60="","",IFERROR(VLOOKUP($B60,Setup!$A$9:$H$30,6,FALSE),""))</f>
        <v/>
      </c>
      <c r="I60" s="326">
        <f>IF(OR($C60="",$H60=""),"",$C60*$H60)</f>
        <v/>
      </c>
      <c r="J60" s="326">
        <f>IF(OR($E60="",$I60=""),"",$E60-$I60)</f>
        <v/>
      </c>
      <c r="K60" s="329">
        <f>IF($A60="","",IFERROR(VLOOKUP($A60,Invoices!$A$9:$X$108,2,FALSE),""))</f>
        <v/>
      </c>
      <c r="L60" s="325">
        <f>IF($A60="","",IFERROR(VLOOKUP($A60,Invoices!$A$9:$X$108,3,FALSE),""))</f>
        <v/>
      </c>
      <c r="M60" s="325">
        <f>IF($A60="","",IFERROR(VLOOKUP($A60,Invoices!$A$9:$X$108,4,FALSE),""))</f>
        <v/>
      </c>
      <c r="N60" s="325">
        <f>IF($A60="","",IFERROR(VLOOKUP($A60,Invoices!$A$9:$X$108,5,FALSE),""))</f>
        <v/>
      </c>
      <c r="O60" s="325">
        <f>IF(AND($A60="",$B60="",$C60="",$D60=""),"",IF(OR($A60="",$B60="",$C60&lt;=0,$D60&lt;=0,$F60="",$H60="",$K60=""),"REVIEW","OK"))</f>
        <v/>
      </c>
      <c r="P60" s="330">
        <f>IF($A60="","",LOWER($A60&amp;" "&amp;$B60&amp;" "&amp;$F60&amp;" "&amp;$G60&amp;" "&amp;$L60&amp;" "&amp;$M60&amp;" "&amp;$N60))</f>
        <v/>
      </c>
    </row>
    <row r="61">
      <c r="A61" s="205" t="n"/>
      <c r="B61" s="207" t="n"/>
      <c r="C61" s="350" t="n"/>
      <c r="D61" s="332" t="n"/>
      <c r="E61" s="326">
        <f>IF(OR($A61="",$B61="",$C61="",$D61=""),"",$C61*$D61)</f>
        <v/>
      </c>
      <c r="F61" s="325">
        <f>IF($B61="","",IFERROR(VLOOKUP($B61,Setup!$A$9:$H$30,2,FALSE),""))</f>
        <v/>
      </c>
      <c r="G61" s="325">
        <f>IF($B61="","",IFERROR(VLOOKUP($B61,Setup!$A$9:$H$30,5,FALSE),""))</f>
        <v/>
      </c>
      <c r="H61" s="326">
        <f>IF($B61="","",IFERROR(VLOOKUP($B61,Setup!$A$9:$H$30,6,FALSE),""))</f>
        <v/>
      </c>
      <c r="I61" s="326">
        <f>IF(OR($C61="",$H61=""),"",$C61*$H61)</f>
        <v/>
      </c>
      <c r="J61" s="326">
        <f>IF(OR($E61="",$I61=""),"",$E61-$I61)</f>
        <v/>
      </c>
      <c r="K61" s="329">
        <f>IF($A61="","",IFERROR(VLOOKUP($A61,Invoices!$A$9:$X$108,2,FALSE),""))</f>
        <v/>
      </c>
      <c r="L61" s="325">
        <f>IF($A61="","",IFERROR(VLOOKUP($A61,Invoices!$A$9:$X$108,3,FALSE),""))</f>
        <v/>
      </c>
      <c r="M61" s="325">
        <f>IF($A61="","",IFERROR(VLOOKUP($A61,Invoices!$A$9:$X$108,4,FALSE),""))</f>
        <v/>
      </c>
      <c r="N61" s="325">
        <f>IF($A61="","",IFERROR(VLOOKUP($A61,Invoices!$A$9:$X$108,5,FALSE),""))</f>
        <v/>
      </c>
      <c r="O61" s="325">
        <f>IF(AND($A61="",$B61="",$C61="",$D61=""),"",IF(OR($A61="",$B61="",$C61&lt;=0,$D61&lt;=0,$F61="",$H61="",$K61=""),"REVIEW","OK"))</f>
        <v/>
      </c>
      <c r="P61" s="330">
        <f>IF($A61="","",LOWER($A61&amp;" "&amp;$B61&amp;" "&amp;$F61&amp;" "&amp;$G61&amp;" "&amp;$L61&amp;" "&amp;$M61&amp;" "&amp;$N61))</f>
        <v/>
      </c>
    </row>
    <row r="62">
      <c r="A62" s="205" t="n"/>
      <c r="B62" s="207" t="n"/>
      <c r="C62" s="350" t="n"/>
      <c r="D62" s="332" t="n"/>
      <c r="E62" s="326">
        <f>IF(OR($A62="",$B62="",$C62="",$D62=""),"",$C62*$D62)</f>
        <v/>
      </c>
      <c r="F62" s="325">
        <f>IF($B62="","",IFERROR(VLOOKUP($B62,Setup!$A$9:$H$30,2,FALSE),""))</f>
        <v/>
      </c>
      <c r="G62" s="325">
        <f>IF($B62="","",IFERROR(VLOOKUP($B62,Setup!$A$9:$H$30,5,FALSE),""))</f>
        <v/>
      </c>
      <c r="H62" s="326">
        <f>IF($B62="","",IFERROR(VLOOKUP($B62,Setup!$A$9:$H$30,6,FALSE),""))</f>
        <v/>
      </c>
      <c r="I62" s="326">
        <f>IF(OR($C62="",$H62=""),"",$C62*$H62)</f>
        <v/>
      </c>
      <c r="J62" s="326">
        <f>IF(OR($E62="",$I62=""),"",$E62-$I62)</f>
        <v/>
      </c>
      <c r="K62" s="329">
        <f>IF($A62="","",IFERROR(VLOOKUP($A62,Invoices!$A$9:$X$108,2,FALSE),""))</f>
        <v/>
      </c>
      <c r="L62" s="325">
        <f>IF($A62="","",IFERROR(VLOOKUP($A62,Invoices!$A$9:$X$108,3,FALSE),""))</f>
        <v/>
      </c>
      <c r="M62" s="325">
        <f>IF($A62="","",IFERROR(VLOOKUP($A62,Invoices!$A$9:$X$108,4,FALSE),""))</f>
        <v/>
      </c>
      <c r="N62" s="325">
        <f>IF($A62="","",IFERROR(VLOOKUP($A62,Invoices!$A$9:$X$108,5,FALSE),""))</f>
        <v/>
      </c>
      <c r="O62" s="325">
        <f>IF(AND($A62="",$B62="",$C62="",$D62=""),"",IF(OR($A62="",$B62="",$C62&lt;=0,$D62&lt;=0,$F62="",$H62="",$K62=""),"REVIEW","OK"))</f>
        <v/>
      </c>
      <c r="P62" s="330">
        <f>IF($A62="","",LOWER($A62&amp;" "&amp;$B62&amp;" "&amp;$F62&amp;" "&amp;$G62&amp;" "&amp;$L62&amp;" "&amp;$M62&amp;" "&amp;$N62))</f>
        <v/>
      </c>
    </row>
    <row r="63">
      <c r="A63" s="205" t="n"/>
      <c r="B63" s="207" t="n"/>
      <c r="C63" s="350" t="n"/>
      <c r="D63" s="332" t="n"/>
      <c r="E63" s="326">
        <f>IF(OR($A63="",$B63="",$C63="",$D63=""),"",$C63*$D63)</f>
        <v/>
      </c>
      <c r="F63" s="325">
        <f>IF($B63="","",IFERROR(VLOOKUP($B63,Setup!$A$9:$H$30,2,FALSE),""))</f>
        <v/>
      </c>
      <c r="G63" s="325">
        <f>IF($B63="","",IFERROR(VLOOKUP($B63,Setup!$A$9:$H$30,5,FALSE),""))</f>
        <v/>
      </c>
      <c r="H63" s="326">
        <f>IF($B63="","",IFERROR(VLOOKUP($B63,Setup!$A$9:$H$30,6,FALSE),""))</f>
        <v/>
      </c>
      <c r="I63" s="326">
        <f>IF(OR($C63="",$H63=""),"",$C63*$H63)</f>
        <v/>
      </c>
      <c r="J63" s="326">
        <f>IF(OR($E63="",$I63=""),"",$E63-$I63)</f>
        <v/>
      </c>
      <c r="K63" s="329">
        <f>IF($A63="","",IFERROR(VLOOKUP($A63,Invoices!$A$9:$X$108,2,FALSE),""))</f>
        <v/>
      </c>
      <c r="L63" s="325">
        <f>IF($A63="","",IFERROR(VLOOKUP($A63,Invoices!$A$9:$X$108,3,FALSE),""))</f>
        <v/>
      </c>
      <c r="M63" s="325">
        <f>IF($A63="","",IFERROR(VLOOKUP($A63,Invoices!$A$9:$X$108,4,FALSE),""))</f>
        <v/>
      </c>
      <c r="N63" s="325">
        <f>IF($A63="","",IFERROR(VLOOKUP($A63,Invoices!$A$9:$X$108,5,FALSE),""))</f>
        <v/>
      </c>
      <c r="O63" s="325">
        <f>IF(AND($A63="",$B63="",$C63="",$D63=""),"",IF(OR($A63="",$B63="",$C63&lt;=0,$D63&lt;=0,$F63="",$H63="",$K63=""),"REVIEW","OK"))</f>
        <v/>
      </c>
      <c r="P63" s="330">
        <f>IF($A63="","",LOWER($A63&amp;" "&amp;$B63&amp;" "&amp;$F63&amp;" "&amp;$G63&amp;" "&amp;$L63&amp;" "&amp;$M63&amp;" "&amp;$N63))</f>
        <v/>
      </c>
    </row>
    <row r="64">
      <c r="A64" s="205" t="n"/>
      <c r="B64" s="207" t="n"/>
      <c r="C64" s="350" t="n"/>
      <c r="D64" s="332" t="n"/>
      <c r="E64" s="326">
        <f>IF(OR($A64="",$B64="",$C64="",$D64=""),"",$C64*$D64)</f>
        <v/>
      </c>
      <c r="F64" s="325">
        <f>IF($B64="","",IFERROR(VLOOKUP($B64,Setup!$A$9:$H$30,2,FALSE),""))</f>
        <v/>
      </c>
      <c r="G64" s="325">
        <f>IF($B64="","",IFERROR(VLOOKUP($B64,Setup!$A$9:$H$30,5,FALSE),""))</f>
        <v/>
      </c>
      <c r="H64" s="326">
        <f>IF($B64="","",IFERROR(VLOOKUP($B64,Setup!$A$9:$H$30,6,FALSE),""))</f>
        <v/>
      </c>
      <c r="I64" s="326">
        <f>IF(OR($C64="",$H64=""),"",$C64*$H64)</f>
        <v/>
      </c>
      <c r="J64" s="326">
        <f>IF(OR($E64="",$I64=""),"",$E64-$I64)</f>
        <v/>
      </c>
      <c r="K64" s="329">
        <f>IF($A64="","",IFERROR(VLOOKUP($A64,Invoices!$A$9:$X$108,2,FALSE),""))</f>
        <v/>
      </c>
      <c r="L64" s="325">
        <f>IF($A64="","",IFERROR(VLOOKUP($A64,Invoices!$A$9:$X$108,3,FALSE),""))</f>
        <v/>
      </c>
      <c r="M64" s="325">
        <f>IF($A64="","",IFERROR(VLOOKUP($A64,Invoices!$A$9:$X$108,4,FALSE),""))</f>
        <v/>
      </c>
      <c r="N64" s="325">
        <f>IF($A64="","",IFERROR(VLOOKUP($A64,Invoices!$A$9:$X$108,5,FALSE),""))</f>
        <v/>
      </c>
      <c r="O64" s="325">
        <f>IF(AND($A64="",$B64="",$C64="",$D64=""),"",IF(OR($A64="",$B64="",$C64&lt;=0,$D64&lt;=0,$F64="",$H64="",$K64=""),"REVIEW","OK"))</f>
        <v/>
      </c>
      <c r="P64" s="330">
        <f>IF($A64="","",LOWER($A64&amp;" "&amp;$B64&amp;" "&amp;$F64&amp;" "&amp;$G64&amp;" "&amp;$L64&amp;" "&amp;$M64&amp;" "&amp;$N64))</f>
        <v/>
      </c>
    </row>
    <row r="65">
      <c r="A65" s="205" t="n"/>
      <c r="B65" s="207" t="n"/>
      <c r="C65" s="350" t="n"/>
      <c r="D65" s="332" t="n"/>
      <c r="E65" s="326">
        <f>IF(OR($A65="",$B65="",$C65="",$D65=""),"",$C65*$D65)</f>
        <v/>
      </c>
      <c r="F65" s="325">
        <f>IF($B65="","",IFERROR(VLOOKUP($B65,Setup!$A$9:$H$30,2,FALSE),""))</f>
        <v/>
      </c>
      <c r="G65" s="325">
        <f>IF($B65="","",IFERROR(VLOOKUP($B65,Setup!$A$9:$H$30,5,FALSE),""))</f>
        <v/>
      </c>
      <c r="H65" s="326">
        <f>IF($B65="","",IFERROR(VLOOKUP($B65,Setup!$A$9:$H$30,6,FALSE),""))</f>
        <v/>
      </c>
      <c r="I65" s="326">
        <f>IF(OR($C65="",$H65=""),"",$C65*$H65)</f>
        <v/>
      </c>
      <c r="J65" s="326">
        <f>IF(OR($E65="",$I65=""),"",$E65-$I65)</f>
        <v/>
      </c>
      <c r="K65" s="329">
        <f>IF($A65="","",IFERROR(VLOOKUP($A65,Invoices!$A$9:$X$108,2,FALSE),""))</f>
        <v/>
      </c>
      <c r="L65" s="325">
        <f>IF($A65="","",IFERROR(VLOOKUP($A65,Invoices!$A$9:$X$108,3,FALSE),""))</f>
        <v/>
      </c>
      <c r="M65" s="325">
        <f>IF($A65="","",IFERROR(VLOOKUP($A65,Invoices!$A$9:$X$108,4,FALSE),""))</f>
        <v/>
      </c>
      <c r="N65" s="325">
        <f>IF($A65="","",IFERROR(VLOOKUP($A65,Invoices!$A$9:$X$108,5,FALSE),""))</f>
        <v/>
      </c>
      <c r="O65" s="325">
        <f>IF(AND($A65="",$B65="",$C65="",$D65=""),"",IF(OR($A65="",$B65="",$C65&lt;=0,$D65&lt;=0,$F65="",$H65="",$K65=""),"REVIEW","OK"))</f>
        <v/>
      </c>
      <c r="P65" s="330">
        <f>IF($A65="","",LOWER($A65&amp;" "&amp;$B65&amp;" "&amp;$F65&amp;" "&amp;$G65&amp;" "&amp;$L65&amp;" "&amp;$M65&amp;" "&amp;$N65))</f>
        <v/>
      </c>
    </row>
    <row r="66">
      <c r="A66" s="205" t="n"/>
      <c r="B66" s="207" t="n"/>
      <c r="C66" s="350" t="n"/>
      <c r="D66" s="332" t="n"/>
      <c r="E66" s="326">
        <f>IF(OR($A66="",$B66="",$C66="",$D66=""),"",$C66*$D66)</f>
        <v/>
      </c>
      <c r="F66" s="325">
        <f>IF($B66="","",IFERROR(VLOOKUP($B66,Setup!$A$9:$H$30,2,FALSE),""))</f>
        <v/>
      </c>
      <c r="G66" s="325">
        <f>IF($B66="","",IFERROR(VLOOKUP($B66,Setup!$A$9:$H$30,5,FALSE),""))</f>
        <v/>
      </c>
      <c r="H66" s="326">
        <f>IF($B66="","",IFERROR(VLOOKUP($B66,Setup!$A$9:$H$30,6,FALSE),""))</f>
        <v/>
      </c>
      <c r="I66" s="326">
        <f>IF(OR($C66="",$H66=""),"",$C66*$H66)</f>
        <v/>
      </c>
      <c r="J66" s="326">
        <f>IF(OR($E66="",$I66=""),"",$E66-$I66)</f>
        <v/>
      </c>
      <c r="K66" s="329">
        <f>IF($A66="","",IFERROR(VLOOKUP($A66,Invoices!$A$9:$X$108,2,FALSE),""))</f>
        <v/>
      </c>
      <c r="L66" s="325">
        <f>IF($A66="","",IFERROR(VLOOKUP($A66,Invoices!$A$9:$X$108,3,FALSE),""))</f>
        <v/>
      </c>
      <c r="M66" s="325">
        <f>IF($A66="","",IFERROR(VLOOKUP($A66,Invoices!$A$9:$X$108,4,FALSE),""))</f>
        <v/>
      </c>
      <c r="N66" s="325">
        <f>IF($A66="","",IFERROR(VLOOKUP($A66,Invoices!$A$9:$X$108,5,FALSE),""))</f>
        <v/>
      </c>
      <c r="O66" s="325">
        <f>IF(AND($A66="",$B66="",$C66="",$D66=""),"",IF(OR($A66="",$B66="",$C66&lt;=0,$D66&lt;=0,$F66="",$H66="",$K66=""),"REVIEW","OK"))</f>
        <v/>
      </c>
      <c r="P66" s="330">
        <f>IF($A66="","",LOWER($A66&amp;" "&amp;$B66&amp;" "&amp;$F66&amp;" "&amp;$G66&amp;" "&amp;$L66&amp;" "&amp;$M66&amp;" "&amp;$N66))</f>
        <v/>
      </c>
    </row>
    <row r="67">
      <c r="A67" s="205" t="n"/>
      <c r="B67" s="207" t="n"/>
      <c r="C67" s="350" t="n"/>
      <c r="D67" s="332" t="n"/>
      <c r="E67" s="326">
        <f>IF(OR($A67="",$B67="",$C67="",$D67=""),"",$C67*$D67)</f>
        <v/>
      </c>
      <c r="F67" s="325">
        <f>IF($B67="","",IFERROR(VLOOKUP($B67,Setup!$A$9:$H$30,2,FALSE),""))</f>
        <v/>
      </c>
      <c r="G67" s="325">
        <f>IF($B67="","",IFERROR(VLOOKUP($B67,Setup!$A$9:$H$30,5,FALSE),""))</f>
        <v/>
      </c>
      <c r="H67" s="326">
        <f>IF($B67="","",IFERROR(VLOOKUP($B67,Setup!$A$9:$H$30,6,FALSE),""))</f>
        <v/>
      </c>
      <c r="I67" s="326">
        <f>IF(OR($C67="",$H67=""),"",$C67*$H67)</f>
        <v/>
      </c>
      <c r="J67" s="326">
        <f>IF(OR($E67="",$I67=""),"",$E67-$I67)</f>
        <v/>
      </c>
      <c r="K67" s="329">
        <f>IF($A67="","",IFERROR(VLOOKUP($A67,Invoices!$A$9:$X$108,2,FALSE),""))</f>
        <v/>
      </c>
      <c r="L67" s="325">
        <f>IF($A67="","",IFERROR(VLOOKUP($A67,Invoices!$A$9:$X$108,3,FALSE),""))</f>
        <v/>
      </c>
      <c r="M67" s="325">
        <f>IF($A67="","",IFERROR(VLOOKUP($A67,Invoices!$A$9:$X$108,4,FALSE),""))</f>
        <v/>
      </c>
      <c r="N67" s="325">
        <f>IF($A67="","",IFERROR(VLOOKUP($A67,Invoices!$A$9:$X$108,5,FALSE),""))</f>
        <v/>
      </c>
      <c r="O67" s="325">
        <f>IF(AND($A67="",$B67="",$C67="",$D67=""),"",IF(OR($A67="",$B67="",$C67&lt;=0,$D67&lt;=0,$F67="",$H67="",$K67=""),"REVIEW","OK"))</f>
        <v/>
      </c>
      <c r="P67" s="330">
        <f>IF($A67="","",LOWER($A67&amp;" "&amp;$B67&amp;" "&amp;$F67&amp;" "&amp;$G67&amp;" "&amp;$L67&amp;" "&amp;$M67&amp;" "&amp;$N67))</f>
        <v/>
      </c>
    </row>
    <row r="68">
      <c r="A68" s="205" t="n"/>
      <c r="B68" s="207" t="n"/>
      <c r="C68" s="350" t="n"/>
      <c r="D68" s="332" t="n"/>
      <c r="E68" s="326">
        <f>IF(OR($A68="",$B68="",$C68="",$D68=""),"",$C68*$D68)</f>
        <v/>
      </c>
      <c r="F68" s="325">
        <f>IF($B68="","",IFERROR(VLOOKUP($B68,Setup!$A$9:$H$30,2,FALSE),""))</f>
        <v/>
      </c>
      <c r="G68" s="325">
        <f>IF($B68="","",IFERROR(VLOOKUP($B68,Setup!$A$9:$H$30,5,FALSE),""))</f>
        <v/>
      </c>
      <c r="H68" s="326">
        <f>IF($B68="","",IFERROR(VLOOKUP($B68,Setup!$A$9:$H$30,6,FALSE),""))</f>
        <v/>
      </c>
      <c r="I68" s="326">
        <f>IF(OR($C68="",$H68=""),"",$C68*$H68)</f>
        <v/>
      </c>
      <c r="J68" s="326">
        <f>IF(OR($E68="",$I68=""),"",$E68-$I68)</f>
        <v/>
      </c>
      <c r="K68" s="329">
        <f>IF($A68="","",IFERROR(VLOOKUP($A68,Invoices!$A$9:$X$108,2,FALSE),""))</f>
        <v/>
      </c>
      <c r="L68" s="325">
        <f>IF($A68="","",IFERROR(VLOOKUP($A68,Invoices!$A$9:$X$108,3,FALSE),""))</f>
        <v/>
      </c>
      <c r="M68" s="325">
        <f>IF($A68="","",IFERROR(VLOOKUP($A68,Invoices!$A$9:$X$108,4,FALSE),""))</f>
        <v/>
      </c>
      <c r="N68" s="325">
        <f>IF($A68="","",IFERROR(VLOOKUP($A68,Invoices!$A$9:$X$108,5,FALSE),""))</f>
        <v/>
      </c>
      <c r="O68" s="325">
        <f>IF(AND($A68="",$B68="",$C68="",$D68=""),"",IF(OR($A68="",$B68="",$C68&lt;=0,$D68&lt;=0,$F68="",$H68="",$K68=""),"REVIEW","OK"))</f>
        <v/>
      </c>
      <c r="P68" s="330">
        <f>IF($A68="","",LOWER($A68&amp;" "&amp;$B68&amp;" "&amp;$F68&amp;" "&amp;$G68&amp;" "&amp;$L68&amp;" "&amp;$M68&amp;" "&amp;$N68))</f>
        <v/>
      </c>
    </row>
    <row r="69">
      <c r="A69" s="205" t="n"/>
      <c r="B69" s="207" t="n"/>
      <c r="C69" s="350" t="n"/>
      <c r="D69" s="332" t="n"/>
      <c r="E69" s="326">
        <f>IF(OR($A69="",$B69="",$C69="",$D69=""),"",$C69*$D69)</f>
        <v/>
      </c>
      <c r="F69" s="325">
        <f>IF($B69="","",IFERROR(VLOOKUP($B69,Setup!$A$9:$H$30,2,FALSE),""))</f>
        <v/>
      </c>
      <c r="G69" s="325">
        <f>IF($B69="","",IFERROR(VLOOKUP($B69,Setup!$A$9:$H$30,5,FALSE),""))</f>
        <v/>
      </c>
      <c r="H69" s="326">
        <f>IF($B69="","",IFERROR(VLOOKUP($B69,Setup!$A$9:$H$30,6,FALSE),""))</f>
        <v/>
      </c>
      <c r="I69" s="326">
        <f>IF(OR($C69="",$H69=""),"",$C69*$H69)</f>
        <v/>
      </c>
      <c r="J69" s="326">
        <f>IF(OR($E69="",$I69=""),"",$E69-$I69)</f>
        <v/>
      </c>
      <c r="K69" s="329">
        <f>IF($A69="","",IFERROR(VLOOKUP($A69,Invoices!$A$9:$X$108,2,FALSE),""))</f>
        <v/>
      </c>
      <c r="L69" s="325">
        <f>IF($A69="","",IFERROR(VLOOKUP($A69,Invoices!$A$9:$X$108,3,FALSE),""))</f>
        <v/>
      </c>
      <c r="M69" s="325">
        <f>IF($A69="","",IFERROR(VLOOKUP($A69,Invoices!$A$9:$X$108,4,FALSE),""))</f>
        <v/>
      </c>
      <c r="N69" s="325">
        <f>IF($A69="","",IFERROR(VLOOKUP($A69,Invoices!$A$9:$X$108,5,FALSE),""))</f>
        <v/>
      </c>
      <c r="O69" s="325">
        <f>IF(AND($A69="",$B69="",$C69="",$D69=""),"",IF(OR($A69="",$B69="",$C69&lt;=0,$D69&lt;=0,$F69="",$H69="",$K69=""),"REVIEW","OK"))</f>
        <v/>
      </c>
      <c r="P69" s="330">
        <f>IF($A69="","",LOWER($A69&amp;" "&amp;$B69&amp;" "&amp;$F69&amp;" "&amp;$G69&amp;" "&amp;$L69&amp;" "&amp;$M69&amp;" "&amp;$N69))</f>
        <v/>
      </c>
    </row>
    <row r="70">
      <c r="A70" s="205" t="n"/>
      <c r="B70" s="207" t="n"/>
      <c r="C70" s="350" t="n"/>
      <c r="D70" s="332" t="n"/>
      <c r="E70" s="326">
        <f>IF(OR($A70="",$B70="",$C70="",$D70=""),"",$C70*$D70)</f>
        <v/>
      </c>
      <c r="F70" s="325">
        <f>IF($B70="","",IFERROR(VLOOKUP($B70,Setup!$A$9:$H$30,2,FALSE),""))</f>
        <v/>
      </c>
      <c r="G70" s="325">
        <f>IF($B70="","",IFERROR(VLOOKUP($B70,Setup!$A$9:$H$30,5,FALSE),""))</f>
        <v/>
      </c>
      <c r="H70" s="326">
        <f>IF($B70="","",IFERROR(VLOOKUP($B70,Setup!$A$9:$H$30,6,FALSE),""))</f>
        <v/>
      </c>
      <c r="I70" s="326">
        <f>IF(OR($C70="",$H70=""),"",$C70*$H70)</f>
        <v/>
      </c>
      <c r="J70" s="326">
        <f>IF(OR($E70="",$I70=""),"",$E70-$I70)</f>
        <v/>
      </c>
      <c r="K70" s="329">
        <f>IF($A70="","",IFERROR(VLOOKUP($A70,Invoices!$A$9:$X$108,2,FALSE),""))</f>
        <v/>
      </c>
      <c r="L70" s="325">
        <f>IF($A70="","",IFERROR(VLOOKUP($A70,Invoices!$A$9:$X$108,3,FALSE),""))</f>
        <v/>
      </c>
      <c r="M70" s="325">
        <f>IF($A70="","",IFERROR(VLOOKUP($A70,Invoices!$A$9:$X$108,4,FALSE),""))</f>
        <v/>
      </c>
      <c r="N70" s="325">
        <f>IF($A70="","",IFERROR(VLOOKUP($A70,Invoices!$A$9:$X$108,5,FALSE),""))</f>
        <v/>
      </c>
      <c r="O70" s="325">
        <f>IF(AND($A70="",$B70="",$C70="",$D70=""),"",IF(OR($A70="",$B70="",$C70&lt;=0,$D70&lt;=0,$F70="",$H70="",$K70=""),"REVIEW","OK"))</f>
        <v/>
      </c>
      <c r="P70" s="330">
        <f>IF($A70="","",LOWER($A70&amp;" "&amp;$B70&amp;" "&amp;$F70&amp;" "&amp;$G70&amp;" "&amp;$L70&amp;" "&amp;$M70&amp;" "&amp;$N70))</f>
        <v/>
      </c>
    </row>
    <row r="71">
      <c r="A71" s="205" t="n"/>
      <c r="B71" s="207" t="n"/>
      <c r="C71" s="350" t="n"/>
      <c r="D71" s="332" t="n"/>
      <c r="E71" s="326">
        <f>IF(OR($A71="",$B71="",$C71="",$D71=""),"",$C71*$D71)</f>
        <v/>
      </c>
      <c r="F71" s="325">
        <f>IF($B71="","",IFERROR(VLOOKUP($B71,Setup!$A$9:$H$30,2,FALSE),""))</f>
        <v/>
      </c>
      <c r="G71" s="325">
        <f>IF($B71="","",IFERROR(VLOOKUP($B71,Setup!$A$9:$H$30,5,FALSE),""))</f>
        <v/>
      </c>
      <c r="H71" s="326">
        <f>IF($B71="","",IFERROR(VLOOKUP($B71,Setup!$A$9:$H$30,6,FALSE),""))</f>
        <v/>
      </c>
      <c r="I71" s="326">
        <f>IF(OR($C71="",$H71=""),"",$C71*$H71)</f>
        <v/>
      </c>
      <c r="J71" s="326">
        <f>IF(OR($E71="",$I71=""),"",$E71-$I71)</f>
        <v/>
      </c>
      <c r="K71" s="329">
        <f>IF($A71="","",IFERROR(VLOOKUP($A71,Invoices!$A$9:$X$108,2,FALSE),""))</f>
        <v/>
      </c>
      <c r="L71" s="325">
        <f>IF($A71="","",IFERROR(VLOOKUP($A71,Invoices!$A$9:$X$108,3,FALSE),""))</f>
        <v/>
      </c>
      <c r="M71" s="325">
        <f>IF($A71="","",IFERROR(VLOOKUP($A71,Invoices!$A$9:$X$108,4,FALSE),""))</f>
        <v/>
      </c>
      <c r="N71" s="325">
        <f>IF($A71="","",IFERROR(VLOOKUP($A71,Invoices!$A$9:$X$108,5,FALSE),""))</f>
        <v/>
      </c>
      <c r="O71" s="325">
        <f>IF(AND($A71="",$B71="",$C71="",$D71=""),"",IF(OR($A71="",$B71="",$C71&lt;=0,$D71&lt;=0,$F71="",$H71="",$K71=""),"REVIEW","OK"))</f>
        <v/>
      </c>
      <c r="P71" s="330">
        <f>IF($A71="","",LOWER($A71&amp;" "&amp;$B71&amp;" "&amp;$F71&amp;" "&amp;$G71&amp;" "&amp;$L71&amp;" "&amp;$M71&amp;" "&amp;$N71))</f>
        <v/>
      </c>
    </row>
    <row r="72">
      <c r="A72" s="205" t="n"/>
      <c r="B72" s="207" t="n"/>
      <c r="C72" s="350" t="n"/>
      <c r="D72" s="332" t="n"/>
      <c r="E72" s="326">
        <f>IF(OR($A72="",$B72="",$C72="",$D72=""),"",$C72*$D72)</f>
        <v/>
      </c>
      <c r="F72" s="325">
        <f>IF($B72="","",IFERROR(VLOOKUP($B72,Setup!$A$9:$H$30,2,FALSE),""))</f>
        <v/>
      </c>
      <c r="G72" s="325">
        <f>IF($B72="","",IFERROR(VLOOKUP($B72,Setup!$A$9:$H$30,5,FALSE),""))</f>
        <v/>
      </c>
      <c r="H72" s="326">
        <f>IF($B72="","",IFERROR(VLOOKUP($B72,Setup!$A$9:$H$30,6,FALSE),""))</f>
        <v/>
      </c>
      <c r="I72" s="326">
        <f>IF(OR($C72="",$H72=""),"",$C72*$H72)</f>
        <v/>
      </c>
      <c r="J72" s="326">
        <f>IF(OR($E72="",$I72=""),"",$E72-$I72)</f>
        <v/>
      </c>
      <c r="K72" s="329">
        <f>IF($A72="","",IFERROR(VLOOKUP($A72,Invoices!$A$9:$X$108,2,FALSE),""))</f>
        <v/>
      </c>
      <c r="L72" s="325">
        <f>IF($A72="","",IFERROR(VLOOKUP($A72,Invoices!$A$9:$X$108,3,FALSE),""))</f>
        <v/>
      </c>
      <c r="M72" s="325">
        <f>IF($A72="","",IFERROR(VLOOKUP($A72,Invoices!$A$9:$X$108,4,FALSE),""))</f>
        <v/>
      </c>
      <c r="N72" s="325">
        <f>IF($A72="","",IFERROR(VLOOKUP($A72,Invoices!$A$9:$X$108,5,FALSE),""))</f>
        <v/>
      </c>
      <c r="O72" s="325">
        <f>IF(AND($A72="",$B72="",$C72="",$D72=""),"",IF(OR($A72="",$B72="",$C72&lt;=0,$D72&lt;=0,$F72="",$H72="",$K72=""),"REVIEW","OK"))</f>
        <v/>
      </c>
      <c r="P72" s="330">
        <f>IF($A72="","",LOWER($A72&amp;" "&amp;$B72&amp;" "&amp;$F72&amp;" "&amp;$G72&amp;" "&amp;$L72&amp;" "&amp;$M72&amp;" "&amp;$N72))</f>
        <v/>
      </c>
    </row>
    <row r="73">
      <c r="A73" s="205" t="n"/>
      <c r="B73" s="207" t="n"/>
      <c r="C73" s="350" t="n"/>
      <c r="D73" s="332" t="n"/>
      <c r="E73" s="326">
        <f>IF(OR($A73="",$B73="",$C73="",$D73=""),"",$C73*$D73)</f>
        <v/>
      </c>
      <c r="F73" s="325">
        <f>IF($B73="","",IFERROR(VLOOKUP($B73,Setup!$A$9:$H$30,2,FALSE),""))</f>
        <v/>
      </c>
      <c r="G73" s="325">
        <f>IF($B73="","",IFERROR(VLOOKUP($B73,Setup!$A$9:$H$30,5,FALSE),""))</f>
        <v/>
      </c>
      <c r="H73" s="326">
        <f>IF($B73="","",IFERROR(VLOOKUP($B73,Setup!$A$9:$H$30,6,FALSE),""))</f>
        <v/>
      </c>
      <c r="I73" s="326">
        <f>IF(OR($C73="",$H73=""),"",$C73*$H73)</f>
        <v/>
      </c>
      <c r="J73" s="326">
        <f>IF(OR($E73="",$I73=""),"",$E73-$I73)</f>
        <v/>
      </c>
      <c r="K73" s="329">
        <f>IF($A73="","",IFERROR(VLOOKUP($A73,Invoices!$A$9:$X$108,2,FALSE),""))</f>
        <v/>
      </c>
      <c r="L73" s="325">
        <f>IF($A73="","",IFERROR(VLOOKUP($A73,Invoices!$A$9:$X$108,3,FALSE),""))</f>
        <v/>
      </c>
      <c r="M73" s="325">
        <f>IF($A73="","",IFERROR(VLOOKUP($A73,Invoices!$A$9:$X$108,4,FALSE),""))</f>
        <v/>
      </c>
      <c r="N73" s="325">
        <f>IF($A73="","",IFERROR(VLOOKUP($A73,Invoices!$A$9:$X$108,5,FALSE),""))</f>
        <v/>
      </c>
      <c r="O73" s="325">
        <f>IF(AND($A73="",$B73="",$C73="",$D73=""),"",IF(OR($A73="",$B73="",$C73&lt;=0,$D73&lt;=0,$F73="",$H73="",$K73=""),"REVIEW","OK"))</f>
        <v/>
      </c>
      <c r="P73" s="330">
        <f>IF($A73="","",LOWER($A73&amp;" "&amp;$B73&amp;" "&amp;$F73&amp;" "&amp;$G73&amp;" "&amp;$L73&amp;" "&amp;$M73&amp;" "&amp;$N73))</f>
        <v/>
      </c>
    </row>
    <row r="74">
      <c r="A74" s="205" t="n"/>
      <c r="B74" s="207" t="n"/>
      <c r="C74" s="350" t="n"/>
      <c r="D74" s="332" t="n"/>
      <c r="E74" s="326">
        <f>IF(OR($A74="",$B74="",$C74="",$D74=""),"",$C74*$D74)</f>
        <v/>
      </c>
      <c r="F74" s="325">
        <f>IF($B74="","",IFERROR(VLOOKUP($B74,Setup!$A$9:$H$30,2,FALSE),""))</f>
        <v/>
      </c>
      <c r="G74" s="325">
        <f>IF($B74="","",IFERROR(VLOOKUP($B74,Setup!$A$9:$H$30,5,FALSE),""))</f>
        <v/>
      </c>
      <c r="H74" s="326">
        <f>IF($B74="","",IFERROR(VLOOKUP($B74,Setup!$A$9:$H$30,6,FALSE),""))</f>
        <v/>
      </c>
      <c r="I74" s="326">
        <f>IF(OR($C74="",$H74=""),"",$C74*$H74)</f>
        <v/>
      </c>
      <c r="J74" s="326">
        <f>IF(OR($E74="",$I74=""),"",$E74-$I74)</f>
        <v/>
      </c>
      <c r="K74" s="329">
        <f>IF($A74="","",IFERROR(VLOOKUP($A74,Invoices!$A$9:$X$108,2,FALSE),""))</f>
        <v/>
      </c>
      <c r="L74" s="325">
        <f>IF($A74="","",IFERROR(VLOOKUP($A74,Invoices!$A$9:$X$108,3,FALSE),""))</f>
        <v/>
      </c>
      <c r="M74" s="325">
        <f>IF($A74="","",IFERROR(VLOOKUP($A74,Invoices!$A$9:$X$108,4,FALSE),""))</f>
        <v/>
      </c>
      <c r="N74" s="325">
        <f>IF($A74="","",IFERROR(VLOOKUP($A74,Invoices!$A$9:$X$108,5,FALSE),""))</f>
        <v/>
      </c>
      <c r="O74" s="325">
        <f>IF(AND($A74="",$B74="",$C74="",$D74=""),"",IF(OR($A74="",$B74="",$C74&lt;=0,$D74&lt;=0,$F74="",$H74="",$K74=""),"REVIEW","OK"))</f>
        <v/>
      </c>
      <c r="P74" s="330">
        <f>IF($A74="","",LOWER($A74&amp;" "&amp;$B74&amp;" "&amp;$F74&amp;" "&amp;$G74&amp;" "&amp;$L74&amp;" "&amp;$M74&amp;" "&amp;$N74))</f>
        <v/>
      </c>
    </row>
    <row r="75">
      <c r="A75" s="205" t="n"/>
      <c r="B75" s="207" t="n"/>
      <c r="C75" s="350" t="n"/>
      <c r="D75" s="332" t="n"/>
      <c r="E75" s="326">
        <f>IF(OR($A75="",$B75="",$C75="",$D75=""),"",$C75*$D75)</f>
        <v/>
      </c>
      <c r="F75" s="325">
        <f>IF($B75="","",IFERROR(VLOOKUP($B75,Setup!$A$9:$H$30,2,FALSE),""))</f>
        <v/>
      </c>
      <c r="G75" s="325">
        <f>IF($B75="","",IFERROR(VLOOKUP($B75,Setup!$A$9:$H$30,5,FALSE),""))</f>
        <v/>
      </c>
      <c r="H75" s="326">
        <f>IF($B75="","",IFERROR(VLOOKUP($B75,Setup!$A$9:$H$30,6,FALSE),""))</f>
        <v/>
      </c>
      <c r="I75" s="326">
        <f>IF(OR($C75="",$H75=""),"",$C75*$H75)</f>
        <v/>
      </c>
      <c r="J75" s="326">
        <f>IF(OR($E75="",$I75=""),"",$E75-$I75)</f>
        <v/>
      </c>
      <c r="K75" s="329">
        <f>IF($A75="","",IFERROR(VLOOKUP($A75,Invoices!$A$9:$X$108,2,FALSE),""))</f>
        <v/>
      </c>
      <c r="L75" s="325">
        <f>IF($A75="","",IFERROR(VLOOKUP($A75,Invoices!$A$9:$X$108,3,FALSE),""))</f>
        <v/>
      </c>
      <c r="M75" s="325">
        <f>IF($A75="","",IFERROR(VLOOKUP($A75,Invoices!$A$9:$X$108,4,FALSE),""))</f>
        <v/>
      </c>
      <c r="N75" s="325">
        <f>IF($A75="","",IFERROR(VLOOKUP($A75,Invoices!$A$9:$X$108,5,FALSE),""))</f>
        <v/>
      </c>
      <c r="O75" s="325">
        <f>IF(AND($A75="",$B75="",$C75="",$D75=""),"",IF(OR($A75="",$B75="",$C75&lt;=0,$D75&lt;=0,$F75="",$H75="",$K75=""),"REVIEW","OK"))</f>
        <v/>
      </c>
      <c r="P75" s="330">
        <f>IF($A75="","",LOWER($A75&amp;" "&amp;$B75&amp;" "&amp;$F75&amp;" "&amp;$G75&amp;" "&amp;$L75&amp;" "&amp;$M75&amp;" "&amp;$N75))</f>
        <v/>
      </c>
    </row>
    <row r="76">
      <c r="A76" s="205" t="n"/>
      <c r="B76" s="207" t="n"/>
      <c r="C76" s="350" t="n"/>
      <c r="D76" s="332" t="n"/>
      <c r="E76" s="326">
        <f>IF(OR($A76="",$B76="",$C76="",$D76=""),"",$C76*$D76)</f>
        <v/>
      </c>
      <c r="F76" s="325">
        <f>IF($B76="","",IFERROR(VLOOKUP($B76,Setup!$A$9:$H$30,2,FALSE),""))</f>
        <v/>
      </c>
      <c r="G76" s="325">
        <f>IF($B76="","",IFERROR(VLOOKUP($B76,Setup!$A$9:$H$30,5,FALSE),""))</f>
        <v/>
      </c>
      <c r="H76" s="326">
        <f>IF($B76="","",IFERROR(VLOOKUP($B76,Setup!$A$9:$H$30,6,FALSE),""))</f>
        <v/>
      </c>
      <c r="I76" s="326">
        <f>IF(OR($C76="",$H76=""),"",$C76*$H76)</f>
        <v/>
      </c>
      <c r="J76" s="326">
        <f>IF(OR($E76="",$I76=""),"",$E76-$I76)</f>
        <v/>
      </c>
      <c r="K76" s="329">
        <f>IF($A76="","",IFERROR(VLOOKUP($A76,Invoices!$A$9:$X$108,2,FALSE),""))</f>
        <v/>
      </c>
      <c r="L76" s="325">
        <f>IF($A76="","",IFERROR(VLOOKUP($A76,Invoices!$A$9:$X$108,3,FALSE),""))</f>
        <v/>
      </c>
      <c r="M76" s="325">
        <f>IF($A76="","",IFERROR(VLOOKUP($A76,Invoices!$A$9:$X$108,4,FALSE),""))</f>
        <v/>
      </c>
      <c r="N76" s="325">
        <f>IF($A76="","",IFERROR(VLOOKUP($A76,Invoices!$A$9:$X$108,5,FALSE),""))</f>
        <v/>
      </c>
      <c r="O76" s="325">
        <f>IF(AND($A76="",$B76="",$C76="",$D76=""),"",IF(OR($A76="",$B76="",$C76&lt;=0,$D76&lt;=0,$F76="",$H76="",$K76=""),"REVIEW","OK"))</f>
        <v/>
      </c>
      <c r="P76" s="330">
        <f>IF($A76="","",LOWER($A76&amp;" "&amp;$B76&amp;" "&amp;$F76&amp;" "&amp;$G76&amp;" "&amp;$L76&amp;" "&amp;$M76&amp;" "&amp;$N76))</f>
        <v/>
      </c>
    </row>
    <row r="77">
      <c r="A77" s="205" t="n"/>
      <c r="B77" s="207" t="n"/>
      <c r="C77" s="350" t="n"/>
      <c r="D77" s="332" t="n"/>
      <c r="E77" s="326">
        <f>IF(OR($A77="",$B77="",$C77="",$D77=""),"",$C77*$D77)</f>
        <v/>
      </c>
      <c r="F77" s="325">
        <f>IF($B77="","",IFERROR(VLOOKUP($B77,Setup!$A$9:$H$30,2,FALSE),""))</f>
        <v/>
      </c>
      <c r="G77" s="325">
        <f>IF($B77="","",IFERROR(VLOOKUP($B77,Setup!$A$9:$H$30,5,FALSE),""))</f>
        <v/>
      </c>
      <c r="H77" s="326">
        <f>IF($B77="","",IFERROR(VLOOKUP($B77,Setup!$A$9:$H$30,6,FALSE),""))</f>
        <v/>
      </c>
      <c r="I77" s="326">
        <f>IF(OR($C77="",$H77=""),"",$C77*$H77)</f>
        <v/>
      </c>
      <c r="J77" s="326">
        <f>IF(OR($E77="",$I77=""),"",$E77-$I77)</f>
        <v/>
      </c>
      <c r="K77" s="329">
        <f>IF($A77="","",IFERROR(VLOOKUP($A77,Invoices!$A$9:$X$108,2,FALSE),""))</f>
        <v/>
      </c>
      <c r="L77" s="325">
        <f>IF($A77="","",IFERROR(VLOOKUP($A77,Invoices!$A$9:$X$108,3,FALSE),""))</f>
        <v/>
      </c>
      <c r="M77" s="325">
        <f>IF($A77="","",IFERROR(VLOOKUP($A77,Invoices!$A$9:$X$108,4,FALSE),""))</f>
        <v/>
      </c>
      <c r="N77" s="325">
        <f>IF($A77="","",IFERROR(VLOOKUP($A77,Invoices!$A$9:$X$108,5,FALSE),""))</f>
        <v/>
      </c>
      <c r="O77" s="325">
        <f>IF(AND($A77="",$B77="",$C77="",$D77=""),"",IF(OR($A77="",$B77="",$C77&lt;=0,$D77&lt;=0,$F77="",$H77="",$K77=""),"REVIEW","OK"))</f>
        <v/>
      </c>
      <c r="P77" s="330">
        <f>IF($A77="","",LOWER($A77&amp;" "&amp;$B77&amp;" "&amp;$F77&amp;" "&amp;$G77&amp;" "&amp;$L77&amp;" "&amp;$M77&amp;" "&amp;$N77))</f>
        <v/>
      </c>
    </row>
    <row r="78">
      <c r="A78" s="205" t="n"/>
      <c r="B78" s="207" t="n"/>
      <c r="C78" s="350" t="n"/>
      <c r="D78" s="332" t="n"/>
      <c r="E78" s="326">
        <f>IF(OR($A78="",$B78="",$C78="",$D78=""),"",$C78*$D78)</f>
        <v/>
      </c>
      <c r="F78" s="325">
        <f>IF($B78="","",IFERROR(VLOOKUP($B78,Setup!$A$9:$H$30,2,FALSE),""))</f>
        <v/>
      </c>
      <c r="G78" s="325">
        <f>IF($B78="","",IFERROR(VLOOKUP($B78,Setup!$A$9:$H$30,5,FALSE),""))</f>
        <v/>
      </c>
      <c r="H78" s="326">
        <f>IF($B78="","",IFERROR(VLOOKUP($B78,Setup!$A$9:$H$30,6,FALSE),""))</f>
        <v/>
      </c>
      <c r="I78" s="326">
        <f>IF(OR($C78="",$H78=""),"",$C78*$H78)</f>
        <v/>
      </c>
      <c r="J78" s="326">
        <f>IF(OR($E78="",$I78=""),"",$E78-$I78)</f>
        <v/>
      </c>
      <c r="K78" s="329">
        <f>IF($A78="","",IFERROR(VLOOKUP($A78,Invoices!$A$9:$X$108,2,FALSE),""))</f>
        <v/>
      </c>
      <c r="L78" s="325">
        <f>IF($A78="","",IFERROR(VLOOKUP($A78,Invoices!$A$9:$X$108,3,FALSE),""))</f>
        <v/>
      </c>
      <c r="M78" s="325">
        <f>IF($A78="","",IFERROR(VLOOKUP($A78,Invoices!$A$9:$X$108,4,FALSE),""))</f>
        <v/>
      </c>
      <c r="N78" s="325">
        <f>IF($A78="","",IFERROR(VLOOKUP($A78,Invoices!$A$9:$X$108,5,FALSE),""))</f>
        <v/>
      </c>
      <c r="O78" s="325">
        <f>IF(AND($A78="",$B78="",$C78="",$D78=""),"",IF(OR($A78="",$B78="",$C78&lt;=0,$D78&lt;=0,$F78="",$H78="",$K78=""),"REVIEW","OK"))</f>
        <v/>
      </c>
      <c r="P78" s="330">
        <f>IF($A78="","",LOWER($A78&amp;" "&amp;$B78&amp;" "&amp;$F78&amp;" "&amp;$G78&amp;" "&amp;$L78&amp;" "&amp;$M78&amp;" "&amp;$N78))</f>
        <v/>
      </c>
    </row>
    <row r="79">
      <c r="A79" s="205" t="n"/>
      <c r="B79" s="207" t="n"/>
      <c r="C79" s="350" t="n"/>
      <c r="D79" s="332" t="n"/>
      <c r="E79" s="326">
        <f>IF(OR($A79="",$B79="",$C79="",$D79=""),"",$C79*$D79)</f>
        <v/>
      </c>
      <c r="F79" s="325">
        <f>IF($B79="","",IFERROR(VLOOKUP($B79,Setup!$A$9:$H$30,2,FALSE),""))</f>
        <v/>
      </c>
      <c r="G79" s="325">
        <f>IF($B79="","",IFERROR(VLOOKUP($B79,Setup!$A$9:$H$30,5,FALSE),""))</f>
        <v/>
      </c>
      <c r="H79" s="326">
        <f>IF($B79="","",IFERROR(VLOOKUP($B79,Setup!$A$9:$H$30,6,FALSE),""))</f>
        <v/>
      </c>
      <c r="I79" s="326">
        <f>IF(OR($C79="",$H79=""),"",$C79*$H79)</f>
        <v/>
      </c>
      <c r="J79" s="326">
        <f>IF(OR($E79="",$I79=""),"",$E79-$I79)</f>
        <v/>
      </c>
      <c r="K79" s="329">
        <f>IF($A79="","",IFERROR(VLOOKUP($A79,Invoices!$A$9:$X$108,2,FALSE),""))</f>
        <v/>
      </c>
      <c r="L79" s="325">
        <f>IF($A79="","",IFERROR(VLOOKUP($A79,Invoices!$A$9:$X$108,3,FALSE),""))</f>
        <v/>
      </c>
      <c r="M79" s="325">
        <f>IF($A79="","",IFERROR(VLOOKUP($A79,Invoices!$A$9:$X$108,4,FALSE),""))</f>
        <v/>
      </c>
      <c r="N79" s="325">
        <f>IF($A79="","",IFERROR(VLOOKUP($A79,Invoices!$A$9:$X$108,5,FALSE),""))</f>
        <v/>
      </c>
      <c r="O79" s="325">
        <f>IF(AND($A79="",$B79="",$C79="",$D79=""),"",IF(OR($A79="",$B79="",$C79&lt;=0,$D79&lt;=0,$F79="",$H79="",$K79=""),"REVIEW","OK"))</f>
        <v/>
      </c>
      <c r="P79" s="330">
        <f>IF($A79="","",LOWER($A79&amp;" "&amp;$B79&amp;" "&amp;$F79&amp;" "&amp;$G79&amp;" "&amp;$L79&amp;" "&amp;$M79&amp;" "&amp;$N79))</f>
        <v/>
      </c>
    </row>
    <row r="80">
      <c r="A80" s="205" t="n"/>
      <c r="B80" s="207" t="n"/>
      <c r="C80" s="350" t="n"/>
      <c r="D80" s="332" t="n"/>
      <c r="E80" s="326">
        <f>IF(OR($A80="",$B80="",$C80="",$D80=""),"",$C80*$D80)</f>
        <v/>
      </c>
      <c r="F80" s="325">
        <f>IF($B80="","",IFERROR(VLOOKUP($B80,Setup!$A$9:$H$30,2,FALSE),""))</f>
        <v/>
      </c>
      <c r="G80" s="325">
        <f>IF($B80="","",IFERROR(VLOOKUP($B80,Setup!$A$9:$H$30,5,FALSE),""))</f>
        <v/>
      </c>
      <c r="H80" s="326">
        <f>IF($B80="","",IFERROR(VLOOKUP($B80,Setup!$A$9:$H$30,6,FALSE),""))</f>
        <v/>
      </c>
      <c r="I80" s="326">
        <f>IF(OR($C80="",$H80=""),"",$C80*$H80)</f>
        <v/>
      </c>
      <c r="J80" s="326">
        <f>IF(OR($E80="",$I80=""),"",$E80-$I80)</f>
        <v/>
      </c>
      <c r="K80" s="329">
        <f>IF($A80="","",IFERROR(VLOOKUP($A80,Invoices!$A$9:$X$108,2,FALSE),""))</f>
        <v/>
      </c>
      <c r="L80" s="325">
        <f>IF($A80="","",IFERROR(VLOOKUP($A80,Invoices!$A$9:$X$108,3,FALSE),""))</f>
        <v/>
      </c>
      <c r="M80" s="325">
        <f>IF($A80="","",IFERROR(VLOOKUP($A80,Invoices!$A$9:$X$108,4,FALSE),""))</f>
        <v/>
      </c>
      <c r="N80" s="325">
        <f>IF($A80="","",IFERROR(VLOOKUP($A80,Invoices!$A$9:$X$108,5,FALSE),""))</f>
        <v/>
      </c>
      <c r="O80" s="325">
        <f>IF(AND($A80="",$B80="",$C80="",$D80=""),"",IF(OR($A80="",$B80="",$C80&lt;=0,$D80&lt;=0,$F80="",$H80="",$K80=""),"REVIEW","OK"))</f>
        <v/>
      </c>
      <c r="P80" s="330">
        <f>IF($A80="","",LOWER($A80&amp;" "&amp;$B80&amp;" "&amp;$F80&amp;" "&amp;$G80&amp;" "&amp;$L80&amp;" "&amp;$M80&amp;" "&amp;$N80))</f>
        <v/>
      </c>
    </row>
    <row r="81">
      <c r="A81" s="205" t="n"/>
      <c r="B81" s="207" t="n"/>
      <c r="C81" s="350" t="n"/>
      <c r="D81" s="332" t="n"/>
      <c r="E81" s="326">
        <f>IF(OR($A81="",$B81="",$C81="",$D81=""),"",$C81*$D81)</f>
        <v/>
      </c>
      <c r="F81" s="325">
        <f>IF($B81="","",IFERROR(VLOOKUP($B81,Setup!$A$9:$H$30,2,FALSE),""))</f>
        <v/>
      </c>
      <c r="G81" s="325">
        <f>IF($B81="","",IFERROR(VLOOKUP($B81,Setup!$A$9:$H$30,5,FALSE),""))</f>
        <v/>
      </c>
      <c r="H81" s="326">
        <f>IF($B81="","",IFERROR(VLOOKUP($B81,Setup!$A$9:$H$30,6,FALSE),""))</f>
        <v/>
      </c>
      <c r="I81" s="326">
        <f>IF(OR($C81="",$H81=""),"",$C81*$H81)</f>
        <v/>
      </c>
      <c r="J81" s="326">
        <f>IF(OR($E81="",$I81=""),"",$E81-$I81)</f>
        <v/>
      </c>
      <c r="K81" s="329">
        <f>IF($A81="","",IFERROR(VLOOKUP($A81,Invoices!$A$9:$X$108,2,FALSE),""))</f>
        <v/>
      </c>
      <c r="L81" s="325">
        <f>IF($A81="","",IFERROR(VLOOKUP($A81,Invoices!$A$9:$X$108,3,FALSE),""))</f>
        <v/>
      </c>
      <c r="M81" s="325">
        <f>IF($A81="","",IFERROR(VLOOKUP($A81,Invoices!$A$9:$X$108,4,FALSE),""))</f>
        <v/>
      </c>
      <c r="N81" s="325">
        <f>IF($A81="","",IFERROR(VLOOKUP($A81,Invoices!$A$9:$X$108,5,FALSE),""))</f>
        <v/>
      </c>
      <c r="O81" s="325">
        <f>IF(AND($A81="",$B81="",$C81="",$D81=""),"",IF(OR($A81="",$B81="",$C81&lt;=0,$D81&lt;=0,$F81="",$H81="",$K81=""),"REVIEW","OK"))</f>
        <v/>
      </c>
      <c r="P81" s="330">
        <f>IF($A81="","",LOWER($A81&amp;" "&amp;$B81&amp;" "&amp;$F81&amp;" "&amp;$G81&amp;" "&amp;$L81&amp;" "&amp;$M81&amp;" "&amp;$N81))</f>
        <v/>
      </c>
    </row>
    <row r="82">
      <c r="A82" s="205" t="n"/>
      <c r="B82" s="207" t="n"/>
      <c r="C82" s="350" t="n"/>
      <c r="D82" s="332" t="n"/>
      <c r="E82" s="326">
        <f>IF(OR($A82="",$B82="",$C82="",$D82=""),"",$C82*$D82)</f>
        <v/>
      </c>
      <c r="F82" s="325">
        <f>IF($B82="","",IFERROR(VLOOKUP($B82,Setup!$A$9:$H$30,2,FALSE),""))</f>
        <v/>
      </c>
      <c r="G82" s="325">
        <f>IF($B82="","",IFERROR(VLOOKUP($B82,Setup!$A$9:$H$30,5,FALSE),""))</f>
        <v/>
      </c>
      <c r="H82" s="326">
        <f>IF($B82="","",IFERROR(VLOOKUP($B82,Setup!$A$9:$H$30,6,FALSE),""))</f>
        <v/>
      </c>
      <c r="I82" s="326">
        <f>IF(OR($C82="",$H82=""),"",$C82*$H82)</f>
        <v/>
      </c>
      <c r="J82" s="326">
        <f>IF(OR($E82="",$I82=""),"",$E82-$I82)</f>
        <v/>
      </c>
      <c r="K82" s="329">
        <f>IF($A82="","",IFERROR(VLOOKUP($A82,Invoices!$A$9:$X$108,2,FALSE),""))</f>
        <v/>
      </c>
      <c r="L82" s="325">
        <f>IF($A82="","",IFERROR(VLOOKUP($A82,Invoices!$A$9:$X$108,3,FALSE),""))</f>
        <v/>
      </c>
      <c r="M82" s="325">
        <f>IF($A82="","",IFERROR(VLOOKUP($A82,Invoices!$A$9:$X$108,4,FALSE),""))</f>
        <v/>
      </c>
      <c r="N82" s="325">
        <f>IF($A82="","",IFERROR(VLOOKUP($A82,Invoices!$A$9:$X$108,5,FALSE),""))</f>
        <v/>
      </c>
      <c r="O82" s="325">
        <f>IF(AND($A82="",$B82="",$C82="",$D82=""),"",IF(OR($A82="",$B82="",$C82&lt;=0,$D82&lt;=0,$F82="",$H82="",$K82=""),"REVIEW","OK"))</f>
        <v/>
      </c>
      <c r="P82" s="330">
        <f>IF($A82="","",LOWER($A82&amp;" "&amp;$B82&amp;" "&amp;$F82&amp;" "&amp;$G82&amp;" "&amp;$L82&amp;" "&amp;$M82&amp;" "&amp;$N82))</f>
        <v/>
      </c>
    </row>
    <row r="83">
      <c r="A83" s="205" t="n"/>
      <c r="B83" s="207" t="n"/>
      <c r="C83" s="350" t="n"/>
      <c r="D83" s="332" t="n"/>
      <c r="E83" s="326">
        <f>IF(OR($A83="",$B83="",$C83="",$D83=""),"",$C83*$D83)</f>
        <v/>
      </c>
      <c r="F83" s="325">
        <f>IF($B83="","",IFERROR(VLOOKUP($B83,Setup!$A$9:$H$30,2,FALSE),""))</f>
        <v/>
      </c>
      <c r="G83" s="325">
        <f>IF($B83="","",IFERROR(VLOOKUP($B83,Setup!$A$9:$H$30,5,FALSE),""))</f>
        <v/>
      </c>
      <c r="H83" s="326">
        <f>IF($B83="","",IFERROR(VLOOKUP($B83,Setup!$A$9:$H$30,6,FALSE),""))</f>
        <v/>
      </c>
      <c r="I83" s="326">
        <f>IF(OR($C83="",$H83=""),"",$C83*$H83)</f>
        <v/>
      </c>
      <c r="J83" s="326">
        <f>IF(OR($E83="",$I83=""),"",$E83-$I83)</f>
        <v/>
      </c>
      <c r="K83" s="329">
        <f>IF($A83="","",IFERROR(VLOOKUP($A83,Invoices!$A$9:$X$108,2,FALSE),""))</f>
        <v/>
      </c>
      <c r="L83" s="325">
        <f>IF($A83="","",IFERROR(VLOOKUP($A83,Invoices!$A$9:$X$108,3,FALSE),""))</f>
        <v/>
      </c>
      <c r="M83" s="325">
        <f>IF($A83="","",IFERROR(VLOOKUP($A83,Invoices!$A$9:$X$108,4,FALSE),""))</f>
        <v/>
      </c>
      <c r="N83" s="325">
        <f>IF($A83="","",IFERROR(VLOOKUP($A83,Invoices!$A$9:$X$108,5,FALSE),""))</f>
        <v/>
      </c>
      <c r="O83" s="325">
        <f>IF(AND($A83="",$B83="",$C83="",$D83=""),"",IF(OR($A83="",$B83="",$C83&lt;=0,$D83&lt;=0,$F83="",$H83="",$K83=""),"REVIEW","OK"))</f>
        <v/>
      </c>
      <c r="P83" s="330">
        <f>IF($A83="","",LOWER($A83&amp;" "&amp;$B83&amp;" "&amp;$F83&amp;" "&amp;$G83&amp;" "&amp;$L83&amp;" "&amp;$M83&amp;" "&amp;$N83))</f>
        <v/>
      </c>
    </row>
    <row r="84">
      <c r="A84" s="205" t="n"/>
      <c r="B84" s="207" t="n"/>
      <c r="C84" s="350" t="n"/>
      <c r="D84" s="332" t="n"/>
      <c r="E84" s="326">
        <f>IF(OR($A84="",$B84="",$C84="",$D84=""),"",$C84*$D84)</f>
        <v/>
      </c>
      <c r="F84" s="325">
        <f>IF($B84="","",IFERROR(VLOOKUP($B84,Setup!$A$9:$H$30,2,FALSE),""))</f>
        <v/>
      </c>
      <c r="G84" s="325">
        <f>IF($B84="","",IFERROR(VLOOKUP($B84,Setup!$A$9:$H$30,5,FALSE),""))</f>
        <v/>
      </c>
      <c r="H84" s="326">
        <f>IF($B84="","",IFERROR(VLOOKUP($B84,Setup!$A$9:$H$30,6,FALSE),""))</f>
        <v/>
      </c>
      <c r="I84" s="326">
        <f>IF(OR($C84="",$H84=""),"",$C84*$H84)</f>
        <v/>
      </c>
      <c r="J84" s="326">
        <f>IF(OR($E84="",$I84=""),"",$E84-$I84)</f>
        <v/>
      </c>
      <c r="K84" s="329">
        <f>IF($A84="","",IFERROR(VLOOKUP($A84,Invoices!$A$9:$X$108,2,FALSE),""))</f>
        <v/>
      </c>
      <c r="L84" s="325">
        <f>IF($A84="","",IFERROR(VLOOKUP($A84,Invoices!$A$9:$X$108,3,FALSE),""))</f>
        <v/>
      </c>
      <c r="M84" s="325">
        <f>IF($A84="","",IFERROR(VLOOKUP($A84,Invoices!$A$9:$X$108,4,FALSE),""))</f>
        <v/>
      </c>
      <c r="N84" s="325">
        <f>IF($A84="","",IFERROR(VLOOKUP($A84,Invoices!$A$9:$X$108,5,FALSE),""))</f>
        <v/>
      </c>
      <c r="O84" s="325">
        <f>IF(AND($A84="",$B84="",$C84="",$D84=""),"",IF(OR($A84="",$B84="",$C84&lt;=0,$D84&lt;=0,$F84="",$H84="",$K84=""),"REVIEW","OK"))</f>
        <v/>
      </c>
      <c r="P84" s="330">
        <f>IF($A84="","",LOWER($A84&amp;" "&amp;$B84&amp;" "&amp;$F84&amp;" "&amp;$G84&amp;" "&amp;$L84&amp;" "&amp;$M84&amp;" "&amp;$N84))</f>
        <v/>
      </c>
    </row>
    <row r="85">
      <c r="A85" s="205" t="n"/>
      <c r="B85" s="207" t="n"/>
      <c r="C85" s="350" t="n"/>
      <c r="D85" s="332" t="n"/>
      <c r="E85" s="326">
        <f>IF(OR($A85="",$B85="",$C85="",$D85=""),"",$C85*$D85)</f>
        <v/>
      </c>
      <c r="F85" s="325">
        <f>IF($B85="","",IFERROR(VLOOKUP($B85,Setup!$A$9:$H$30,2,FALSE),""))</f>
        <v/>
      </c>
      <c r="G85" s="325">
        <f>IF($B85="","",IFERROR(VLOOKUP($B85,Setup!$A$9:$H$30,5,FALSE),""))</f>
        <v/>
      </c>
      <c r="H85" s="326">
        <f>IF($B85="","",IFERROR(VLOOKUP($B85,Setup!$A$9:$H$30,6,FALSE),""))</f>
        <v/>
      </c>
      <c r="I85" s="326">
        <f>IF(OR($C85="",$H85=""),"",$C85*$H85)</f>
        <v/>
      </c>
      <c r="J85" s="326">
        <f>IF(OR($E85="",$I85=""),"",$E85-$I85)</f>
        <v/>
      </c>
      <c r="K85" s="329">
        <f>IF($A85="","",IFERROR(VLOOKUP($A85,Invoices!$A$9:$X$108,2,FALSE),""))</f>
        <v/>
      </c>
      <c r="L85" s="325">
        <f>IF($A85="","",IFERROR(VLOOKUP($A85,Invoices!$A$9:$X$108,3,FALSE),""))</f>
        <v/>
      </c>
      <c r="M85" s="325">
        <f>IF($A85="","",IFERROR(VLOOKUP($A85,Invoices!$A$9:$X$108,4,FALSE),""))</f>
        <v/>
      </c>
      <c r="N85" s="325">
        <f>IF($A85="","",IFERROR(VLOOKUP($A85,Invoices!$A$9:$X$108,5,FALSE),""))</f>
        <v/>
      </c>
      <c r="O85" s="325">
        <f>IF(AND($A85="",$B85="",$C85="",$D85=""),"",IF(OR($A85="",$B85="",$C85&lt;=0,$D85&lt;=0,$F85="",$H85="",$K85=""),"REVIEW","OK"))</f>
        <v/>
      </c>
      <c r="P85" s="330">
        <f>IF($A85="","",LOWER($A85&amp;" "&amp;$B85&amp;" "&amp;$F85&amp;" "&amp;$G85&amp;" "&amp;$L85&amp;" "&amp;$M85&amp;" "&amp;$N85))</f>
        <v/>
      </c>
    </row>
    <row r="86">
      <c r="A86" s="205" t="n"/>
      <c r="B86" s="207" t="n"/>
      <c r="C86" s="350" t="n"/>
      <c r="D86" s="332" t="n"/>
      <c r="E86" s="326">
        <f>IF(OR($A86="",$B86="",$C86="",$D86=""),"",$C86*$D86)</f>
        <v/>
      </c>
      <c r="F86" s="325">
        <f>IF($B86="","",IFERROR(VLOOKUP($B86,Setup!$A$9:$H$30,2,FALSE),""))</f>
        <v/>
      </c>
      <c r="G86" s="325">
        <f>IF($B86="","",IFERROR(VLOOKUP($B86,Setup!$A$9:$H$30,5,FALSE),""))</f>
        <v/>
      </c>
      <c r="H86" s="326">
        <f>IF($B86="","",IFERROR(VLOOKUP($B86,Setup!$A$9:$H$30,6,FALSE),""))</f>
        <v/>
      </c>
      <c r="I86" s="326">
        <f>IF(OR($C86="",$H86=""),"",$C86*$H86)</f>
        <v/>
      </c>
      <c r="J86" s="326">
        <f>IF(OR($E86="",$I86=""),"",$E86-$I86)</f>
        <v/>
      </c>
      <c r="K86" s="329">
        <f>IF($A86="","",IFERROR(VLOOKUP($A86,Invoices!$A$9:$X$108,2,FALSE),""))</f>
        <v/>
      </c>
      <c r="L86" s="325">
        <f>IF($A86="","",IFERROR(VLOOKUP($A86,Invoices!$A$9:$X$108,3,FALSE),""))</f>
        <v/>
      </c>
      <c r="M86" s="325">
        <f>IF($A86="","",IFERROR(VLOOKUP($A86,Invoices!$A$9:$X$108,4,FALSE),""))</f>
        <v/>
      </c>
      <c r="N86" s="325">
        <f>IF($A86="","",IFERROR(VLOOKUP($A86,Invoices!$A$9:$X$108,5,FALSE),""))</f>
        <v/>
      </c>
      <c r="O86" s="325">
        <f>IF(AND($A86="",$B86="",$C86="",$D86=""),"",IF(OR($A86="",$B86="",$C86&lt;=0,$D86&lt;=0,$F86="",$H86="",$K86=""),"REVIEW","OK"))</f>
        <v/>
      </c>
      <c r="P86" s="330">
        <f>IF($A86="","",LOWER($A86&amp;" "&amp;$B86&amp;" "&amp;$F86&amp;" "&amp;$G86&amp;" "&amp;$L86&amp;" "&amp;$M86&amp;" "&amp;$N86))</f>
        <v/>
      </c>
    </row>
    <row r="87">
      <c r="A87" s="205" t="n"/>
      <c r="B87" s="207" t="n"/>
      <c r="C87" s="350" t="n"/>
      <c r="D87" s="332" t="n"/>
      <c r="E87" s="326">
        <f>IF(OR($A87="",$B87="",$C87="",$D87=""),"",$C87*$D87)</f>
        <v/>
      </c>
      <c r="F87" s="325">
        <f>IF($B87="","",IFERROR(VLOOKUP($B87,Setup!$A$9:$H$30,2,FALSE),""))</f>
        <v/>
      </c>
      <c r="G87" s="325">
        <f>IF($B87="","",IFERROR(VLOOKUP($B87,Setup!$A$9:$H$30,5,FALSE),""))</f>
        <v/>
      </c>
      <c r="H87" s="326">
        <f>IF($B87="","",IFERROR(VLOOKUP($B87,Setup!$A$9:$H$30,6,FALSE),""))</f>
        <v/>
      </c>
      <c r="I87" s="326">
        <f>IF(OR($C87="",$H87=""),"",$C87*$H87)</f>
        <v/>
      </c>
      <c r="J87" s="326">
        <f>IF(OR($E87="",$I87=""),"",$E87-$I87)</f>
        <v/>
      </c>
      <c r="K87" s="329">
        <f>IF($A87="","",IFERROR(VLOOKUP($A87,Invoices!$A$9:$X$108,2,FALSE),""))</f>
        <v/>
      </c>
      <c r="L87" s="325">
        <f>IF($A87="","",IFERROR(VLOOKUP($A87,Invoices!$A$9:$X$108,3,FALSE),""))</f>
        <v/>
      </c>
      <c r="M87" s="325">
        <f>IF($A87="","",IFERROR(VLOOKUP($A87,Invoices!$A$9:$X$108,4,FALSE),""))</f>
        <v/>
      </c>
      <c r="N87" s="325">
        <f>IF($A87="","",IFERROR(VLOOKUP($A87,Invoices!$A$9:$X$108,5,FALSE),""))</f>
        <v/>
      </c>
      <c r="O87" s="325">
        <f>IF(AND($A87="",$B87="",$C87="",$D87=""),"",IF(OR($A87="",$B87="",$C87&lt;=0,$D87&lt;=0,$F87="",$H87="",$K87=""),"REVIEW","OK"))</f>
        <v/>
      </c>
      <c r="P87" s="330">
        <f>IF($A87="","",LOWER($A87&amp;" "&amp;$B87&amp;" "&amp;$F87&amp;" "&amp;$G87&amp;" "&amp;$L87&amp;" "&amp;$M87&amp;" "&amp;$N87))</f>
        <v/>
      </c>
    </row>
    <row r="88">
      <c r="A88" s="205" t="n"/>
      <c r="B88" s="207" t="n"/>
      <c r="C88" s="350" t="n"/>
      <c r="D88" s="332" t="n"/>
      <c r="E88" s="326">
        <f>IF(OR($A88="",$B88="",$C88="",$D88=""),"",$C88*$D88)</f>
        <v/>
      </c>
      <c r="F88" s="325">
        <f>IF($B88="","",IFERROR(VLOOKUP($B88,Setup!$A$9:$H$30,2,FALSE),""))</f>
        <v/>
      </c>
      <c r="G88" s="325">
        <f>IF($B88="","",IFERROR(VLOOKUP($B88,Setup!$A$9:$H$30,5,FALSE),""))</f>
        <v/>
      </c>
      <c r="H88" s="326">
        <f>IF($B88="","",IFERROR(VLOOKUP($B88,Setup!$A$9:$H$30,6,FALSE),""))</f>
        <v/>
      </c>
      <c r="I88" s="326">
        <f>IF(OR($C88="",$H88=""),"",$C88*$H88)</f>
        <v/>
      </c>
      <c r="J88" s="326">
        <f>IF(OR($E88="",$I88=""),"",$E88-$I88)</f>
        <v/>
      </c>
      <c r="K88" s="329">
        <f>IF($A88="","",IFERROR(VLOOKUP($A88,Invoices!$A$9:$X$108,2,FALSE),""))</f>
        <v/>
      </c>
      <c r="L88" s="325">
        <f>IF($A88="","",IFERROR(VLOOKUP($A88,Invoices!$A$9:$X$108,3,FALSE),""))</f>
        <v/>
      </c>
      <c r="M88" s="325">
        <f>IF($A88="","",IFERROR(VLOOKUP($A88,Invoices!$A$9:$X$108,4,FALSE),""))</f>
        <v/>
      </c>
      <c r="N88" s="325">
        <f>IF($A88="","",IFERROR(VLOOKUP($A88,Invoices!$A$9:$X$108,5,FALSE),""))</f>
        <v/>
      </c>
      <c r="O88" s="325">
        <f>IF(AND($A88="",$B88="",$C88="",$D88=""),"",IF(OR($A88="",$B88="",$C88&lt;=0,$D88&lt;=0,$F88="",$H88="",$K88=""),"REVIEW","OK"))</f>
        <v/>
      </c>
      <c r="P88" s="330">
        <f>IF($A88="","",LOWER($A88&amp;" "&amp;$B88&amp;" "&amp;$F88&amp;" "&amp;$G88&amp;" "&amp;$L88&amp;" "&amp;$M88&amp;" "&amp;$N88))</f>
        <v/>
      </c>
    </row>
    <row r="89">
      <c r="A89" s="205" t="n"/>
      <c r="B89" s="207" t="n"/>
      <c r="C89" s="350" t="n"/>
      <c r="D89" s="332" t="n"/>
      <c r="E89" s="326">
        <f>IF(OR($A89="",$B89="",$C89="",$D89=""),"",$C89*$D89)</f>
        <v/>
      </c>
      <c r="F89" s="325">
        <f>IF($B89="","",IFERROR(VLOOKUP($B89,Setup!$A$9:$H$30,2,FALSE),""))</f>
        <v/>
      </c>
      <c r="G89" s="325">
        <f>IF($B89="","",IFERROR(VLOOKUP($B89,Setup!$A$9:$H$30,5,FALSE),""))</f>
        <v/>
      </c>
      <c r="H89" s="326">
        <f>IF($B89="","",IFERROR(VLOOKUP($B89,Setup!$A$9:$H$30,6,FALSE),""))</f>
        <v/>
      </c>
      <c r="I89" s="326">
        <f>IF(OR($C89="",$H89=""),"",$C89*$H89)</f>
        <v/>
      </c>
      <c r="J89" s="326">
        <f>IF(OR($E89="",$I89=""),"",$E89-$I89)</f>
        <v/>
      </c>
      <c r="K89" s="329">
        <f>IF($A89="","",IFERROR(VLOOKUP($A89,Invoices!$A$9:$X$108,2,FALSE),""))</f>
        <v/>
      </c>
      <c r="L89" s="325">
        <f>IF($A89="","",IFERROR(VLOOKUP($A89,Invoices!$A$9:$X$108,3,FALSE),""))</f>
        <v/>
      </c>
      <c r="M89" s="325">
        <f>IF($A89="","",IFERROR(VLOOKUP($A89,Invoices!$A$9:$X$108,4,FALSE),""))</f>
        <v/>
      </c>
      <c r="N89" s="325">
        <f>IF($A89="","",IFERROR(VLOOKUP($A89,Invoices!$A$9:$X$108,5,FALSE),""))</f>
        <v/>
      </c>
      <c r="O89" s="325">
        <f>IF(AND($A89="",$B89="",$C89="",$D89=""),"",IF(OR($A89="",$B89="",$C89&lt;=0,$D89&lt;=0,$F89="",$H89="",$K89=""),"REVIEW","OK"))</f>
        <v/>
      </c>
      <c r="P89" s="330">
        <f>IF($A89="","",LOWER($A89&amp;" "&amp;$B89&amp;" "&amp;$F89&amp;" "&amp;$G89&amp;" "&amp;$L89&amp;" "&amp;$M89&amp;" "&amp;$N89))</f>
        <v/>
      </c>
    </row>
    <row r="90">
      <c r="A90" s="205" t="n"/>
      <c r="B90" s="207" t="n"/>
      <c r="C90" s="350" t="n"/>
      <c r="D90" s="332" t="n"/>
      <c r="E90" s="326">
        <f>IF(OR($A90="",$B90="",$C90="",$D90=""),"",$C90*$D90)</f>
        <v/>
      </c>
      <c r="F90" s="325">
        <f>IF($B90="","",IFERROR(VLOOKUP($B90,Setup!$A$9:$H$30,2,FALSE),""))</f>
        <v/>
      </c>
      <c r="G90" s="325">
        <f>IF($B90="","",IFERROR(VLOOKUP($B90,Setup!$A$9:$H$30,5,FALSE),""))</f>
        <v/>
      </c>
      <c r="H90" s="326">
        <f>IF($B90="","",IFERROR(VLOOKUP($B90,Setup!$A$9:$H$30,6,FALSE),""))</f>
        <v/>
      </c>
      <c r="I90" s="326">
        <f>IF(OR($C90="",$H90=""),"",$C90*$H90)</f>
        <v/>
      </c>
      <c r="J90" s="326">
        <f>IF(OR($E90="",$I90=""),"",$E90-$I90)</f>
        <v/>
      </c>
      <c r="K90" s="329">
        <f>IF($A90="","",IFERROR(VLOOKUP($A90,Invoices!$A$9:$X$108,2,FALSE),""))</f>
        <v/>
      </c>
      <c r="L90" s="325">
        <f>IF($A90="","",IFERROR(VLOOKUP($A90,Invoices!$A$9:$X$108,3,FALSE),""))</f>
        <v/>
      </c>
      <c r="M90" s="325">
        <f>IF($A90="","",IFERROR(VLOOKUP($A90,Invoices!$A$9:$X$108,4,FALSE),""))</f>
        <v/>
      </c>
      <c r="N90" s="325">
        <f>IF($A90="","",IFERROR(VLOOKUP($A90,Invoices!$A$9:$X$108,5,FALSE),""))</f>
        <v/>
      </c>
      <c r="O90" s="325">
        <f>IF(AND($A90="",$B90="",$C90="",$D90=""),"",IF(OR($A90="",$B90="",$C90&lt;=0,$D90&lt;=0,$F90="",$H90="",$K90=""),"REVIEW","OK"))</f>
        <v/>
      </c>
      <c r="P90" s="330">
        <f>IF($A90="","",LOWER($A90&amp;" "&amp;$B90&amp;" "&amp;$F90&amp;" "&amp;$G90&amp;" "&amp;$L90&amp;" "&amp;$M90&amp;" "&amp;$N90))</f>
        <v/>
      </c>
    </row>
    <row r="91">
      <c r="A91" s="205" t="n"/>
      <c r="B91" s="207" t="n"/>
      <c r="C91" s="350" t="n"/>
      <c r="D91" s="332" t="n"/>
      <c r="E91" s="326">
        <f>IF(OR($A91="",$B91="",$C91="",$D91=""),"",$C91*$D91)</f>
        <v/>
      </c>
      <c r="F91" s="325">
        <f>IF($B91="","",IFERROR(VLOOKUP($B91,Setup!$A$9:$H$30,2,FALSE),""))</f>
        <v/>
      </c>
      <c r="G91" s="325">
        <f>IF($B91="","",IFERROR(VLOOKUP($B91,Setup!$A$9:$H$30,5,FALSE),""))</f>
        <v/>
      </c>
      <c r="H91" s="326">
        <f>IF($B91="","",IFERROR(VLOOKUP($B91,Setup!$A$9:$H$30,6,FALSE),""))</f>
        <v/>
      </c>
      <c r="I91" s="326">
        <f>IF(OR($C91="",$H91=""),"",$C91*$H91)</f>
        <v/>
      </c>
      <c r="J91" s="326">
        <f>IF(OR($E91="",$I91=""),"",$E91-$I91)</f>
        <v/>
      </c>
      <c r="K91" s="329">
        <f>IF($A91="","",IFERROR(VLOOKUP($A91,Invoices!$A$9:$X$108,2,FALSE),""))</f>
        <v/>
      </c>
      <c r="L91" s="325">
        <f>IF($A91="","",IFERROR(VLOOKUP($A91,Invoices!$A$9:$X$108,3,FALSE),""))</f>
        <v/>
      </c>
      <c r="M91" s="325">
        <f>IF($A91="","",IFERROR(VLOOKUP($A91,Invoices!$A$9:$X$108,4,FALSE),""))</f>
        <v/>
      </c>
      <c r="N91" s="325">
        <f>IF($A91="","",IFERROR(VLOOKUP($A91,Invoices!$A$9:$X$108,5,FALSE),""))</f>
        <v/>
      </c>
      <c r="O91" s="325">
        <f>IF(AND($A91="",$B91="",$C91="",$D91=""),"",IF(OR($A91="",$B91="",$C91&lt;=0,$D91&lt;=0,$F91="",$H91="",$K91=""),"REVIEW","OK"))</f>
        <v/>
      </c>
      <c r="P91" s="330">
        <f>IF($A91="","",LOWER($A91&amp;" "&amp;$B91&amp;" "&amp;$F91&amp;" "&amp;$G91&amp;" "&amp;$L91&amp;" "&amp;$M91&amp;" "&amp;$N91))</f>
        <v/>
      </c>
    </row>
    <row r="92">
      <c r="A92" s="205" t="n"/>
      <c r="B92" s="207" t="n"/>
      <c r="C92" s="350" t="n"/>
      <c r="D92" s="332" t="n"/>
      <c r="E92" s="326">
        <f>IF(OR($A92="",$B92="",$C92="",$D92=""),"",$C92*$D92)</f>
        <v/>
      </c>
      <c r="F92" s="325">
        <f>IF($B92="","",IFERROR(VLOOKUP($B92,Setup!$A$9:$H$30,2,FALSE),""))</f>
        <v/>
      </c>
      <c r="G92" s="325">
        <f>IF($B92="","",IFERROR(VLOOKUP($B92,Setup!$A$9:$H$30,5,FALSE),""))</f>
        <v/>
      </c>
      <c r="H92" s="326">
        <f>IF($B92="","",IFERROR(VLOOKUP($B92,Setup!$A$9:$H$30,6,FALSE),""))</f>
        <v/>
      </c>
      <c r="I92" s="326">
        <f>IF(OR($C92="",$H92=""),"",$C92*$H92)</f>
        <v/>
      </c>
      <c r="J92" s="326">
        <f>IF(OR($E92="",$I92=""),"",$E92-$I92)</f>
        <v/>
      </c>
      <c r="K92" s="329">
        <f>IF($A92="","",IFERROR(VLOOKUP($A92,Invoices!$A$9:$X$108,2,FALSE),""))</f>
        <v/>
      </c>
      <c r="L92" s="325">
        <f>IF($A92="","",IFERROR(VLOOKUP($A92,Invoices!$A$9:$X$108,3,FALSE),""))</f>
        <v/>
      </c>
      <c r="M92" s="325">
        <f>IF($A92="","",IFERROR(VLOOKUP($A92,Invoices!$A$9:$X$108,4,FALSE),""))</f>
        <v/>
      </c>
      <c r="N92" s="325">
        <f>IF($A92="","",IFERROR(VLOOKUP($A92,Invoices!$A$9:$X$108,5,FALSE),""))</f>
        <v/>
      </c>
      <c r="O92" s="325">
        <f>IF(AND($A92="",$B92="",$C92="",$D92=""),"",IF(OR($A92="",$B92="",$C92&lt;=0,$D92&lt;=0,$F92="",$H92="",$K92=""),"REVIEW","OK"))</f>
        <v/>
      </c>
      <c r="P92" s="330">
        <f>IF($A92="","",LOWER($A92&amp;" "&amp;$B92&amp;" "&amp;$F92&amp;" "&amp;$G92&amp;" "&amp;$L92&amp;" "&amp;$M92&amp;" "&amp;$N92))</f>
        <v/>
      </c>
    </row>
    <row r="93">
      <c r="A93" s="205" t="n"/>
      <c r="B93" s="207" t="n"/>
      <c r="C93" s="350" t="n"/>
      <c r="D93" s="332" t="n"/>
      <c r="E93" s="326">
        <f>IF(OR($A93="",$B93="",$C93="",$D93=""),"",$C93*$D93)</f>
        <v/>
      </c>
      <c r="F93" s="325">
        <f>IF($B93="","",IFERROR(VLOOKUP($B93,Setup!$A$9:$H$30,2,FALSE),""))</f>
        <v/>
      </c>
      <c r="G93" s="325">
        <f>IF($B93="","",IFERROR(VLOOKUP($B93,Setup!$A$9:$H$30,5,FALSE),""))</f>
        <v/>
      </c>
      <c r="H93" s="326">
        <f>IF($B93="","",IFERROR(VLOOKUP($B93,Setup!$A$9:$H$30,6,FALSE),""))</f>
        <v/>
      </c>
      <c r="I93" s="326">
        <f>IF(OR($C93="",$H93=""),"",$C93*$H93)</f>
        <v/>
      </c>
      <c r="J93" s="326">
        <f>IF(OR($E93="",$I93=""),"",$E93-$I93)</f>
        <v/>
      </c>
      <c r="K93" s="329">
        <f>IF($A93="","",IFERROR(VLOOKUP($A93,Invoices!$A$9:$X$108,2,FALSE),""))</f>
        <v/>
      </c>
      <c r="L93" s="325">
        <f>IF($A93="","",IFERROR(VLOOKUP($A93,Invoices!$A$9:$X$108,3,FALSE),""))</f>
        <v/>
      </c>
      <c r="M93" s="325">
        <f>IF($A93="","",IFERROR(VLOOKUP($A93,Invoices!$A$9:$X$108,4,FALSE),""))</f>
        <v/>
      </c>
      <c r="N93" s="325">
        <f>IF($A93="","",IFERROR(VLOOKUP($A93,Invoices!$A$9:$X$108,5,FALSE),""))</f>
        <v/>
      </c>
      <c r="O93" s="325">
        <f>IF(AND($A93="",$B93="",$C93="",$D93=""),"",IF(OR($A93="",$B93="",$C93&lt;=0,$D93&lt;=0,$F93="",$H93="",$K93=""),"REVIEW","OK"))</f>
        <v/>
      </c>
      <c r="P93" s="330">
        <f>IF($A93="","",LOWER($A93&amp;" "&amp;$B93&amp;" "&amp;$F93&amp;" "&amp;$G93&amp;" "&amp;$L93&amp;" "&amp;$M93&amp;" "&amp;$N93))</f>
        <v/>
      </c>
    </row>
    <row r="94">
      <c r="A94" s="205" t="n"/>
      <c r="B94" s="207" t="n"/>
      <c r="C94" s="350" t="n"/>
      <c r="D94" s="332" t="n"/>
      <c r="E94" s="326">
        <f>IF(OR($A94="",$B94="",$C94="",$D94=""),"",$C94*$D94)</f>
        <v/>
      </c>
      <c r="F94" s="325">
        <f>IF($B94="","",IFERROR(VLOOKUP($B94,Setup!$A$9:$H$30,2,FALSE),""))</f>
        <v/>
      </c>
      <c r="G94" s="325">
        <f>IF($B94="","",IFERROR(VLOOKUP($B94,Setup!$A$9:$H$30,5,FALSE),""))</f>
        <v/>
      </c>
      <c r="H94" s="326">
        <f>IF($B94="","",IFERROR(VLOOKUP($B94,Setup!$A$9:$H$30,6,FALSE),""))</f>
        <v/>
      </c>
      <c r="I94" s="326">
        <f>IF(OR($C94="",$H94=""),"",$C94*$H94)</f>
        <v/>
      </c>
      <c r="J94" s="326">
        <f>IF(OR($E94="",$I94=""),"",$E94-$I94)</f>
        <v/>
      </c>
      <c r="K94" s="329">
        <f>IF($A94="","",IFERROR(VLOOKUP($A94,Invoices!$A$9:$X$108,2,FALSE),""))</f>
        <v/>
      </c>
      <c r="L94" s="325">
        <f>IF($A94="","",IFERROR(VLOOKUP($A94,Invoices!$A$9:$X$108,3,FALSE),""))</f>
        <v/>
      </c>
      <c r="M94" s="325">
        <f>IF($A94="","",IFERROR(VLOOKUP($A94,Invoices!$A$9:$X$108,4,FALSE),""))</f>
        <v/>
      </c>
      <c r="N94" s="325">
        <f>IF($A94="","",IFERROR(VLOOKUP($A94,Invoices!$A$9:$X$108,5,FALSE),""))</f>
        <v/>
      </c>
      <c r="O94" s="325">
        <f>IF(AND($A94="",$B94="",$C94="",$D94=""),"",IF(OR($A94="",$B94="",$C94&lt;=0,$D94&lt;=0,$F94="",$H94="",$K94=""),"REVIEW","OK"))</f>
        <v/>
      </c>
      <c r="P94" s="330">
        <f>IF($A94="","",LOWER($A94&amp;" "&amp;$B94&amp;" "&amp;$F94&amp;" "&amp;$G94&amp;" "&amp;$L94&amp;" "&amp;$M94&amp;" "&amp;$N94))</f>
        <v/>
      </c>
    </row>
    <row r="95">
      <c r="A95" s="205" t="n"/>
      <c r="B95" s="207" t="n"/>
      <c r="C95" s="350" t="n"/>
      <c r="D95" s="332" t="n"/>
      <c r="E95" s="326">
        <f>IF(OR($A95="",$B95="",$C95="",$D95=""),"",$C95*$D95)</f>
        <v/>
      </c>
      <c r="F95" s="325">
        <f>IF($B95="","",IFERROR(VLOOKUP($B95,Setup!$A$9:$H$30,2,FALSE),""))</f>
        <v/>
      </c>
      <c r="G95" s="325">
        <f>IF($B95="","",IFERROR(VLOOKUP($B95,Setup!$A$9:$H$30,5,FALSE),""))</f>
        <v/>
      </c>
      <c r="H95" s="326">
        <f>IF($B95="","",IFERROR(VLOOKUP($B95,Setup!$A$9:$H$30,6,FALSE),""))</f>
        <v/>
      </c>
      <c r="I95" s="326">
        <f>IF(OR($C95="",$H95=""),"",$C95*$H95)</f>
        <v/>
      </c>
      <c r="J95" s="326">
        <f>IF(OR($E95="",$I95=""),"",$E95-$I95)</f>
        <v/>
      </c>
      <c r="K95" s="329">
        <f>IF($A95="","",IFERROR(VLOOKUP($A95,Invoices!$A$9:$X$108,2,FALSE),""))</f>
        <v/>
      </c>
      <c r="L95" s="325">
        <f>IF($A95="","",IFERROR(VLOOKUP($A95,Invoices!$A$9:$X$108,3,FALSE),""))</f>
        <v/>
      </c>
      <c r="M95" s="325">
        <f>IF($A95="","",IFERROR(VLOOKUP($A95,Invoices!$A$9:$X$108,4,FALSE),""))</f>
        <v/>
      </c>
      <c r="N95" s="325">
        <f>IF($A95="","",IFERROR(VLOOKUP($A95,Invoices!$A$9:$X$108,5,FALSE),""))</f>
        <v/>
      </c>
      <c r="O95" s="325">
        <f>IF(AND($A95="",$B95="",$C95="",$D95=""),"",IF(OR($A95="",$B95="",$C95&lt;=0,$D95&lt;=0,$F95="",$H95="",$K95=""),"REVIEW","OK"))</f>
        <v/>
      </c>
      <c r="P95" s="330">
        <f>IF($A95="","",LOWER($A95&amp;" "&amp;$B95&amp;" "&amp;$F95&amp;" "&amp;$G95&amp;" "&amp;$L95&amp;" "&amp;$M95&amp;" "&amp;$N95))</f>
        <v/>
      </c>
    </row>
    <row r="96">
      <c r="A96" s="205" t="n"/>
      <c r="B96" s="207" t="n"/>
      <c r="C96" s="350" t="n"/>
      <c r="D96" s="332" t="n"/>
      <c r="E96" s="326">
        <f>IF(OR($A96="",$B96="",$C96="",$D96=""),"",$C96*$D96)</f>
        <v/>
      </c>
      <c r="F96" s="325">
        <f>IF($B96="","",IFERROR(VLOOKUP($B96,Setup!$A$9:$H$30,2,FALSE),""))</f>
        <v/>
      </c>
      <c r="G96" s="325">
        <f>IF($B96="","",IFERROR(VLOOKUP($B96,Setup!$A$9:$H$30,5,FALSE),""))</f>
        <v/>
      </c>
      <c r="H96" s="326">
        <f>IF($B96="","",IFERROR(VLOOKUP($B96,Setup!$A$9:$H$30,6,FALSE),""))</f>
        <v/>
      </c>
      <c r="I96" s="326">
        <f>IF(OR($C96="",$H96=""),"",$C96*$H96)</f>
        <v/>
      </c>
      <c r="J96" s="326">
        <f>IF(OR($E96="",$I96=""),"",$E96-$I96)</f>
        <v/>
      </c>
      <c r="K96" s="329">
        <f>IF($A96="","",IFERROR(VLOOKUP($A96,Invoices!$A$9:$X$108,2,FALSE),""))</f>
        <v/>
      </c>
      <c r="L96" s="325">
        <f>IF($A96="","",IFERROR(VLOOKUP($A96,Invoices!$A$9:$X$108,3,FALSE),""))</f>
        <v/>
      </c>
      <c r="M96" s="325">
        <f>IF($A96="","",IFERROR(VLOOKUP($A96,Invoices!$A$9:$X$108,4,FALSE),""))</f>
        <v/>
      </c>
      <c r="N96" s="325">
        <f>IF($A96="","",IFERROR(VLOOKUP($A96,Invoices!$A$9:$X$108,5,FALSE),""))</f>
        <v/>
      </c>
      <c r="O96" s="325">
        <f>IF(AND($A96="",$B96="",$C96="",$D96=""),"",IF(OR($A96="",$B96="",$C96&lt;=0,$D96&lt;=0,$F96="",$H96="",$K96=""),"REVIEW","OK"))</f>
        <v/>
      </c>
      <c r="P96" s="330">
        <f>IF($A96="","",LOWER($A96&amp;" "&amp;$B96&amp;" "&amp;$F96&amp;" "&amp;$G96&amp;" "&amp;$L96&amp;" "&amp;$M96&amp;" "&amp;$N96))</f>
        <v/>
      </c>
    </row>
    <row r="97">
      <c r="A97" s="205" t="n"/>
      <c r="B97" s="207" t="n"/>
      <c r="C97" s="350" t="n"/>
      <c r="D97" s="332" t="n"/>
      <c r="E97" s="326">
        <f>IF(OR($A97="",$B97="",$C97="",$D97=""),"",$C97*$D97)</f>
        <v/>
      </c>
      <c r="F97" s="325">
        <f>IF($B97="","",IFERROR(VLOOKUP($B97,Setup!$A$9:$H$30,2,FALSE),""))</f>
        <v/>
      </c>
      <c r="G97" s="325">
        <f>IF($B97="","",IFERROR(VLOOKUP($B97,Setup!$A$9:$H$30,5,FALSE),""))</f>
        <v/>
      </c>
      <c r="H97" s="326">
        <f>IF($B97="","",IFERROR(VLOOKUP($B97,Setup!$A$9:$H$30,6,FALSE),""))</f>
        <v/>
      </c>
      <c r="I97" s="326">
        <f>IF(OR($C97="",$H97=""),"",$C97*$H97)</f>
        <v/>
      </c>
      <c r="J97" s="326">
        <f>IF(OR($E97="",$I97=""),"",$E97-$I97)</f>
        <v/>
      </c>
      <c r="K97" s="329">
        <f>IF($A97="","",IFERROR(VLOOKUP($A97,Invoices!$A$9:$X$108,2,FALSE),""))</f>
        <v/>
      </c>
      <c r="L97" s="325">
        <f>IF($A97="","",IFERROR(VLOOKUP($A97,Invoices!$A$9:$X$108,3,FALSE),""))</f>
        <v/>
      </c>
      <c r="M97" s="325">
        <f>IF($A97="","",IFERROR(VLOOKUP($A97,Invoices!$A$9:$X$108,4,FALSE),""))</f>
        <v/>
      </c>
      <c r="N97" s="325">
        <f>IF($A97="","",IFERROR(VLOOKUP($A97,Invoices!$A$9:$X$108,5,FALSE),""))</f>
        <v/>
      </c>
      <c r="O97" s="325">
        <f>IF(AND($A97="",$B97="",$C97="",$D97=""),"",IF(OR($A97="",$B97="",$C97&lt;=0,$D97&lt;=0,$F97="",$H97="",$K97=""),"REVIEW","OK"))</f>
        <v/>
      </c>
      <c r="P97" s="330">
        <f>IF($A97="","",LOWER($A97&amp;" "&amp;$B97&amp;" "&amp;$F97&amp;" "&amp;$G97&amp;" "&amp;$L97&amp;" "&amp;$M97&amp;" "&amp;$N97))</f>
        <v/>
      </c>
    </row>
    <row r="98">
      <c r="A98" s="205" t="n"/>
      <c r="B98" s="207" t="n"/>
      <c r="C98" s="350" t="n"/>
      <c r="D98" s="332" t="n"/>
      <c r="E98" s="326">
        <f>IF(OR($A98="",$B98="",$C98="",$D98=""),"",$C98*$D98)</f>
        <v/>
      </c>
      <c r="F98" s="325">
        <f>IF($B98="","",IFERROR(VLOOKUP($B98,Setup!$A$9:$H$30,2,FALSE),""))</f>
        <v/>
      </c>
      <c r="G98" s="325">
        <f>IF($B98="","",IFERROR(VLOOKUP($B98,Setup!$A$9:$H$30,5,FALSE),""))</f>
        <v/>
      </c>
      <c r="H98" s="326">
        <f>IF($B98="","",IFERROR(VLOOKUP($B98,Setup!$A$9:$H$30,6,FALSE),""))</f>
        <v/>
      </c>
      <c r="I98" s="326">
        <f>IF(OR($C98="",$H98=""),"",$C98*$H98)</f>
        <v/>
      </c>
      <c r="J98" s="326">
        <f>IF(OR($E98="",$I98=""),"",$E98-$I98)</f>
        <v/>
      </c>
      <c r="K98" s="329">
        <f>IF($A98="","",IFERROR(VLOOKUP($A98,Invoices!$A$9:$X$108,2,FALSE),""))</f>
        <v/>
      </c>
      <c r="L98" s="325">
        <f>IF($A98="","",IFERROR(VLOOKUP($A98,Invoices!$A$9:$X$108,3,FALSE),""))</f>
        <v/>
      </c>
      <c r="M98" s="325">
        <f>IF($A98="","",IFERROR(VLOOKUP($A98,Invoices!$A$9:$X$108,4,FALSE),""))</f>
        <v/>
      </c>
      <c r="N98" s="325">
        <f>IF($A98="","",IFERROR(VLOOKUP($A98,Invoices!$A$9:$X$108,5,FALSE),""))</f>
        <v/>
      </c>
      <c r="O98" s="325">
        <f>IF(AND($A98="",$B98="",$C98="",$D98=""),"",IF(OR($A98="",$B98="",$C98&lt;=0,$D98&lt;=0,$F98="",$H98="",$K98=""),"REVIEW","OK"))</f>
        <v/>
      </c>
      <c r="P98" s="330">
        <f>IF($A98="","",LOWER($A98&amp;" "&amp;$B98&amp;" "&amp;$F98&amp;" "&amp;$G98&amp;" "&amp;$L98&amp;" "&amp;$M98&amp;" "&amp;$N98))</f>
        <v/>
      </c>
    </row>
    <row r="99">
      <c r="A99" s="205" t="n"/>
      <c r="B99" s="207" t="n"/>
      <c r="C99" s="350" t="n"/>
      <c r="D99" s="332" t="n"/>
      <c r="E99" s="326">
        <f>IF(OR($A99="",$B99="",$C99="",$D99=""),"",$C99*$D99)</f>
        <v/>
      </c>
      <c r="F99" s="325">
        <f>IF($B99="","",IFERROR(VLOOKUP($B99,Setup!$A$9:$H$30,2,FALSE),""))</f>
        <v/>
      </c>
      <c r="G99" s="325">
        <f>IF($B99="","",IFERROR(VLOOKUP($B99,Setup!$A$9:$H$30,5,FALSE),""))</f>
        <v/>
      </c>
      <c r="H99" s="326">
        <f>IF($B99="","",IFERROR(VLOOKUP($B99,Setup!$A$9:$H$30,6,FALSE),""))</f>
        <v/>
      </c>
      <c r="I99" s="326">
        <f>IF(OR($C99="",$H99=""),"",$C99*$H99)</f>
        <v/>
      </c>
      <c r="J99" s="326">
        <f>IF(OR($E99="",$I99=""),"",$E99-$I99)</f>
        <v/>
      </c>
      <c r="K99" s="329">
        <f>IF($A99="","",IFERROR(VLOOKUP($A99,Invoices!$A$9:$X$108,2,FALSE),""))</f>
        <v/>
      </c>
      <c r="L99" s="325">
        <f>IF($A99="","",IFERROR(VLOOKUP($A99,Invoices!$A$9:$X$108,3,FALSE),""))</f>
        <v/>
      </c>
      <c r="M99" s="325">
        <f>IF($A99="","",IFERROR(VLOOKUP($A99,Invoices!$A$9:$X$108,4,FALSE),""))</f>
        <v/>
      </c>
      <c r="N99" s="325">
        <f>IF($A99="","",IFERROR(VLOOKUP($A99,Invoices!$A$9:$X$108,5,FALSE),""))</f>
        <v/>
      </c>
      <c r="O99" s="325">
        <f>IF(AND($A99="",$B99="",$C99="",$D99=""),"",IF(OR($A99="",$B99="",$C99&lt;=0,$D99&lt;=0,$F99="",$H99="",$K99=""),"REVIEW","OK"))</f>
        <v/>
      </c>
      <c r="P99" s="330">
        <f>IF($A99="","",LOWER($A99&amp;" "&amp;$B99&amp;" "&amp;$F99&amp;" "&amp;$G99&amp;" "&amp;$L99&amp;" "&amp;$M99&amp;" "&amp;$N99))</f>
        <v/>
      </c>
    </row>
    <row r="100">
      <c r="A100" s="205" t="n"/>
      <c r="B100" s="207" t="n"/>
      <c r="C100" s="350" t="n"/>
      <c r="D100" s="332" t="n"/>
      <c r="E100" s="326">
        <f>IF(OR($A100="",$B100="",$C100="",$D100=""),"",$C100*$D100)</f>
        <v/>
      </c>
      <c r="F100" s="325">
        <f>IF($B100="","",IFERROR(VLOOKUP($B100,Setup!$A$9:$H$30,2,FALSE),""))</f>
        <v/>
      </c>
      <c r="G100" s="325">
        <f>IF($B100="","",IFERROR(VLOOKUP($B100,Setup!$A$9:$H$30,5,FALSE),""))</f>
        <v/>
      </c>
      <c r="H100" s="326">
        <f>IF($B100="","",IFERROR(VLOOKUP($B100,Setup!$A$9:$H$30,6,FALSE),""))</f>
        <v/>
      </c>
      <c r="I100" s="326">
        <f>IF(OR($C100="",$H100=""),"",$C100*$H100)</f>
        <v/>
      </c>
      <c r="J100" s="326">
        <f>IF(OR($E100="",$I100=""),"",$E100-$I100)</f>
        <v/>
      </c>
      <c r="K100" s="329">
        <f>IF($A100="","",IFERROR(VLOOKUP($A100,Invoices!$A$9:$X$108,2,FALSE),""))</f>
        <v/>
      </c>
      <c r="L100" s="325">
        <f>IF($A100="","",IFERROR(VLOOKUP($A100,Invoices!$A$9:$X$108,3,FALSE),""))</f>
        <v/>
      </c>
      <c r="M100" s="325">
        <f>IF($A100="","",IFERROR(VLOOKUP($A100,Invoices!$A$9:$X$108,4,FALSE),""))</f>
        <v/>
      </c>
      <c r="N100" s="325">
        <f>IF($A100="","",IFERROR(VLOOKUP($A100,Invoices!$A$9:$X$108,5,FALSE),""))</f>
        <v/>
      </c>
      <c r="O100" s="325">
        <f>IF(AND($A100="",$B100="",$C100="",$D100=""),"",IF(OR($A100="",$B100="",$C100&lt;=0,$D100&lt;=0,$F100="",$H100="",$K100=""),"REVIEW","OK"))</f>
        <v/>
      </c>
      <c r="P100" s="330">
        <f>IF($A100="","",LOWER($A100&amp;" "&amp;$B100&amp;" "&amp;$F100&amp;" "&amp;$G100&amp;" "&amp;$L100&amp;" "&amp;$M100&amp;" "&amp;$N100))</f>
        <v/>
      </c>
    </row>
    <row r="101">
      <c r="A101" s="205" t="n"/>
      <c r="B101" s="207" t="n"/>
      <c r="C101" s="350" t="n"/>
      <c r="D101" s="332" t="n"/>
      <c r="E101" s="326">
        <f>IF(OR($A101="",$B101="",$C101="",$D101=""),"",$C101*$D101)</f>
        <v/>
      </c>
      <c r="F101" s="325">
        <f>IF($B101="","",IFERROR(VLOOKUP($B101,Setup!$A$9:$H$30,2,FALSE),""))</f>
        <v/>
      </c>
      <c r="G101" s="325">
        <f>IF($B101="","",IFERROR(VLOOKUP($B101,Setup!$A$9:$H$30,5,FALSE),""))</f>
        <v/>
      </c>
      <c r="H101" s="326">
        <f>IF($B101="","",IFERROR(VLOOKUP($B101,Setup!$A$9:$H$30,6,FALSE),""))</f>
        <v/>
      </c>
      <c r="I101" s="326">
        <f>IF(OR($C101="",$H101=""),"",$C101*$H101)</f>
        <v/>
      </c>
      <c r="J101" s="326">
        <f>IF(OR($E101="",$I101=""),"",$E101-$I101)</f>
        <v/>
      </c>
      <c r="K101" s="329">
        <f>IF($A101="","",IFERROR(VLOOKUP($A101,Invoices!$A$9:$X$108,2,FALSE),""))</f>
        <v/>
      </c>
      <c r="L101" s="325">
        <f>IF($A101="","",IFERROR(VLOOKUP($A101,Invoices!$A$9:$X$108,3,FALSE),""))</f>
        <v/>
      </c>
      <c r="M101" s="325">
        <f>IF($A101="","",IFERROR(VLOOKUP($A101,Invoices!$A$9:$X$108,4,FALSE),""))</f>
        <v/>
      </c>
      <c r="N101" s="325">
        <f>IF($A101="","",IFERROR(VLOOKUP($A101,Invoices!$A$9:$X$108,5,FALSE),""))</f>
        <v/>
      </c>
      <c r="O101" s="325">
        <f>IF(AND($A101="",$B101="",$C101="",$D101=""),"",IF(OR($A101="",$B101="",$C101&lt;=0,$D101&lt;=0,$F101="",$H101="",$K101=""),"REVIEW","OK"))</f>
        <v/>
      </c>
      <c r="P101" s="330">
        <f>IF($A101="","",LOWER($A101&amp;" "&amp;$B101&amp;" "&amp;$F101&amp;" "&amp;$G101&amp;" "&amp;$L101&amp;" "&amp;$M101&amp;" "&amp;$N101))</f>
        <v/>
      </c>
    </row>
    <row r="102">
      <c r="A102" s="205" t="n"/>
      <c r="B102" s="207" t="n"/>
      <c r="C102" s="350" t="n"/>
      <c r="D102" s="332" t="n"/>
      <c r="E102" s="326">
        <f>IF(OR($A102="",$B102="",$C102="",$D102=""),"",$C102*$D102)</f>
        <v/>
      </c>
      <c r="F102" s="325">
        <f>IF($B102="","",IFERROR(VLOOKUP($B102,Setup!$A$9:$H$30,2,FALSE),""))</f>
        <v/>
      </c>
      <c r="G102" s="325">
        <f>IF($B102="","",IFERROR(VLOOKUP($B102,Setup!$A$9:$H$30,5,FALSE),""))</f>
        <v/>
      </c>
      <c r="H102" s="326">
        <f>IF($B102="","",IFERROR(VLOOKUP($B102,Setup!$A$9:$H$30,6,FALSE),""))</f>
        <v/>
      </c>
      <c r="I102" s="326">
        <f>IF(OR($C102="",$H102=""),"",$C102*$H102)</f>
        <v/>
      </c>
      <c r="J102" s="326">
        <f>IF(OR($E102="",$I102=""),"",$E102-$I102)</f>
        <v/>
      </c>
      <c r="K102" s="329">
        <f>IF($A102="","",IFERROR(VLOOKUP($A102,Invoices!$A$9:$X$108,2,FALSE),""))</f>
        <v/>
      </c>
      <c r="L102" s="325">
        <f>IF($A102="","",IFERROR(VLOOKUP($A102,Invoices!$A$9:$X$108,3,FALSE),""))</f>
        <v/>
      </c>
      <c r="M102" s="325">
        <f>IF($A102="","",IFERROR(VLOOKUP($A102,Invoices!$A$9:$X$108,4,FALSE),""))</f>
        <v/>
      </c>
      <c r="N102" s="325">
        <f>IF($A102="","",IFERROR(VLOOKUP($A102,Invoices!$A$9:$X$108,5,FALSE),""))</f>
        <v/>
      </c>
      <c r="O102" s="325">
        <f>IF(AND($A102="",$B102="",$C102="",$D102=""),"",IF(OR($A102="",$B102="",$C102&lt;=0,$D102&lt;=0,$F102="",$H102="",$K102=""),"REVIEW","OK"))</f>
        <v/>
      </c>
      <c r="P102" s="330">
        <f>IF($A102="","",LOWER($A102&amp;" "&amp;$B102&amp;" "&amp;$F102&amp;" "&amp;$G102&amp;" "&amp;$L102&amp;" "&amp;$M102&amp;" "&amp;$N102))</f>
        <v/>
      </c>
    </row>
    <row r="103">
      <c r="A103" s="205" t="n"/>
      <c r="B103" s="207" t="n"/>
      <c r="C103" s="350" t="n"/>
      <c r="D103" s="332" t="n"/>
      <c r="E103" s="326">
        <f>IF(OR($A103="",$B103="",$C103="",$D103=""),"",$C103*$D103)</f>
        <v/>
      </c>
      <c r="F103" s="325">
        <f>IF($B103="","",IFERROR(VLOOKUP($B103,Setup!$A$9:$H$30,2,FALSE),""))</f>
        <v/>
      </c>
      <c r="G103" s="325">
        <f>IF($B103="","",IFERROR(VLOOKUP($B103,Setup!$A$9:$H$30,5,FALSE),""))</f>
        <v/>
      </c>
      <c r="H103" s="326">
        <f>IF($B103="","",IFERROR(VLOOKUP($B103,Setup!$A$9:$H$30,6,FALSE),""))</f>
        <v/>
      </c>
      <c r="I103" s="326">
        <f>IF(OR($C103="",$H103=""),"",$C103*$H103)</f>
        <v/>
      </c>
      <c r="J103" s="326">
        <f>IF(OR($E103="",$I103=""),"",$E103-$I103)</f>
        <v/>
      </c>
      <c r="K103" s="329">
        <f>IF($A103="","",IFERROR(VLOOKUP($A103,Invoices!$A$9:$X$108,2,FALSE),""))</f>
        <v/>
      </c>
      <c r="L103" s="325">
        <f>IF($A103="","",IFERROR(VLOOKUP($A103,Invoices!$A$9:$X$108,3,FALSE),""))</f>
        <v/>
      </c>
      <c r="M103" s="325">
        <f>IF($A103="","",IFERROR(VLOOKUP($A103,Invoices!$A$9:$X$108,4,FALSE),""))</f>
        <v/>
      </c>
      <c r="N103" s="325">
        <f>IF($A103="","",IFERROR(VLOOKUP($A103,Invoices!$A$9:$X$108,5,FALSE),""))</f>
        <v/>
      </c>
      <c r="O103" s="325">
        <f>IF(AND($A103="",$B103="",$C103="",$D103=""),"",IF(OR($A103="",$B103="",$C103&lt;=0,$D103&lt;=0,$F103="",$H103="",$K103=""),"REVIEW","OK"))</f>
        <v/>
      </c>
      <c r="P103" s="330">
        <f>IF($A103="","",LOWER($A103&amp;" "&amp;$B103&amp;" "&amp;$F103&amp;" "&amp;$G103&amp;" "&amp;$L103&amp;" "&amp;$M103&amp;" "&amp;$N103))</f>
        <v/>
      </c>
    </row>
    <row r="104">
      <c r="A104" s="205" t="n"/>
      <c r="B104" s="207" t="n"/>
      <c r="C104" s="350" t="n"/>
      <c r="D104" s="332" t="n"/>
      <c r="E104" s="326">
        <f>IF(OR($A104="",$B104="",$C104="",$D104=""),"",$C104*$D104)</f>
        <v/>
      </c>
      <c r="F104" s="325">
        <f>IF($B104="","",IFERROR(VLOOKUP($B104,Setup!$A$9:$H$30,2,FALSE),""))</f>
        <v/>
      </c>
      <c r="G104" s="325">
        <f>IF($B104="","",IFERROR(VLOOKUP($B104,Setup!$A$9:$H$30,5,FALSE),""))</f>
        <v/>
      </c>
      <c r="H104" s="326">
        <f>IF($B104="","",IFERROR(VLOOKUP($B104,Setup!$A$9:$H$30,6,FALSE),""))</f>
        <v/>
      </c>
      <c r="I104" s="326">
        <f>IF(OR($C104="",$H104=""),"",$C104*$H104)</f>
        <v/>
      </c>
      <c r="J104" s="326">
        <f>IF(OR($E104="",$I104=""),"",$E104-$I104)</f>
        <v/>
      </c>
      <c r="K104" s="329">
        <f>IF($A104="","",IFERROR(VLOOKUP($A104,Invoices!$A$9:$X$108,2,FALSE),""))</f>
        <v/>
      </c>
      <c r="L104" s="325">
        <f>IF($A104="","",IFERROR(VLOOKUP($A104,Invoices!$A$9:$X$108,3,FALSE),""))</f>
        <v/>
      </c>
      <c r="M104" s="325">
        <f>IF($A104="","",IFERROR(VLOOKUP($A104,Invoices!$A$9:$X$108,4,FALSE),""))</f>
        <v/>
      </c>
      <c r="N104" s="325">
        <f>IF($A104="","",IFERROR(VLOOKUP($A104,Invoices!$A$9:$X$108,5,FALSE),""))</f>
        <v/>
      </c>
      <c r="O104" s="325">
        <f>IF(AND($A104="",$B104="",$C104="",$D104=""),"",IF(OR($A104="",$B104="",$C104&lt;=0,$D104&lt;=0,$F104="",$H104="",$K104=""),"REVIEW","OK"))</f>
        <v/>
      </c>
      <c r="P104" s="330">
        <f>IF($A104="","",LOWER($A104&amp;" "&amp;$B104&amp;" "&amp;$F104&amp;" "&amp;$G104&amp;" "&amp;$L104&amp;" "&amp;$M104&amp;" "&amp;$N104))</f>
        <v/>
      </c>
    </row>
    <row r="105">
      <c r="A105" s="205" t="n"/>
      <c r="B105" s="207" t="n"/>
      <c r="C105" s="350" t="n"/>
      <c r="D105" s="332" t="n"/>
      <c r="E105" s="326">
        <f>IF(OR($A105="",$B105="",$C105="",$D105=""),"",$C105*$D105)</f>
        <v/>
      </c>
      <c r="F105" s="325">
        <f>IF($B105="","",IFERROR(VLOOKUP($B105,Setup!$A$9:$H$30,2,FALSE),""))</f>
        <v/>
      </c>
      <c r="G105" s="325">
        <f>IF($B105="","",IFERROR(VLOOKUP($B105,Setup!$A$9:$H$30,5,FALSE),""))</f>
        <v/>
      </c>
      <c r="H105" s="326">
        <f>IF($B105="","",IFERROR(VLOOKUP($B105,Setup!$A$9:$H$30,6,FALSE),""))</f>
        <v/>
      </c>
      <c r="I105" s="326">
        <f>IF(OR($C105="",$H105=""),"",$C105*$H105)</f>
        <v/>
      </c>
      <c r="J105" s="326">
        <f>IF(OR($E105="",$I105=""),"",$E105-$I105)</f>
        <v/>
      </c>
      <c r="K105" s="329">
        <f>IF($A105="","",IFERROR(VLOOKUP($A105,Invoices!$A$9:$X$108,2,FALSE),""))</f>
        <v/>
      </c>
      <c r="L105" s="325">
        <f>IF($A105="","",IFERROR(VLOOKUP($A105,Invoices!$A$9:$X$108,3,FALSE),""))</f>
        <v/>
      </c>
      <c r="M105" s="325">
        <f>IF($A105="","",IFERROR(VLOOKUP($A105,Invoices!$A$9:$X$108,4,FALSE),""))</f>
        <v/>
      </c>
      <c r="N105" s="325">
        <f>IF($A105="","",IFERROR(VLOOKUP($A105,Invoices!$A$9:$X$108,5,FALSE),""))</f>
        <v/>
      </c>
      <c r="O105" s="325">
        <f>IF(AND($A105="",$B105="",$C105="",$D105=""),"",IF(OR($A105="",$B105="",$C105&lt;=0,$D105&lt;=0,$F105="",$H105="",$K105=""),"REVIEW","OK"))</f>
        <v/>
      </c>
      <c r="P105" s="330">
        <f>IF($A105="","",LOWER($A105&amp;" "&amp;$B105&amp;" "&amp;$F105&amp;" "&amp;$G105&amp;" "&amp;$L105&amp;" "&amp;$M105&amp;" "&amp;$N105))</f>
        <v/>
      </c>
    </row>
    <row r="106">
      <c r="A106" s="205" t="n"/>
      <c r="B106" s="207" t="n"/>
      <c r="C106" s="350" t="n"/>
      <c r="D106" s="332" t="n"/>
      <c r="E106" s="326">
        <f>IF(OR($A106="",$B106="",$C106="",$D106=""),"",$C106*$D106)</f>
        <v/>
      </c>
      <c r="F106" s="325">
        <f>IF($B106="","",IFERROR(VLOOKUP($B106,Setup!$A$9:$H$30,2,FALSE),""))</f>
        <v/>
      </c>
      <c r="G106" s="325">
        <f>IF($B106="","",IFERROR(VLOOKUP($B106,Setup!$A$9:$H$30,5,FALSE),""))</f>
        <v/>
      </c>
      <c r="H106" s="326">
        <f>IF($B106="","",IFERROR(VLOOKUP($B106,Setup!$A$9:$H$30,6,FALSE),""))</f>
        <v/>
      </c>
      <c r="I106" s="326">
        <f>IF(OR($C106="",$H106=""),"",$C106*$H106)</f>
        <v/>
      </c>
      <c r="J106" s="326">
        <f>IF(OR($E106="",$I106=""),"",$E106-$I106)</f>
        <v/>
      </c>
      <c r="K106" s="329">
        <f>IF($A106="","",IFERROR(VLOOKUP($A106,Invoices!$A$9:$X$108,2,FALSE),""))</f>
        <v/>
      </c>
      <c r="L106" s="325">
        <f>IF($A106="","",IFERROR(VLOOKUP($A106,Invoices!$A$9:$X$108,3,FALSE),""))</f>
        <v/>
      </c>
      <c r="M106" s="325">
        <f>IF($A106="","",IFERROR(VLOOKUP($A106,Invoices!$A$9:$X$108,4,FALSE),""))</f>
        <v/>
      </c>
      <c r="N106" s="325">
        <f>IF($A106="","",IFERROR(VLOOKUP($A106,Invoices!$A$9:$X$108,5,FALSE),""))</f>
        <v/>
      </c>
      <c r="O106" s="325">
        <f>IF(AND($A106="",$B106="",$C106="",$D106=""),"",IF(OR($A106="",$B106="",$C106&lt;=0,$D106&lt;=0,$F106="",$H106="",$K106=""),"REVIEW","OK"))</f>
        <v/>
      </c>
      <c r="P106" s="330">
        <f>IF($A106="","",LOWER($A106&amp;" "&amp;$B106&amp;" "&amp;$F106&amp;" "&amp;$G106&amp;" "&amp;$L106&amp;" "&amp;$M106&amp;" "&amp;$N106))</f>
        <v/>
      </c>
    </row>
    <row r="107">
      <c r="A107" s="205" t="n"/>
      <c r="B107" s="207" t="n"/>
      <c r="C107" s="350" t="n"/>
      <c r="D107" s="332" t="n"/>
      <c r="E107" s="326">
        <f>IF(OR($A107="",$B107="",$C107="",$D107=""),"",$C107*$D107)</f>
        <v/>
      </c>
      <c r="F107" s="325">
        <f>IF($B107="","",IFERROR(VLOOKUP($B107,Setup!$A$9:$H$30,2,FALSE),""))</f>
        <v/>
      </c>
      <c r="G107" s="325">
        <f>IF($B107="","",IFERROR(VLOOKUP($B107,Setup!$A$9:$H$30,5,FALSE),""))</f>
        <v/>
      </c>
      <c r="H107" s="326">
        <f>IF($B107="","",IFERROR(VLOOKUP($B107,Setup!$A$9:$H$30,6,FALSE),""))</f>
        <v/>
      </c>
      <c r="I107" s="326">
        <f>IF(OR($C107="",$H107=""),"",$C107*$H107)</f>
        <v/>
      </c>
      <c r="J107" s="326">
        <f>IF(OR($E107="",$I107=""),"",$E107-$I107)</f>
        <v/>
      </c>
      <c r="K107" s="329">
        <f>IF($A107="","",IFERROR(VLOOKUP($A107,Invoices!$A$9:$X$108,2,FALSE),""))</f>
        <v/>
      </c>
      <c r="L107" s="325">
        <f>IF($A107="","",IFERROR(VLOOKUP($A107,Invoices!$A$9:$X$108,3,FALSE),""))</f>
        <v/>
      </c>
      <c r="M107" s="325">
        <f>IF($A107="","",IFERROR(VLOOKUP($A107,Invoices!$A$9:$X$108,4,FALSE),""))</f>
        <v/>
      </c>
      <c r="N107" s="325">
        <f>IF($A107="","",IFERROR(VLOOKUP($A107,Invoices!$A$9:$X$108,5,FALSE),""))</f>
        <v/>
      </c>
      <c r="O107" s="325">
        <f>IF(AND($A107="",$B107="",$C107="",$D107=""),"",IF(OR($A107="",$B107="",$C107&lt;=0,$D107&lt;=0,$F107="",$H107="",$K107=""),"REVIEW","OK"))</f>
        <v/>
      </c>
      <c r="P107" s="330">
        <f>IF($A107="","",LOWER($A107&amp;" "&amp;$B107&amp;" "&amp;$F107&amp;" "&amp;$G107&amp;" "&amp;$L107&amp;" "&amp;$M107&amp;" "&amp;$N107))</f>
        <v/>
      </c>
    </row>
    <row r="108">
      <c r="A108" s="205" t="n"/>
      <c r="B108" s="207" t="n"/>
      <c r="C108" s="350" t="n"/>
      <c r="D108" s="332" t="n"/>
      <c r="E108" s="326">
        <f>IF(OR($A108="",$B108="",$C108="",$D108=""),"",$C108*$D108)</f>
        <v/>
      </c>
      <c r="F108" s="325">
        <f>IF($B108="","",IFERROR(VLOOKUP($B108,Setup!$A$9:$H$30,2,FALSE),""))</f>
        <v/>
      </c>
      <c r="G108" s="325">
        <f>IF($B108="","",IFERROR(VLOOKUP($B108,Setup!$A$9:$H$30,5,FALSE),""))</f>
        <v/>
      </c>
      <c r="H108" s="326">
        <f>IF($B108="","",IFERROR(VLOOKUP($B108,Setup!$A$9:$H$30,6,FALSE),""))</f>
        <v/>
      </c>
      <c r="I108" s="326">
        <f>IF(OR($C108="",$H108=""),"",$C108*$H108)</f>
        <v/>
      </c>
      <c r="J108" s="326">
        <f>IF(OR($E108="",$I108=""),"",$E108-$I108)</f>
        <v/>
      </c>
      <c r="K108" s="329">
        <f>IF($A108="","",IFERROR(VLOOKUP($A108,Invoices!$A$9:$X$108,2,FALSE),""))</f>
        <v/>
      </c>
      <c r="L108" s="325">
        <f>IF($A108="","",IFERROR(VLOOKUP($A108,Invoices!$A$9:$X$108,3,FALSE),""))</f>
        <v/>
      </c>
      <c r="M108" s="325">
        <f>IF($A108="","",IFERROR(VLOOKUP($A108,Invoices!$A$9:$X$108,4,FALSE),""))</f>
        <v/>
      </c>
      <c r="N108" s="325">
        <f>IF($A108="","",IFERROR(VLOOKUP($A108,Invoices!$A$9:$X$108,5,FALSE),""))</f>
        <v/>
      </c>
      <c r="O108" s="325">
        <f>IF(AND($A108="",$B108="",$C108="",$D108=""),"",IF(OR($A108="",$B108="",$C108&lt;=0,$D108&lt;=0,$F108="",$H108="",$K108=""),"REVIEW","OK"))</f>
        <v/>
      </c>
      <c r="P108" s="330">
        <f>IF($A108="","",LOWER($A108&amp;" "&amp;$B108&amp;" "&amp;$F108&amp;" "&amp;$G108&amp;" "&amp;$L108&amp;" "&amp;$M108&amp;" "&amp;$N108))</f>
        <v/>
      </c>
    </row>
    <row r="109">
      <c r="A109" s="205" t="n"/>
      <c r="B109" s="207" t="n"/>
      <c r="C109" s="350" t="n"/>
      <c r="D109" s="332" t="n"/>
      <c r="E109" s="326">
        <f>IF(OR($A109="",$B109="",$C109="",$D109=""),"",$C109*$D109)</f>
        <v/>
      </c>
      <c r="F109" s="325">
        <f>IF($B109="","",IFERROR(VLOOKUP($B109,Setup!$A$9:$H$30,2,FALSE),""))</f>
        <v/>
      </c>
      <c r="G109" s="325">
        <f>IF($B109="","",IFERROR(VLOOKUP($B109,Setup!$A$9:$H$30,5,FALSE),""))</f>
        <v/>
      </c>
      <c r="H109" s="326">
        <f>IF($B109="","",IFERROR(VLOOKUP($B109,Setup!$A$9:$H$30,6,FALSE),""))</f>
        <v/>
      </c>
      <c r="I109" s="326">
        <f>IF(OR($C109="",$H109=""),"",$C109*$H109)</f>
        <v/>
      </c>
      <c r="J109" s="326">
        <f>IF(OR($E109="",$I109=""),"",$E109-$I109)</f>
        <v/>
      </c>
      <c r="K109" s="329">
        <f>IF($A109="","",IFERROR(VLOOKUP($A109,Invoices!$A$9:$X$108,2,FALSE),""))</f>
        <v/>
      </c>
      <c r="L109" s="325">
        <f>IF($A109="","",IFERROR(VLOOKUP($A109,Invoices!$A$9:$X$108,3,FALSE),""))</f>
        <v/>
      </c>
      <c r="M109" s="325">
        <f>IF($A109="","",IFERROR(VLOOKUP($A109,Invoices!$A$9:$X$108,4,FALSE),""))</f>
        <v/>
      </c>
      <c r="N109" s="325">
        <f>IF($A109="","",IFERROR(VLOOKUP($A109,Invoices!$A$9:$X$108,5,FALSE),""))</f>
        <v/>
      </c>
      <c r="O109" s="325">
        <f>IF(AND($A109="",$B109="",$C109="",$D109=""),"",IF(OR($A109="",$B109="",$C109&lt;=0,$D109&lt;=0,$F109="",$H109="",$K109=""),"REVIEW","OK"))</f>
        <v/>
      </c>
      <c r="P109" s="330">
        <f>IF($A109="","",LOWER($A109&amp;" "&amp;$B109&amp;" "&amp;$F109&amp;" "&amp;$G109&amp;" "&amp;$L109&amp;" "&amp;$M109&amp;" "&amp;$N109))</f>
        <v/>
      </c>
    </row>
    <row r="110">
      <c r="A110" s="205" t="n"/>
      <c r="B110" s="207" t="n"/>
      <c r="C110" s="350" t="n"/>
      <c r="D110" s="332" t="n"/>
      <c r="E110" s="326">
        <f>IF(OR($A110="",$B110="",$C110="",$D110=""),"",$C110*$D110)</f>
        <v/>
      </c>
      <c r="F110" s="325">
        <f>IF($B110="","",IFERROR(VLOOKUP($B110,Setup!$A$9:$H$30,2,FALSE),""))</f>
        <v/>
      </c>
      <c r="G110" s="325">
        <f>IF($B110="","",IFERROR(VLOOKUP($B110,Setup!$A$9:$H$30,5,FALSE),""))</f>
        <v/>
      </c>
      <c r="H110" s="326">
        <f>IF($B110="","",IFERROR(VLOOKUP($B110,Setup!$A$9:$H$30,6,FALSE),""))</f>
        <v/>
      </c>
      <c r="I110" s="326">
        <f>IF(OR($C110="",$H110=""),"",$C110*$H110)</f>
        <v/>
      </c>
      <c r="J110" s="326">
        <f>IF(OR($E110="",$I110=""),"",$E110-$I110)</f>
        <v/>
      </c>
      <c r="K110" s="329">
        <f>IF($A110="","",IFERROR(VLOOKUP($A110,Invoices!$A$9:$X$108,2,FALSE),""))</f>
        <v/>
      </c>
      <c r="L110" s="325">
        <f>IF($A110="","",IFERROR(VLOOKUP($A110,Invoices!$A$9:$X$108,3,FALSE),""))</f>
        <v/>
      </c>
      <c r="M110" s="325">
        <f>IF($A110="","",IFERROR(VLOOKUP($A110,Invoices!$A$9:$X$108,4,FALSE),""))</f>
        <v/>
      </c>
      <c r="N110" s="325">
        <f>IF($A110="","",IFERROR(VLOOKUP($A110,Invoices!$A$9:$X$108,5,FALSE),""))</f>
        <v/>
      </c>
      <c r="O110" s="325">
        <f>IF(AND($A110="",$B110="",$C110="",$D110=""),"",IF(OR($A110="",$B110="",$C110&lt;=0,$D110&lt;=0,$F110="",$H110="",$K110=""),"REVIEW","OK"))</f>
        <v/>
      </c>
      <c r="P110" s="330">
        <f>IF($A110="","",LOWER($A110&amp;" "&amp;$B110&amp;" "&amp;$F110&amp;" "&amp;$G110&amp;" "&amp;$L110&amp;" "&amp;$M110&amp;" "&amp;$N110))</f>
        <v/>
      </c>
    </row>
    <row r="111">
      <c r="A111" s="205" t="n"/>
      <c r="B111" s="207" t="n"/>
      <c r="C111" s="350" t="n"/>
      <c r="D111" s="332" t="n"/>
      <c r="E111" s="326">
        <f>IF(OR($A111="",$B111="",$C111="",$D111=""),"",$C111*$D111)</f>
        <v/>
      </c>
      <c r="F111" s="325">
        <f>IF($B111="","",IFERROR(VLOOKUP($B111,Setup!$A$9:$H$30,2,FALSE),""))</f>
        <v/>
      </c>
      <c r="G111" s="325">
        <f>IF($B111="","",IFERROR(VLOOKUP($B111,Setup!$A$9:$H$30,5,FALSE),""))</f>
        <v/>
      </c>
      <c r="H111" s="326">
        <f>IF($B111="","",IFERROR(VLOOKUP($B111,Setup!$A$9:$H$30,6,FALSE),""))</f>
        <v/>
      </c>
      <c r="I111" s="326">
        <f>IF(OR($C111="",$H111=""),"",$C111*$H111)</f>
        <v/>
      </c>
      <c r="J111" s="326">
        <f>IF(OR($E111="",$I111=""),"",$E111-$I111)</f>
        <v/>
      </c>
      <c r="K111" s="329">
        <f>IF($A111="","",IFERROR(VLOOKUP($A111,Invoices!$A$9:$X$108,2,FALSE),""))</f>
        <v/>
      </c>
      <c r="L111" s="325">
        <f>IF($A111="","",IFERROR(VLOOKUP($A111,Invoices!$A$9:$X$108,3,FALSE),""))</f>
        <v/>
      </c>
      <c r="M111" s="325">
        <f>IF($A111="","",IFERROR(VLOOKUP($A111,Invoices!$A$9:$X$108,4,FALSE),""))</f>
        <v/>
      </c>
      <c r="N111" s="325">
        <f>IF($A111="","",IFERROR(VLOOKUP($A111,Invoices!$A$9:$X$108,5,FALSE),""))</f>
        <v/>
      </c>
      <c r="O111" s="325">
        <f>IF(AND($A111="",$B111="",$C111="",$D111=""),"",IF(OR($A111="",$B111="",$C111&lt;=0,$D111&lt;=0,$F111="",$H111="",$K111=""),"REVIEW","OK"))</f>
        <v/>
      </c>
      <c r="P111" s="330">
        <f>IF($A111="","",LOWER($A111&amp;" "&amp;$B111&amp;" "&amp;$F111&amp;" "&amp;$G111&amp;" "&amp;$L111&amp;" "&amp;$M111&amp;" "&amp;$N111))</f>
        <v/>
      </c>
    </row>
    <row r="112">
      <c r="A112" s="205" t="n"/>
      <c r="B112" s="207" t="n"/>
      <c r="C112" s="350" t="n"/>
      <c r="D112" s="332" t="n"/>
      <c r="E112" s="326">
        <f>IF(OR($A112="",$B112="",$C112="",$D112=""),"",$C112*$D112)</f>
        <v/>
      </c>
      <c r="F112" s="325">
        <f>IF($B112="","",IFERROR(VLOOKUP($B112,Setup!$A$9:$H$30,2,FALSE),""))</f>
        <v/>
      </c>
      <c r="G112" s="325">
        <f>IF($B112="","",IFERROR(VLOOKUP($B112,Setup!$A$9:$H$30,5,FALSE),""))</f>
        <v/>
      </c>
      <c r="H112" s="326">
        <f>IF($B112="","",IFERROR(VLOOKUP($B112,Setup!$A$9:$H$30,6,FALSE),""))</f>
        <v/>
      </c>
      <c r="I112" s="326">
        <f>IF(OR($C112="",$H112=""),"",$C112*$H112)</f>
        <v/>
      </c>
      <c r="J112" s="326">
        <f>IF(OR($E112="",$I112=""),"",$E112-$I112)</f>
        <v/>
      </c>
      <c r="K112" s="329">
        <f>IF($A112="","",IFERROR(VLOOKUP($A112,Invoices!$A$9:$X$108,2,FALSE),""))</f>
        <v/>
      </c>
      <c r="L112" s="325">
        <f>IF($A112="","",IFERROR(VLOOKUP($A112,Invoices!$A$9:$X$108,3,FALSE),""))</f>
        <v/>
      </c>
      <c r="M112" s="325">
        <f>IF($A112="","",IFERROR(VLOOKUP($A112,Invoices!$A$9:$X$108,4,FALSE),""))</f>
        <v/>
      </c>
      <c r="N112" s="325">
        <f>IF($A112="","",IFERROR(VLOOKUP($A112,Invoices!$A$9:$X$108,5,FALSE),""))</f>
        <v/>
      </c>
      <c r="O112" s="325">
        <f>IF(AND($A112="",$B112="",$C112="",$D112=""),"",IF(OR($A112="",$B112="",$C112&lt;=0,$D112&lt;=0,$F112="",$H112="",$K112=""),"REVIEW","OK"))</f>
        <v/>
      </c>
      <c r="P112" s="330">
        <f>IF($A112="","",LOWER($A112&amp;" "&amp;$B112&amp;" "&amp;$F112&amp;" "&amp;$G112&amp;" "&amp;$L112&amp;" "&amp;$M112&amp;" "&amp;$N112))</f>
        <v/>
      </c>
    </row>
    <row r="113">
      <c r="A113" s="205" t="n"/>
      <c r="B113" s="207" t="n"/>
      <c r="C113" s="350" t="n"/>
      <c r="D113" s="332" t="n"/>
      <c r="E113" s="326">
        <f>IF(OR($A113="",$B113="",$C113="",$D113=""),"",$C113*$D113)</f>
        <v/>
      </c>
      <c r="F113" s="325">
        <f>IF($B113="","",IFERROR(VLOOKUP($B113,Setup!$A$9:$H$30,2,FALSE),""))</f>
        <v/>
      </c>
      <c r="G113" s="325">
        <f>IF($B113="","",IFERROR(VLOOKUP($B113,Setup!$A$9:$H$30,5,FALSE),""))</f>
        <v/>
      </c>
      <c r="H113" s="326">
        <f>IF($B113="","",IFERROR(VLOOKUP($B113,Setup!$A$9:$H$30,6,FALSE),""))</f>
        <v/>
      </c>
      <c r="I113" s="326">
        <f>IF(OR($C113="",$H113=""),"",$C113*$H113)</f>
        <v/>
      </c>
      <c r="J113" s="326">
        <f>IF(OR($E113="",$I113=""),"",$E113-$I113)</f>
        <v/>
      </c>
      <c r="K113" s="329">
        <f>IF($A113="","",IFERROR(VLOOKUP($A113,Invoices!$A$9:$X$108,2,FALSE),""))</f>
        <v/>
      </c>
      <c r="L113" s="325">
        <f>IF($A113="","",IFERROR(VLOOKUP($A113,Invoices!$A$9:$X$108,3,FALSE),""))</f>
        <v/>
      </c>
      <c r="M113" s="325">
        <f>IF($A113="","",IFERROR(VLOOKUP($A113,Invoices!$A$9:$X$108,4,FALSE),""))</f>
        <v/>
      </c>
      <c r="N113" s="325">
        <f>IF($A113="","",IFERROR(VLOOKUP($A113,Invoices!$A$9:$X$108,5,FALSE),""))</f>
        <v/>
      </c>
      <c r="O113" s="325">
        <f>IF(AND($A113="",$B113="",$C113="",$D113=""),"",IF(OR($A113="",$B113="",$C113&lt;=0,$D113&lt;=0,$F113="",$H113="",$K113=""),"REVIEW","OK"))</f>
        <v/>
      </c>
      <c r="P113" s="330">
        <f>IF($A113="","",LOWER($A113&amp;" "&amp;$B113&amp;" "&amp;$F113&amp;" "&amp;$G113&amp;" "&amp;$L113&amp;" "&amp;$M113&amp;" "&amp;$N113))</f>
        <v/>
      </c>
    </row>
    <row r="114">
      <c r="A114" s="205" t="n"/>
      <c r="B114" s="207" t="n"/>
      <c r="C114" s="350" t="n"/>
      <c r="D114" s="332" t="n"/>
      <c r="E114" s="326">
        <f>IF(OR($A114="",$B114="",$C114="",$D114=""),"",$C114*$D114)</f>
        <v/>
      </c>
      <c r="F114" s="325">
        <f>IF($B114="","",IFERROR(VLOOKUP($B114,Setup!$A$9:$H$30,2,FALSE),""))</f>
        <v/>
      </c>
      <c r="G114" s="325">
        <f>IF($B114="","",IFERROR(VLOOKUP($B114,Setup!$A$9:$H$30,5,FALSE),""))</f>
        <v/>
      </c>
      <c r="H114" s="326">
        <f>IF($B114="","",IFERROR(VLOOKUP($B114,Setup!$A$9:$H$30,6,FALSE),""))</f>
        <v/>
      </c>
      <c r="I114" s="326">
        <f>IF(OR($C114="",$H114=""),"",$C114*$H114)</f>
        <v/>
      </c>
      <c r="J114" s="326">
        <f>IF(OR($E114="",$I114=""),"",$E114-$I114)</f>
        <v/>
      </c>
      <c r="K114" s="329">
        <f>IF($A114="","",IFERROR(VLOOKUP($A114,Invoices!$A$9:$X$108,2,FALSE),""))</f>
        <v/>
      </c>
      <c r="L114" s="325">
        <f>IF($A114="","",IFERROR(VLOOKUP($A114,Invoices!$A$9:$X$108,3,FALSE),""))</f>
        <v/>
      </c>
      <c r="M114" s="325">
        <f>IF($A114="","",IFERROR(VLOOKUP($A114,Invoices!$A$9:$X$108,4,FALSE),""))</f>
        <v/>
      </c>
      <c r="N114" s="325">
        <f>IF($A114="","",IFERROR(VLOOKUP($A114,Invoices!$A$9:$X$108,5,FALSE),""))</f>
        <v/>
      </c>
      <c r="O114" s="325">
        <f>IF(AND($A114="",$B114="",$C114="",$D114=""),"",IF(OR($A114="",$B114="",$C114&lt;=0,$D114&lt;=0,$F114="",$H114="",$K114=""),"REVIEW","OK"))</f>
        <v/>
      </c>
      <c r="P114" s="330">
        <f>IF($A114="","",LOWER($A114&amp;" "&amp;$B114&amp;" "&amp;$F114&amp;" "&amp;$G114&amp;" "&amp;$L114&amp;" "&amp;$M114&amp;" "&amp;$N114))</f>
        <v/>
      </c>
    </row>
    <row r="115">
      <c r="A115" s="205" t="n"/>
      <c r="B115" s="207" t="n"/>
      <c r="C115" s="350" t="n"/>
      <c r="D115" s="332" t="n"/>
      <c r="E115" s="326">
        <f>IF(OR($A115="",$B115="",$C115="",$D115=""),"",$C115*$D115)</f>
        <v/>
      </c>
      <c r="F115" s="325">
        <f>IF($B115="","",IFERROR(VLOOKUP($B115,Setup!$A$9:$H$30,2,FALSE),""))</f>
        <v/>
      </c>
      <c r="G115" s="325">
        <f>IF($B115="","",IFERROR(VLOOKUP($B115,Setup!$A$9:$H$30,5,FALSE),""))</f>
        <v/>
      </c>
      <c r="H115" s="326">
        <f>IF($B115="","",IFERROR(VLOOKUP($B115,Setup!$A$9:$H$30,6,FALSE),""))</f>
        <v/>
      </c>
      <c r="I115" s="326">
        <f>IF(OR($C115="",$H115=""),"",$C115*$H115)</f>
        <v/>
      </c>
      <c r="J115" s="326">
        <f>IF(OR($E115="",$I115=""),"",$E115-$I115)</f>
        <v/>
      </c>
      <c r="K115" s="329">
        <f>IF($A115="","",IFERROR(VLOOKUP($A115,Invoices!$A$9:$X$108,2,FALSE),""))</f>
        <v/>
      </c>
      <c r="L115" s="325">
        <f>IF($A115="","",IFERROR(VLOOKUP($A115,Invoices!$A$9:$X$108,3,FALSE),""))</f>
        <v/>
      </c>
      <c r="M115" s="325">
        <f>IF($A115="","",IFERROR(VLOOKUP($A115,Invoices!$A$9:$X$108,4,FALSE),""))</f>
        <v/>
      </c>
      <c r="N115" s="325">
        <f>IF($A115="","",IFERROR(VLOOKUP($A115,Invoices!$A$9:$X$108,5,FALSE),""))</f>
        <v/>
      </c>
      <c r="O115" s="325">
        <f>IF(AND($A115="",$B115="",$C115="",$D115=""),"",IF(OR($A115="",$B115="",$C115&lt;=0,$D115&lt;=0,$F115="",$H115="",$K115=""),"REVIEW","OK"))</f>
        <v/>
      </c>
      <c r="P115" s="330">
        <f>IF($A115="","",LOWER($A115&amp;" "&amp;$B115&amp;" "&amp;$F115&amp;" "&amp;$G115&amp;" "&amp;$L115&amp;" "&amp;$M115&amp;" "&amp;$N115))</f>
        <v/>
      </c>
    </row>
    <row r="116">
      <c r="A116" s="205" t="n"/>
      <c r="B116" s="207" t="n"/>
      <c r="C116" s="350" t="n"/>
      <c r="D116" s="332" t="n"/>
      <c r="E116" s="326">
        <f>IF(OR($A116="",$B116="",$C116="",$D116=""),"",$C116*$D116)</f>
        <v/>
      </c>
      <c r="F116" s="325">
        <f>IF($B116="","",IFERROR(VLOOKUP($B116,Setup!$A$9:$H$30,2,FALSE),""))</f>
        <v/>
      </c>
      <c r="G116" s="325">
        <f>IF($B116="","",IFERROR(VLOOKUP($B116,Setup!$A$9:$H$30,5,FALSE),""))</f>
        <v/>
      </c>
      <c r="H116" s="326">
        <f>IF($B116="","",IFERROR(VLOOKUP($B116,Setup!$A$9:$H$30,6,FALSE),""))</f>
        <v/>
      </c>
      <c r="I116" s="326">
        <f>IF(OR($C116="",$H116=""),"",$C116*$H116)</f>
        <v/>
      </c>
      <c r="J116" s="326">
        <f>IF(OR($E116="",$I116=""),"",$E116-$I116)</f>
        <v/>
      </c>
      <c r="K116" s="329">
        <f>IF($A116="","",IFERROR(VLOOKUP($A116,Invoices!$A$9:$X$108,2,FALSE),""))</f>
        <v/>
      </c>
      <c r="L116" s="325">
        <f>IF($A116="","",IFERROR(VLOOKUP($A116,Invoices!$A$9:$X$108,3,FALSE),""))</f>
        <v/>
      </c>
      <c r="M116" s="325">
        <f>IF($A116="","",IFERROR(VLOOKUP($A116,Invoices!$A$9:$X$108,4,FALSE),""))</f>
        <v/>
      </c>
      <c r="N116" s="325">
        <f>IF($A116="","",IFERROR(VLOOKUP($A116,Invoices!$A$9:$X$108,5,FALSE),""))</f>
        <v/>
      </c>
      <c r="O116" s="325">
        <f>IF(AND($A116="",$B116="",$C116="",$D116=""),"",IF(OR($A116="",$B116="",$C116&lt;=0,$D116&lt;=0,$F116="",$H116="",$K116=""),"REVIEW","OK"))</f>
        <v/>
      </c>
      <c r="P116" s="330">
        <f>IF($A116="","",LOWER($A116&amp;" "&amp;$B116&amp;" "&amp;$F116&amp;" "&amp;$G116&amp;" "&amp;$L116&amp;" "&amp;$M116&amp;" "&amp;$N116))</f>
        <v/>
      </c>
    </row>
    <row r="117">
      <c r="A117" s="205" t="n"/>
      <c r="B117" s="207" t="n"/>
      <c r="C117" s="350" t="n"/>
      <c r="D117" s="332" t="n"/>
      <c r="E117" s="326">
        <f>IF(OR($A117="",$B117="",$C117="",$D117=""),"",$C117*$D117)</f>
        <v/>
      </c>
      <c r="F117" s="325">
        <f>IF($B117="","",IFERROR(VLOOKUP($B117,Setup!$A$9:$H$30,2,FALSE),""))</f>
        <v/>
      </c>
      <c r="G117" s="325">
        <f>IF($B117="","",IFERROR(VLOOKUP($B117,Setup!$A$9:$H$30,5,FALSE),""))</f>
        <v/>
      </c>
      <c r="H117" s="326">
        <f>IF($B117="","",IFERROR(VLOOKUP($B117,Setup!$A$9:$H$30,6,FALSE),""))</f>
        <v/>
      </c>
      <c r="I117" s="326">
        <f>IF(OR($C117="",$H117=""),"",$C117*$H117)</f>
        <v/>
      </c>
      <c r="J117" s="326">
        <f>IF(OR($E117="",$I117=""),"",$E117-$I117)</f>
        <v/>
      </c>
      <c r="K117" s="329">
        <f>IF($A117="","",IFERROR(VLOOKUP($A117,Invoices!$A$9:$X$108,2,FALSE),""))</f>
        <v/>
      </c>
      <c r="L117" s="325">
        <f>IF($A117="","",IFERROR(VLOOKUP($A117,Invoices!$A$9:$X$108,3,FALSE),""))</f>
        <v/>
      </c>
      <c r="M117" s="325">
        <f>IF($A117="","",IFERROR(VLOOKUP($A117,Invoices!$A$9:$X$108,4,FALSE),""))</f>
        <v/>
      </c>
      <c r="N117" s="325">
        <f>IF($A117="","",IFERROR(VLOOKUP($A117,Invoices!$A$9:$X$108,5,FALSE),""))</f>
        <v/>
      </c>
      <c r="O117" s="325">
        <f>IF(AND($A117="",$B117="",$C117="",$D117=""),"",IF(OR($A117="",$B117="",$C117&lt;=0,$D117&lt;=0,$F117="",$H117="",$K117=""),"REVIEW","OK"))</f>
        <v/>
      </c>
      <c r="P117" s="330">
        <f>IF($A117="","",LOWER($A117&amp;" "&amp;$B117&amp;" "&amp;$F117&amp;" "&amp;$G117&amp;" "&amp;$L117&amp;" "&amp;$M117&amp;" "&amp;$N117))</f>
        <v/>
      </c>
    </row>
    <row r="118">
      <c r="A118" s="205" t="n"/>
      <c r="B118" s="207" t="n"/>
      <c r="C118" s="350" t="n"/>
      <c r="D118" s="332" t="n"/>
      <c r="E118" s="326">
        <f>IF(OR($A118="",$B118="",$C118="",$D118=""),"",$C118*$D118)</f>
        <v/>
      </c>
      <c r="F118" s="325">
        <f>IF($B118="","",IFERROR(VLOOKUP($B118,Setup!$A$9:$H$30,2,FALSE),""))</f>
        <v/>
      </c>
      <c r="G118" s="325">
        <f>IF($B118="","",IFERROR(VLOOKUP($B118,Setup!$A$9:$H$30,5,FALSE),""))</f>
        <v/>
      </c>
      <c r="H118" s="326">
        <f>IF($B118="","",IFERROR(VLOOKUP($B118,Setup!$A$9:$H$30,6,FALSE),""))</f>
        <v/>
      </c>
      <c r="I118" s="326">
        <f>IF(OR($C118="",$H118=""),"",$C118*$H118)</f>
        <v/>
      </c>
      <c r="J118" s="326">
        <f>IF(OR($E118="",$I118=""),"",$E118-$I118)</f>
        <v/>
      </c>
      <c r="K118" s="329">
        <f>IF($A118="","",IFERROR(VLOOKUP($A118,Invoices!$A$9:$X$108,2,FALSE),""))</f>
        <v/>
      </c>
      <c r="L118" s="325">
        <f>IF($A118="","",IFERROR(VLOOKUP($A118,Invoices!$A$9:$X$108,3,FALSE),""))</f>
        <v/>
      </c>
      <c r="M118" s="325">
        <f>IF($A118="","",IFERROR(VLOOKUP($A118,Invoices!$A$9:$X$108,4,FALSE),""))</f>
        <v/>
      </c>
      <c r="N118" s="325">
        <f>IF($A118="","",IFERROR(VLOOKUP($A118,Invoices!$A$9:$X$108,5,FALSE),""))</f>
        <v/>
      </c>
      <c r="O118" s="325">
        <f>IF(AND($A118="",$B118="",$C118="",$D118=""),"",IF(OR($A118="",$B118="",$C118&lt;=0,$D118&lt;=0,$F118="",$H118="",$K118=""),"REVIEW","OK"))</f>
        <v/>
      </c>
      <c r="P118" s="330">
        <f>IF($A118="","",LOWER($A118&amp;" "&amp;$B118&amp;" "&amp;$F118&amp;" "&amp;$G118&amp;" "&amp;$L118&amp;" "&amp;$M118&amp;" "&amp;$N118))</f>
        <v/>
      </c>
    </row>
    <row r="119">
      <c r="A119" s="205" t="n"/>
      <c r="B119" s="207" t="n"/>
      <c r="C119" s="350" t="n"/>
      <c r="D119" s="332" t="n"/>
      <c r="E119" s="326">
        <f>IF(OR($A119="",$B119="",$C119="",$D119=""),"",$C119*$D119)</f>
        <v/>
      </c>
      <c r="F119" s="325">
        <f>IF($B119="","",IFERROR(VLOOKUP($B119,Setup!$A$9:$H$30,2,FALSE),""))</f>
        <v/>
      </c>
      <c r="G119" s="325">
        <f>IF($B119="","",IFERROR(VLOOKUP($B119,Setup!$A$9:$H$30,5,FALSE),""))</f>
        <v/>
      </c>
      <c r="H119" s="326">
        <f>IF($B119="","",IFERROR(VLOOKUP($B119,Setup!$A$9:$H$30,6,FALSE),""))</f>
        <v/>
      </c>
      <c r="I119" s="326">
        <f>IF(OR($C119="",$H119=""),"",$C119*$H119)</f>
        <v/>
      </c>
      <c r="J119" s="326">
        <f>IF(OR($E119="",$I119=""),"",$E119-$I119)</f>
        <v/>
      </c>
      <c r="K119" s="329">
        <f>IF($A119="","",IFERROR(VLOOKUP($A119,Invoices!$A$9:$X$108,2,FALSE),""))</f>
        <v/>
      </c>
      <c r="L119" s="325">
        <f>IF($A119="","",IFERROR(VLOOKUP($A119,Invoices!$A$9:$X$108,3,FALSE),""))</f>
        <v/>
      </c>
      <c r="M119" s="325">
        <f>IF($A119="","",IFERROR(VLOOKUP($A119,Invoices!$A$9:$X$108,4,FALSE),""))</f>
        <v/>
      </c>
      <c r="N119" s="325">
        <f>IF($A119="","",IFERROR(VLOOKUP($A119,Invoices!$A$9:$X$108,5,FALSE),""))</f>
        <v/>
      </c>
      <c r="O119" s="325">
        <f>IF(AND($A119="",$B119="",$C119="",$D119=""),"",IF(OR($A119="",$B119="",$C119&lt;=0,$D119&lt;=0,$F119="",$H119="",$K119=""),"REVIEW","OK"))</f>
        <v/>
      </c>
      <c r="P119" s="330">
        <f>IF($A119="","",LOWER($A119&amp;" "&amp;$B119&amp;" "&amp;$F119&amp;" "&amp;$G119&amp;" "&amp;$L119&amp;" "&amp;$M119&amp;" "&amp;$N119))</f>
        <v/>
      </c>
    </row>
    <row r="120">
      <c r="A120" s="205" t="n"/>
      <c r="B120" s="207" t="n"/>
      <c r="C120" s="350" t="n"/>
      <c r="D120" s="332" t="n"/>
      <c r="E120" s="326">
        <f>IF(OR($A120="",$B120="",$C120="",$D120=""),"",$C120*$D120)</f>
        <v/>
      </c>
      <c r="F120" s="325">
        <f>IF($B120="","",IFERROR(VLOOKUP($B120,Setup!$A$9:$H$30,2,FALSE),""))</f>
        <v/>
      </c>
      <c r="G120" s="325">
        <f>IF($B120="","",IFERROR(VLOOKUP($B120,Setup!$A$9:$H$30,5,FALSE),""))</f>
        <v/>
      </c>
      <c r="H120" s="326">
        <f>IF($B120="","",IFERROR(VLOOKUP($B120,Setup!$A$9:$H$30,6,FALSE),""))</f>
        <v/>
      </c>
      <c r="I120" s="326">
        <f>IF(OR($C120="",$H120=""),"",$C120*$H120)</f>
        <v/>
      </c>
      <c r="J120" s="326">
        <f>IF(OR($E120="",$I120=""),"",$E120-$I120)</f>
        <v/>
      </c>
      <c r="K120" s="329">
        <f>IF($A120="","",IFERROR(VLOOKUP($A120,Invoices!$A$9:$X$108,2,FALSE),""))</f>
        <v/>
      </c>
      <c r="L120" s="325">
        <f>IF($A120="","",IFERROR(VLOOKUP($A120,Invoices!$A$9:$X$108,3,FALSE),""))</f>
        <v/>
      </c>
      <c r="M120" s="325">
        <f>IF($A120="","",IFERROR(VLOOKUP($A120,Invoices!$A$9:$X$108,4,FALSE),""))</f>
        <v/>
      </c>
      <c r="N120" s="325">
        <f>IF($A120="","",IFERROR(VLOOKUP($A120,Invoices!$A$9:$X$108,5,FALSE),""))</f>
        <v/>
      </c>
      <c r="O120" s="325">
        <f>IF(AND($A120="",$B120="",$C120="",$D120=""),"",IF(OR($A120="",$B120="",$C120&lt;=0,$D120&lt;=0,$F120="",$H120="",$K120=""),"REVIEW","OK"))</f>
        <v/>
      </c>
      <c r="P120" s="330">
        <f>IF($A120="","",LOWER($A120&amp;" "&amp;$B120&amp;" "&amp;$F120&amp;" "&amp;$G120&amp;" "&amp;$L120&amp;" "&amp;$M120&amp;" "&amp;$N120))</f>
        <v/>
      </c>
    </row>
    <row r="121">
      <c r="A121" s="205" t="n"/>
      <c r="B121" s="207" t="n"/>
      <c r="C121" s="350" t="n"/>
      <c r="D121" s="332" t="n"/>
      <c r="E121" s="326">
        <f>IF(OR($A121="",$B121="",$C121="",$D121=""),"",$C121*$D121)</f>
        <v/>
      </c>
      <c r="F121" s="325">
        <f>IF($B121="","",IFERROR(VLOOKUP($B121,Setup!$A$9:$H$30,2,FALSE),""))</f>
        <v/>
      </c>
      <c r="G121" s="325">
        <f>IF($B121="","",IFERROR(VLOOKUP($B121,Setup!$A$9:$H$30,5,FALSE),""))</f>
        <v/>
      </c>
      <c r="H121" s="326">
        <f>IF($B121="","",IFERROR(VLOOKUP($B121,Setup!$A$9:$H$30,6,FALSE),""))</f>
        <v/>
      </c>
      <c r="I121" s="326">
        <f>IF(OR($C121="",$H121=""),"",$C121*$H121)</f>
        <v/>
      </c>
      <c r="J121" s="326">
        <f>IF(OR($E121="",$I121=""),"",$E121-$I121)</f>
        <v/>
      </c>
      <c r="K121" s="329">
        <f>IF($A121="","",IFERROR(VLOOKUP($A121,Invoices!$A$9:$X$108,2,FALSE),""))</f>
        <v/>
      </c>
      <c r="L121" s="325">
        <f>IF($A121="","",IFERROR(VLOOKUP($A121,Invoices!$A$9:$X$108,3,FALSE),""))</f>
        <v/>
      </c>
      <c r="M121" s="325">
        <f>IF($A121="","",IFERROR(VLOOKUP($A121,Invoices!$A$9:$X$108,4,FALSE),""))</f>
        <v/>
      </c>
      <c r="N121" s="325">
        <f>IF($A121="","",IFERROR(VLOOKUP($A121,Invoices!$A$9:$X$108,5,FALSE),""))</f>
        <v/>
      </c>
      <c r="O121" s="325">
        <f>IF(AND($A121="",$B121="",$C121="",$D121=""),"",IF(OR($A121="",$B121="",$C121&lt;=0,$D121&lt;=0,$F121="",$H121="",$K121=""),"REVIEW","OK"))</f>
        <v/>
      </c>
      <c r="P121" s="330">
        <f>IF($A121="","",LOWER($A121&amp;" "&amp;$B121&amp;" "&amp;$F121&amp;" "&amp;$G121&amp;" "&amp;$L121&amp;" "&amp;$M121&amp;" "&amp;$N121))</f>
        <v/>
      </c>
    </row>
    <row r="122">
      <c r="A122" s="205" t="n"/>
      <c r="B122" s="207" t="n"/>
      <c r="C122" s="350" t="n"/>
      <c r="D122" s="332" t="n"/>
      <c r="E122" s="326">
        <f>IF(OR($A122="",$B122="",$C122="",$D122=""),"",$C122*$D122)</f>
        <v/>
      </c>
      <c r="F122" s="325">
        <f>IF($B122="","",IFERROR(VLOOKUP($B122,Setup!$A$9:$H$30,2,FALSE),""))</f>
        <v/>
      </c>
      <c r="G122" s="325">
        <f>IF($B122="","",IFERROR(VLOOKUP($B122,Setup!$A$9:$H$30,5,FALSE),""))</f>
        <v/>
      </c>
      <c r="H122" s="326">
        <f>IF($B122="","",IFERROR(VLOOKUP($B122,Setup!$A$9:$H$30,6,FALSE),""))</f>
        <v/>
      </c>
      <c r="I122" s="326">
        <f>IF(OR($C122="",$H122=""),"",$C122*$H122)</f>
        <v/>
      </c>
      <c r="J122" s="326">
        <f>IF(OR($E122="",$I122=""),"",$E122-$I122)</f>
        <v/>
      </c>
      <c r="K122" s="329">
        <f>IF($A122="","",IFERROR(VLOOKUP($A122,Invoices!$A$9:$X$108,2,FALSE),""))</f>
        <v/>
      </c>
      <c r="L122" s="325">
        <f>IF($A122="","",IFERROR(VLOOKUP($A122,Invoices!$A$9:$X$108,3,FALSE),""))</f>
        <v/>
      </c>
      <c r="M122" s="325">
        <f>IF($A122="","",IFERROR(VLOOKUP($A122,Invoices!$A$9:$X$108,4,FALSE),""))</f>
        <v/>
      </c>
      <c r="N122" s="325">
        <f>IF($A122="","",IFERROR(VLOOKUP($A122,Invoices!$A$9:$X$108,5,FALSE),""))</f>
        <v/>
      </c>
      <c r="O122" s="325">
        <f>IF(AND($A122="",$B122="",$C122="",$D122=""),"",IF(OR($A122="",$B122="",$C122&lt;=0,$D122&lt;=0,$F122="",$H122="",$K122=""),"REVIEW","OK"))</f>
        <v/>
      </c>
      <c r="P122" s="330">
        <f>IF($A122="","",LOWER($A122&amp;" "&amp;$B122&amp;" "&amp;$F122&amp;" "&amp;$G122&amp;" "&amp;$L122&amp;" "&amp;$M122&amp;" "&amp;$N122))</f>
        <v/>
      </c>
    </row>
    <row r="123">
      <c r="A123" s="205" t="n"/>
      <c r="B123" s="207" t="n"/>
      <c r="C123" s="350" t="n"/>
      <c r="D123" s="332" t="n"/>
      <c r="E123" s="326">
        <f>IF(OR($A123="",$B123="",$C123="",$D123=""),"",$C123*$D123)</f>
        <v/>
      </c>
      <c r="F123" s="325">
        <f>IF($B123="","",IFERROR(VLOOKUP($B123,Setup!$A$9:$H$30,2,FALSE),""))</f>
        <v/>
      </c>
      <c r="G123" s="325">
        <f>IF($B123="","",IFERROR(VLOOKUP($B123,Setup!$A$9:$H$30,5,FALSE),""))</f>
        <v/>
      </c>
      <c r="H123" s="326">
        <f>IF($B123="","",IFERROR(VLOOKUP($B123,Setup!$A$9:$H$30,6,FALSE),""))</f>
        <v/>
      </c>
      <c r="I123" s="326">
        <f>IF(OR($C123="",$H123=""),"",$C123*$H123)</f>
        <v/>
      </c>
      <c r="J123" s="326">
        <f>IF(OR($E123="",$I123=""),"",$E123-$I123)</f>
        <v/>
      </c>
      <c r="K123" s="329">
        <f>IF($A123="","",IFERROR(VLOOKUP($A123,Invoices!$A$9:$X$108,2,FALSE),""))</f>
        <v/>
      </c>
      <c r="L123" s="325">
        <f>IF($A123="","",IFERROR(VLOOKUP($A123,Invoices!$A$9:$X$108,3,FALSE),""))</f>
        <v/>
      </c>
      <c r="M123" s="325">
        <f>IF($A123="","",IFERROR(VLOOKUP($A123,Invoices!$A$9:$X$108,4,FALSE),""))</f>
        <v/>
      </c>
      <c r="N123" s="325">
        <f>IF($A123="","",IFERROR(VLOOKUP($A123,Invoices!$A$9:$X$108,5,FALSE),""))</f>
        <v/>
      </c>
      <c r="O123" s="325">
        <f>IF(AND($A123="",$B123="",$C123="",$D123=""),"",IF(OR($A123="",$B123="",$C123&lt;=0,$D123&lt;=0,$F123="",$H123="",$K123=""),"REVIEW","OK"))</f>
        <v/>
      </c>
      <c r="P123" s="330">
        <f>IF($A123="","",LOWER($A123&amp;" "&amp;$B123&amp;" "&amp;$F123&amp;" "&amp;$G123&amp;" "&amp;$L123&amp;" "&amp;$M123&amp;" "&amp;$N123))</f>
        <v/>
      </c>
    </row>
    <row r="124">
      <c r="A124" s="205" t="n"/>
      <c r="B124" s="207" t="n"/>
      <c r="C124" s="350" t="n"/>
      <c r="D124" s="332" t="n"/>
      <c r="E124" s="326">
        <f>IF(OR($A124="",$B124="",$C124="",$D124=""),"",$C124*$D124)</f>
        <v/>
      </c>
      <c r="F124" s="325">
        <f>IF($B124="","",IFERROR(VLOOKUP($B124,Setup!$A$9:$H$30,2,FALSE),""))</f>
        <v/>
      </c>
      <c r="G124" s="325">
        <f>IF($B124="","",IFERROR(VLOOKUP($B124,Setup!$A$9:$H$30,5,FALSE),""))</f>
        <v/>
      </c>
      <c r="H124" s="326">
        <f>IF($B124="","",IFERROR(VLOOKUP($B124,Setup!$A$9:$H$30,6,FALSE),""))</f>
        <v/>
      </c>
      <c r="I124" s="326">
        <f>IF(OR($C124="",$H124=""),"",$C124*$H124)</f>
        <v/>
      </c>
      <c r="J124" s="326">
        <f>IF(OR($E124="",$I124=""),"",$E124-$I124)</f>
        <v/>
      </c>
      <c r="K124" s="329">
        <f>IF($A124="","",IFERROR(VLOOKUP($A124,Invoices!$A$9:$X$108,2,FALSE),""))</f>
        <v/>
      </c>
      <c r="L124" s="325">
        <f>IF($A124="","",IFERROR(VLOOKUP($A124,Invoices!$A$9:$X$108,3,FALSE),""))</f>
        <v/>
      </c>
      <c r="M124" s="325">
        <f>IF($A124="","",IFERROR(VLOOKUP($A124,Invoices!$A$9:$X$108,4,FALSE),""))</f>
        <v/>
      </c>
      <c r="N124" s="325">
        <f>IF($A124="","",IFERROR(VLOOKUP($A124,Invoices!$A$9:$X$108,5,FALSE),""))</f>
        <v/>
      </c>
      <c r="O124" s="325">
        <f>IF(AND($A124="",$B124="",$C124="",$D124=""),"",IF(OR($A124="",$B124="",$C124&lt;=0,$D124&lt;=0,$F124="",$H124="",$K124=""),"REVIEW","OK"))</f>
        <v/>
      </c>
      <c r="P124" s="330">
        <f>IF($A124="","",LOWER($A124&amp;" "&amp;$B124&amp;" "&amp;$F124&amp;" "&amp;$G124&amp;" "&amp;$L124&amp;" "&amp;$M124&amp;" "&amp;$N124))</f>
        <v/>
      </c>
    </row>
    <row r="125">
      <c r="A125" s="205" t="n"/>
      <c r="B125" s="207" t="n"/>
      <c r="C125" s="350" t="n"/>
      <c r="D125" s="332" t="n"/>
      <c r="E125" s="326">
        <f>IF(OR($A125="",$B125="",$C125="",$D125=""),"",$C125*$D125)</f>
        <v/>
      </c>
      <c r="F125" s="325">
        <f>IF($B125="","",IFERROR(VLOOKUP($B125,Setup!$A$9:$H$30,2,FALSE),""))</f>
        <v/>
      </c>
      <c r="G125" s="325">
        <f>IF($B125="","",IFERROR(VLOOKUP($B125,Setup!$A$9:$H$30,5,FALSE),""))</f>
        <v/>
      </c>
      <c r="H125" s="326">
        <f>IF($B125="","",IFERROR(VLOOKUP($B125,Setup!$A$9:$H$30,6,FALSE),""))</f>
        <v/>
      </c>
      <c r="I125" s="326">
        <f>IF(OR($C125="",$H125=""),"",$C125*$H125)</f>
        <v/>
      </c>
      <c r="J125" s="326">
        <f>IF(OR($E125="",$I125=""),"",$E125-$I125)</f>
        <v/>
      </c>
      <c r="K125" s="329">
        <f>IF($A125="","",IFERROR(VLOOKUP($A125,Invoices!$A$9:$X$108,2,FALSE),""))</f>
        <v/>
      </c>
      <c r="L125" s="325">
        <f>IF($A125="","",IFERROR(VLOOKUP($A125,Invoices!$A$9:$X$108,3,FALSE),""))</f>
        <v/>
      </c>
      <c r="M125" s="325">
        <f>IF($A125="","",IFERROR(VLOOKUP($A125,Invoices!$A$9:$X$108,4,FALSE),""))</f>
        <v/>
      </c>
      <c r="N125" s="325">
        <f>IF($A125="","",IFERROR(VLOOKUP($A125,Invoices!$A$9:$X$108,5,FALSE),""))</f>
        <v/>
      </c>
      <c r="O125" s="325">
        <f>IF(AND($A125="",$B125="",$C125="",$D125=""),"",IF(OR($A125="",$B125="",$C125&lt;=0,$D125&lt;=0,$F125="",$H125="",$K125=""),"REVIEW","OK"))</f>
        <v/>
      </c>
      <c r="P125" s="330">
        <f>IF($A125="","",LOWER($A125&amp;" "&amp;$B125&amp;" "&amp;$F125&amp;" "&amp;$G125&amp;" "&amp;$L125&amp;" "&amp;$M125&amp;" "&amp;$N125))</f>
        <v/>
      </c>
    </row>
    <row r="126">
      <c r="A126" s="205" t="n"/>
      <c r="B126" s="207" t="n"/>
      <c r="C126" s="350" t="n"/>
      <c r="D126" s="332" t="n"/>
      <c r="E126" s="326">
        <f>IF(OR($A126="",$B126="",$C126="",$D126=""),"",$C126*$D126)</f>
        <v/>
      </c>
      <c r="F126" s="325">
        <f>IF($B126="","",IFERROR(VLOOKUP($B126,Setup!$A$9:$H$30,2,FALSE),""))</f>
        <v/>
      </c>
      <c r="G126" s="325">
        <f>IF($B126="","",IFERROR(VLOOKUP($B126,Setup!$A$9:$H$30,5,FALSE),""))</f>
        <v/>
      </c>
      <c r="H126" s="326">
        <f>IF($B126="","",IFERROR(VLOOKUP($B126,Setup!$A$9:$H$30,6,FALSE),""))</f>
        <v/>
      </c>
      <c r="I126" s="326">
        <f>IF(OR($C126="",$H126=""),"",$C126*$H126)</f>
        <v/>
      </c>
      <c r="J126" s="326">
        <f>IF(OR($E126="",$I126=""),"",$E126-$I126)</f>
        <v/>
      </c>
      <c r="K126" s="329">
        <f>IF($A126="","",IFERROR(VLOOKUP($A126,Invoices!$A$9:$X$108,2,FALSE),""))</f>
        <v/>
      </c>
      <c r="L126" s="325">
        <f>IF($A126="","",IFERROR(VLOOKUP($A126,Invoices!$A$9:$X$108,3,FALSE),""))</f>
        <v/>
      </c>
      <c r="M126" s="325">
        <f>IF($A126="","",IFERROR(VLOOKUP($A126,Invoices!$A$9:$X$108,4,FALSE),""))</f>
        <v/>
      </c>
      <c r="N126" s="325">
        <f>IF($A126="","",IFERROR(VLOOKUP($A126,Invoices!$A$9:$X$108,5,FALSE),""))</f>
        <v/>
      </c>
      <c r="O126" s="325">
        <f>IF(AND($A126="",$B126="",$C126="",$D126=""),"",IF(OR($A126="",$B126="",$C126&lt;=0,$D126&lt;=0,$F126="",$H126="",$K126=""),"REVIEW","OK"))</f>
        <v/>
      </c>
      <c r="P126" s="330">
        <f>IF($A126="","",LOWER($A126&amp;" "&amp;$B126&amp;" "&amp;$F126&amp;" "&amp;$G126&amp;" "&amp;$L126&amp;" "&amp;$M126&amp;" "&amp;$N126))</f>
        <v/>
      </c>
    </row>
    <row r="127">
      <c r="A127" s="205" t="n"/>
      <c r="B127" s="207" t="n"/>
      <c r="C127" s="350" t="n"/>
      <c r="D127" s="332" t="n"/>
      <c r="E127" s="326">
        <f>IF(OR($A127="",$B127="",$C127="",$D127=""),"",$C127*$D127)</f>
        <v/>
      </c>
      <c r="F127" s="325">
        <f>IF($B127="","",IFERROR(VLOOKUP($B127,Setup!$A$9:$H$30,2,FALSE),""))</f>
        <v/>
      </c>
      <c r="G127" s="325">
        <f>IF($B127="","",IFERROR(VLOOKUP($B127,Setup!$A$9:$H$30,5,FALSE),""))</f>
        <v/>
      </c>
      <c r="H127" s="326">
        <f>IF($B127="","",IFERROR(VLOOKUP($B127,Setup!$A$9:$H$30,6,FALSE),""))</f>
        <v/>
      </c>
      <c r="I127" s="326">
        <f>IF(OR($C127="",$H127=""),"",$C127*$H127)</f>
        <v/>
      </c>
      <c r="J127" s="326">
        <f>IF(OR($E127="",$I127=""),"",$E127-$I127)</f>
        <v/>
      </c>
      <c r="K127" s="329">
        <f>IF($A127="","",IFERROR(VLOOKUP($A127,Invoices!$A$9:$X$108,2,FALSE),""))</f>
        <v/>
      </c>
      <c r="L127" s="325">
        <f>IF($A127="","",IFERROR(VLOOKUP($A127,Invoices!$A$9:$X$108,3,FALSE),""))</f>
        <v/>
      </c>
      <c r="M127" s="325">
        <f>IF($A127="","",IFERROR(VLOOKUP($A127,Invoices!$A$9:$X$108,4,FALSE),""))</f>
        <v/>
      </c>
      <c r="N127" s="325">
        <f>IF($A127="","",IFERROR(VLOOKUP($A127,Invoices!$A$9:$X$108,5,FALSE),""))</f>
        <v/>
      </c>
      <c r="O127" s="325">
        <f>IF(AND($A127="",$B127="",$C127="",$D127=""),"",IF(OR($A127="",$B127="",$C127&lt;=0,$D127&lt;=0,$F127="",$H127="",$K127=""),"REVIEW","OK"))</f>
        <v/>
      </c>
      <c r="P127" s="330">
        <f>IF($A127="","",LOWER($A127&amp;" "&amp;$B127&amp;" "&amp;$F127&amp;" "&amp;$G127&amp;" "&amp;$L127&amp;" "&amp;$M127&amp;" "&amp;$N127))</f>
        <v/>
      </c>
    </row>
    <row r="128">
      <c r="A128" s="205" t="n"/>
      <c r="B128" s="207" t="n"/>
      <c r="C128" s="350" t="n"/>
      <c r="D128" s="332" t="n"/>
      <c r="E128" s="326">
        <f>IF(OR($A128="",$B128="",$C128="",$D128=""),"",$C128*$D128)</f>
        <v/>
      </c>
      <c r="F128" s="325">
        <f>IF($B128="","",IFERROR(VLOOKUP($B128,Setup!$A$9:$H$30,2,FALSE),""))</f>
        <v/>
      </c>
      <c r="G128" s="325">
        <f>IF($B128="","",IFERROR(VLOOKUP($B128,Setup!$A$9:$H$30,5,FALSE),""))</f>
        <v/>
      </c>
      <c r="H128" s="326">
        <f>IF($B128="","",IFERROR(VLOOKUP($B128,Setup!$A$9:$H$30,6,FALSE),""))</f>
        <v/>
      </c>
      <c r="I128" s="326">
        <f>IF(OR($C128="",$H128=""),"",$C128*$H128)</f>
        <v/>
      </c>
      <c r="J128" s="326">
        <f>IF(OR($E128="",$I128=""),"",$E128-$I128)</f>
        <v/>
      </c>
      <c r="K128" s="329">
        <f>IF($A128="","",IFERROR(VLOOKUP($A128,Invoices!$A$9:$X$108,2,FALSE),""))</f>
        <v/>
      </c>
      <c r="L128" s="325">
        <f>IF($A128="","",IFERROR(VLOOKUP($A128,Invoices!$A$9:$X$108,3,FALSE),""))</f>
        <v/>
      </c>
      <c r="M128" s="325">
        <f>IF($A128="","",IFERROR(VLOOKUP($A128,Invoices!$A$9:$X$108,4,FALSE),""))</f>
        <v/>
      </c>
      <c r="N128" s="325">
        <f>IF($A128="","",IFERROR(VLOOKUP($A128,Invoices!$A$9:$X$108,5,FALSE),""))</f>
        <v/>
      </c>
      <c r="O128" s="325">
        <f>IF(AND($A128="",$B128="",$C128="",$D128=""),"",IF(OR($A128="",$B128="",$C128&lt;=0,$D128&lt;=0,$F128="",$H128="",$K128=""),"REVIEW","OK"))</f>
        <v/>
      </c>
      <c r="P128" s="330">
        <f>IF($A128="","",LOWER($A128&amp;" "&amp;$B128&amp;" "&amp;$F128&amp;" "&amp;$G128&amp;" "&amp;$L128&amp;" "&amp;$M128&amp;" "&amp;$N128))</f>
        <v/>
      </c>
    </row>
    <row r="129">
      <c r="A129" s="205" t="n"/>
      <c r="B129" s="207" t="n"/>
      <c r="C129" s="350" t="n"/>
      <c r="D129" s="332" t="n"/>
      <c r="E129" s="326">
        <f>IF(OR($A129="",$B129="",$C129="",$D129=""),"",$C129*$D129)</f>
        <v/>
      </c>
      <c r="F129" s="325">
        <f>IF($B129="","",IFERROR(VLOOKUP($B129,Setup!$A$9:$H$30,2,FALSE),""))</f>
        <v/>
      </c>
      <c r="G129" s="325">
        <f>IF($B129="","",IFERROR(VLOOKUP($B129,Setup!$A$9:$H$30,5,FALSE),""))</f>
        <v/>
      </c>
      <c r="H129" s="326">
        <f>IF($B129="","",IFERROR(VLOOKUP($B129,Setup!$A$9:$H$30,6,FALSE),""))</f>
        <v/>
      </c>
      <c r="I129" s="326">
        <f>IF(OR($C129="",$H129=""),"",$C129*$H129)</f>
        <v/>
      </c>
      <c r="J129" s="326">
        <f>IF(OR($E129="",$I129=""),"",$E129-$I129)</f>
        <v/>
      </c>
      <c r="K129" s="329">
        <f>IF($A129="","",IFERROR(VLOOKUP($A129,Invoices!$A$9:$X$108,2,FALSE),""))</f>
        <v/>
      </c>
      <c r="L129" s="325">
        <f>IF($A129="","",IFERROR(VLOOKUP($A129,Invoices!$A$9:$X$108,3,FALSE),""))</f>
        <v/>
      </c>
      <c r="M129" s="325">
        <f>IF($A129="","",IFERROR(VLOOKUP($A129,Invoices!$A$9:$X$108,4,FALSE),""))</f>
        <v/>
      </c>
      <c r="N129" s="325">
        <f>IF($A129="","",IFERROR(VLOOKUP($A129,Invoices!$A$9:$X$108,5,FALSE),""))</f>
        <v/>
      </c>
      <c r="O129" s="325">
        <f>IF(AND($A129="",$B129="",$C129="",$D129=""),"",IF(OR($A129="",$B129="",$C129&lt;=0,$D129&lt;=0,$F129="",$H129="",$K129=""),"REVIEW","OK"))</f>
        <v/>
      </c>
      <c r="P129" s="330">
        <f>IF($A129="","",LOWER($A129&amp;" "&amp;$B129&amp;" "&amp;$F129&amp;" "&amp;$G129&amp;" "&amp;$L129&amp;" "&amp;$M129&amp;" "&amp;$N129))</f>
        <v/>
      </c>
    </row>
    <row r="130">
      <c r="A130" s="205" t="n"/>
      <c r="B130" s="207" t="n"/>
      <c r="C130" s="350" t="n"/>
      <c r="D130" s="332" t="n"/>
      <c r="E130" s="326">
        <f>IF(OR($A130="",$B130="",$C130="",$D130=""),"",$C130*$D130)</f>
        <v/>
      </c>
      <c r="F130" s="325">
        <f>IF($B130="","",IFERROR(VLOOKUP($B130,Setup!$A$9:$H$30,2,FALSE),""))</f>
        <v/>
      </c>
      <c r="G130" s="325">
        <f>IF($B130="","",IFERROR(VLOOKUP($B130,Setup!$A$9:$H$30,5,FALSE),""))</f>
        <v/>
      </c>
      <c r="H130" s="326">
        <f>IF($B130="","",IFERROR(VLOOKUP($B130,Setup!$A$9:$H$30,6,FALSE),""))</f>
        <v/>
      </c>
      <c r="I130" s="326">
        <f>IF(OR($C130="",$H130=""),"",$C130*$H130)</f>
        <v/>
      </c>
      <c r="J130" s="326">
        <f>IF(OR($E130="",$I130=""),"",$E130-$I130)</f>
        <v/>
      </c>
      <c r="K130" s="329">
        <f>IF($A130="","",IFERROR(VLOOKUP($A130,Invoices!$A$9:$X$108,2,FALSE),""))</f>
        <v/>
      </c>
      <c r="L130" s="325">
        <f>IF($A130="","",IFERROR(VLOOKUP($A130,Invoices!$A$9:$X$108,3,FALSE),""))</f>
        <v/>
      </c>
      <c r="M130" s="325">
        <f>IF($A130="","",IFERROR(VLOOKUP($A130,Invoices!$A$9:$X$108,4,FALSE),""))</f>
        <v/>
      </c>
      <c r="N130" s="325">
        <f>IF($A130="","",IFERROR(VLOOKUP($A130,Invoices!$A$9:$X$108,5,FALSE),""))</f>
        <v/>
      </c>
      <c r="O130" s="325">
        <f>IF(AND($A130="",$B130="",$C130="",$D130=""),"",IF(OR($A130="",$B130="",$C130&lt;=0,$D130&lt;=0,$F130="",$H130="",$K130=""),"REVIEW","OK"))</f>
        <v/>
      </c>
      <c r="P130" s="330">
        <f>IF($A130="","",LOWER($A130&amp;" "&amp;$B130&amp;" "&amp;$F130&amp;" "&amp;$G130&amp;" "&amp;$L130&amp;" "&amp;$M130&amp;" "&amp;$N130))</f>
        <v/>
      </c>
    </row>
    <row r="131">
      <c r="A131" s="205" t="n"/>
      <c r="B131" s="207" t="n"/>
      <c r="C131" s="350" t="n"/>
      <c r="D131" s="332" t="n"/>
      <c r="E131" s="326">
        <f>IF(OR($A131="",$B131="",$C131="",$D131=""),"",$C131*$D131)</f>
        <v/>
      </c>
      <c r="F131" s="325">
        <f>IF($B131="","",IFERROR(VLOOKUP($B131,Setup!$A$9:$H$30,2,FALSE),""))</f>
        <v/>
      </c>
      <c r="G131" s="325">
        <f>IF($B131="","",IFERROR(VLOOKUP($B131,Setup!$A$9:$H$30,5,FALSE),""))</f>
        <v/>
      </c>
      <c r="H131" s="326">
        <f>IF($B131="","",IFERROR(VLOOKUP($B131,Setup!$A$9:$H$30,6,FALSE),""))</f>
        <v/>
      </c>
      <c r="I131" s="326">
        <f>IF(OR($C131="",$H131=""),"",$C131*$H131)</f>
        <v/>
      </c>
      <c r="J131" s="326">
        <f>IF(OR($E131="",$I131=""),"",$E131-$I131)</f>
        <v/>
      </c>
      <c r="K131" s="329">
        <f>IF($A131="","",IFERROR(VLOOKUP($A131,Invoices!$A$9:$X$108,2,FALSE),""))</f>
        <v/>
      </c>
      <c r="L131" s="325">
        <f>IF($A131="","",IFERROR(VLOOKUP($A131,Invoices!$A$9:$X$108,3,FALSE),""))</f>
        <v/>
      </c>
      <c r="M131" s="325">
        <f>IF($A131="","",IFERROR(VLOOKUP($A131,Invoices!$A$9:$X$108,4,FALSE),""))</f>
        <v/>
      </c>
      <c r="N131" s="325">
        <f>IF($A131="","",IFERROR(VLOOKUP($A131,Invoices!$A$9:$X$108,5,FALSE),""))</f>
        <v/>
      </c>
      <c r="O131" s="325">
        <f>IF(AND($A131="",$B131="",$C131="",$D131=""),"",IF(OR($A131="",$B131="",$C131&lt;=0,$D131&lt;=0,$F131="",$H131="",$K131=""),"REVIEW","OK"))</f>
        <v/>
      </c>
      <c r="P131" s="330">
        <f>IF($A131="","",LOWER($A131&amp;" "&amp;$B131&amp;" "&amp;$F131&amp;" "&amp;$G131&amp;" "&amp;$L131&amp;" "&amp;$M131&amp;" "&amp;$N131))</f>
        <v/>
      </c>
    </row>
    <row r="132">
      <c r="A132" s="205" t="n"/>
      <c r="B132" s="207" t="n"/>
      <c r="C132" s="350" t="n"/>
      <c r="D132" s="332" t="n"/>
      <c r="E132" s="326">
        <f>IF(OR($A132="",$B132="",$C132="",$D132=""),"",$C132*$D132)</f>
        <v/>
      </c>
      <c r="F132" s="325">
        <f>IF($B132="","",IFERROR(VLOOKUP($B132,Setup!$A$9:$H$30,2,FALSE),""))</f>
        <v/>
      </c>
      <c r="G132" s="325">
        <f>IF($B132="","",IFERROR(VLOOKUP($B132,Setup!$A$9:$H$30,5,FALSE),""))</f>
        <v/>
      </c>
      <c r="H132" s="326">
        <f>IF($B132="","",IFERROR(VLOOKUP($B132,Setup!$A$9:$H$30,6,FALSE),""))</f>
        <v/>
      </c>
      <c r="I132" s="326">
        <f>IF(OR($C132="",$H132=""),"",$C132*$H132)</f>
        <v/>
      </c>
      <c r="J132" s="326">
        <f>IF(OR($E132="",$I132=""),"",$E132-$I132)</f>
        <v/>
      </c>
      <c r="K132" s="329">
        <f>IF($A132="","",IFERROR(VLOOKUP($A132,Invoices!$A$9:$X$108,2,FALSE),""))</f>
        <v/>
      </c>
      <c r="L132" s="325">
        <f>IF($A132="","",IFERROR(VLOOKUP($A132,Invoices!$A$9:$X$108,3,FALSE),""))</f>
        <v/>
      </c>
      <c r="M132" s="325">
        <f>IF($A132="","",IFERROR(VLOOKUP($A132,Invoices!$A$9:$X$108,4,FALSE),""))</f>
        <v/>
      </c>
      <c r="N132" s="325">
        <f>IF($A132="","",IFERROR(VLOOKUP($A132,Invoices!$A$9:$X$108,5,FALSE),""))</f>
        <v/>
      </c>
      <c r="O132" s="325">
        <f>IF(AND($A132="",$B132="",$C132="",$D132=""),"",IF(OR($A132="",$B132="",$C132&lt;=0,$D132&lt;=0,$F132="",$H132="",$K132=""),"REVIEW","OK"))</f>
        <v/>
      </c>
      <c r="P132" s="330">
        <f>IF($A132="","",LOWER($A132&amp;" "&amp;$B132&amp;" "&amp;$F132&amp;" "&amp;$G132&amp;" "&amp;$L132&amp;" "&amp;$M132&amp;" "&amp;$N132))</f>
        <v/>
      </c>
    </row>
    <row r="133">
      <c r="A133" s="205" t="n"/>
      <c r="B133" s="207" t="n"/>
      <c r="C133" s="350" t="n"/>
      <c r="D133" s="332" t="n"/>
      <c r="E133" s="326">
        <f>IF(OR($A133="",$B133="",$C133="",$D133=""),"",$C133*$D133)</f>
        <v/>
      </c>
      <c r="F133" s="325">
        <f>IF($B133="","",IFERROR(VLOOKUP($B133,Setup!$A$9:$H$30,2,FALSE),""))</f>
        <v/>
      </c>
      <c r="G133" s="325">
        <f>IF($B133="","",IFERROR(VLOOKUP($B133,Setup!$A$9:$H$30,5,FALSE),""))</f>
        <v/>
      </c>
      <c r="H133" s="326">
        <f>IF($B133="","",IFERROR(VLOOKUP($B133,Setup!$A$9:$H$30,6,FALSE),""))</f>
        <v/>
      </c>
      <c r="I133" s="326">
        <f>IF(OR($C133="",$H133=""),"",$C133*$H133)</f>
        <v/>
      </c>
      <c r="J133" s="326">
        <f>IF(OR($E133="",$I133=""),"",$E133-$I133)</f>
        <v/>
      </c>
      <c r="K133" s="329">
        <f>IF($A133="","",IFERROR(VLOOKUP($A133,Invoices!$A$9:$X$108,2,FALSE),""))</f>
        <v/>
      </c>
      <c r="L133" s="325">
        <f>IF($A133="","",IFERROR(VLOOKUP($A133,Invoices!$A$9:$X$108,3,FALSE),""))</f>
        <v/>
      </c>
      <c r="M133" s="325">
        <f>IF($A133="","",IFERROR(VLOOKUP($A133,Invoices!$A$9:$X$108,4,FALSE),""))</f>
        <v/>
      </c>
      <c r="N133" s="325">
        <f>IF($A133="","",IFERROR(VLOOKUP($A133,Invoices!$A$9:$X$108,5,FALSE),""))</f>
        <v/>
      </c>
      <c r="O133" s="325">
        <f>IF(AND($A133="",$B133="",$C133="",$D133=""),"",IF(OR($A133="",$B133="",$C133&lt;=0,$D133&lt;=0,$F133="",$H133="",$K133=""),"REVIEW","OK"))</f>
        <v/>
      </c>
      <c r="P133" s="330">
        <f>IF($A133="","",LOWER($A133&amp;" "&amp;$B133&amp;" "&amp;$F133&amp;" "&amp;$G133&amp;" "&amp;$L133&amp;" "&amp;$M133&amp;" "&amp;$N133))</f>
        <v/>
      </c>
    </row>
    <row r="134">
      <c r="A134" s="205" t="n"/>
      <c r="B134" s="207" t="n"/>
      <c r="C134" s="350" t="n"/>
      <c r="D134" s="332" t="n"/>
      <c r="E134" s="326">
        <f>IF(OR($A134="",$B134="",$C134="",$D134=""),"",$C134*$D134)</f>
        <v/>
      </c>
      <c r="F134" s="325">
        <f>IF($B134="","",IFERROR(VLOOKUP($B134,Setup!$A$9:$H$30,2,FALSE),""))</f>
        <v/>
      </c>
      <c r="G134" s="325">
        <f>IF($B134="","",IFERROR(VLOOKUP($B134,Setup!$A$9:$H$30,5,FALSE),""))</f>
        <v/>
      </c>
      <c r="H134" s="326">
        <f>IF($B134="","",IFERROR(VLOOKUP($B134,Setup!$A$9:$H$30,6,FALSE),""))</f>
        <v/>
      </c>
      <c r="I134" s="326">
        <f>IF(OR($C134="",$H134=""),"",$C134*$H134)</f>
        <v/>
      </c>
      <c r="J134" s="326">
        <f>IF(OR($E134="",$I134=""),"",$E134-$I134)</f>
        <v/>
      </c>
      <c r="K134" s="329">
        <f>IF($A134="","",IFERROR(VLOOKUP($A134,Invoices!$A$9:$X$108,2,FALSE),""))</f>
        <v/>
      </c>
      <c r="L134" s="325">
        <f>IF($A134="","",IFERROR(VLOOKUP($A134,Invoices!$A$9:$X$108,3,FALSE),""))</f>
        <v/>
      </c>
      <c r="M134" s="325">
        <f>IF($A134="","",IFERROR(VLOOKUP($A134,Invoices!$A$9:$X$108,4,FALSE),""))</f>
        <v/>
      </c>
      <c r="N134" s="325">
        <f>IF($A134="","",IFERROR(VLOOKUP($A134,Invoices!$A$9:$X$108,5,FALSE),""))</f>
        <v/>
      </c>
      <c r="O134" s="325">
        <f>IF(AND($A134="",$B134="",$C134="",$D134=""),"",IF(OR($A134="",$B134="",$C134&lt;=0,$D134&lt;=0,$F134="",$H134="",$K134=""),"REVIEW","OK"))</f>
        <v/>
      </c>
      <c r="P134" s="330">
        <f>IF($A134="","",LOWER($A134&amp;" "&amp;$B134&amp;" "&amp;$F134&amp;" "&amp;$G134&amp;" "&amp;$L134&amp;" "&amp;$M134&amp;" "&amp;$N134))</f>
        <v/>
      </c>
    </row>
    <row r="135">
      <c r="A135" s="205" t="n"/>
      <c r="B135" s="207" t="n"/>
      <c r="C135" s="350" t="n"/>
      <c r="D135" s="332" t="n"/>
      <c r="E135" s="326">
        <f>IF(OR($A135="",$B135="",$C135="",$D135=""),"",$C135*$D135)</f>
        <v/>
      </c>
      <c r="F135" s="325">
        <f>IF($B135="","",IFERROR(VLOOKUP($B135,Setup!$A$9:$H$30,2,FALSE),""))</f>
        <v/>
      </c>
      <c r="G135" s="325">
        <f>IF($B135="","",IFERROR(VLOOKUP($B135,Setup!$A$9:$H$30,5,FALSE),""))</f>
        <v/>
      </c>
      <c r="H135" s="326">
        <f>IF($B135="","",IFERROR(VLOOKUP($B135,Setup!$A$9:$H$30,6,FALSE),""))</f>
        <v/>
      </c>
      <c r="I135" s="326">
        <f>IF(OR($C135="",$H135=""),"",$C135*$H135)</f>
        <v/>
      </c>
      <c r="J135" s="326">
        <f>IF(OR($E135="",$I135=""),"",$E135-$I135)</f>
        <v/>
      </c>
      <c r="K135" s="329">
        <f>IF($A135="","",IFERROR(VLOOKUP($A135,Invoices!$A$9:$X$108,2,FALSE),""))</f>
        <v/>
      </c>
      <c r="L135" s="325">
        <f>IF($A135="","",IFERROR(VLOOKUP($A135,Invoices!$A$9:$X$108,3,FALSE),""))</f>
        <v/>
      </c>
      <c r="M135" s="325">
        <f>IF($A135="","",IFERROR(VLOOKUP($A135,Invoices!$A$9:$X$108,4,FALSE),""))</f>
        <v/>
      </c>
      <c r="N135" s="325">
        <f>IF($A135="","",IFERROR(VLOOKUP($A135,Invoices!$A$9:$X$108,5,FALSE),""))</f>
        <v/>
      </c>
      <c r="O135" s="325">
        <f>IF(AND($A135="",$B135="",$C135="",$D135=""),"",IF(OR($A135="",$B135="",$C135&lt;=0,$D135&lt;=0,$F135="",$H135="",$K135=""),"REVIEW","OK"))</f>
        <v/>
      </c>
      <c r="P135" s="330">
        <f>IF($A135="","",LOWER($A135&amp;" "&amp;$B135&amp;" "&amp;$F135&amp;" "&amp;$G135&amp;" "&amp;$L135&amp;" "&amp;$M135&amp;" "&amp;$N135))</f>
        <v/>
      </c>
    </row>
    <row r="136">
      <c r="A136" s="205" t="n"/>
      <c r="B136" s="207" t="n"/>
      <c r="C136" s="350" t="n"/>
      <c r="D136" s="332" t="n"/>
      <c r="E136" s="326">
        <f>IF(OR($A136="",$B136="",$C136="",$D136=""),"",$C136*$D136)</f>
        <v/>
      </c>
      <c r="F136" s="325">
        <f>IF($B136="","",IFERROR(VLOOKUP($B136,Setup!$A$9:$H$30,2,FALSE),""))</f>
        <v/>
      </c>
      <c r="G136" s="325">
        <f>IF($B136="","",IFERROR(VLOOKUP($B136,Setup!$A$9:$H$30,5,FALSE),""))</f>
        <v/>
      </c>
      <c r="H136" s="326">
        <f>IF($B136="","",IFERROR(VLOOKUP($B136,Setup!$A$9:$H$30,6,FALSE),""))</f>
        <v/>
      </c>
      <c r="I136" s="326">
        <f>IF(OR($C136="",$H136=""),"",$C136*$H136)</f>
        <v/>
      </c>
      <c r="J136" s="326">
        <f>IF(OR($E136="",$I136=""),"",$E136-$I136)</f>
        <v/>
      </c>
      <c r="K136" s="329">
        <f>IF($A136="","",IFERROR(VLOOKUP($A136,Invoices!$A$9:$X$108,2,FALSE),""))</f>
        <v/>
      </c>
      <c r="L136" s="325">
        <f>IF($A136="","",IFERROR(VLOOKUP($A136,Invoices!$A$9:$X$108,3,FALSE),""))</f>
        <v/>
      </c>
      <c r="M136" s="325">
        <f>IF($A136="","",IFERROR(VLOOKUP($A136,Invoices!$A$9:$X$108,4,FALSE),""))</f>
        <v/>
      </c>
      <c r="N136" s="325">
        <f>IF($A136="","",IFERROR(VLOOKUP($A136,Invoices!$A$9:$X$108,5,FALSE),""))</f>
        <v/>
      </c>
      <c r="O136" s="325">
        <f>IF(AND($A136="",$B136="",$C136="",$D136=""),"",IF(OR($A136="",$B136="",$C136&lt;=0,$D136&lt;=0,$F136="",$H136="",$K136=""),"REVIEW","OK"))</f>
        <v/>
      </c>
      <c r="P136" s="330">
        <f>IF($A136="","",LOWER($A136&amp;" "&amp;$B136&amp;" "&amp;$F136&amp;" "&amp;$G136&amp;" "&amp;$L136&amp;" "&amp;$M136&amp;" "&amp;$N136))</f>
        <v/>
      </c>
    </row>
    <row r="137">
      <c r="A137" s="205" t="n"/>
      <c r="B137" s="207" t="n"/>
      <c r="C137" s="350" t="n"/>
      <c r="D137" s="332" t="n"/>
      <c r="E137" s="326">
        <f>IF(OR($A137="",$B137="",$C137="",$D137=""),"",$C137*$D137)</f>
        <v/>
      </c>
      <c r="F137" s="325">
        <f>IF($B137="","",IFERROR(VLOOKUP($B137,Setup!$A$9:$H$30,2,FALSE),""))</f>
        <v/>
      </c>
      <c r="G137" s="325">
        <f>IF($B137="","",IFERROR(VLOOKUP($B137,Setup!$A$9:$H$30,5,FALSE),""))</f>
        <v/>
      </c>
      <c r="H137" s="326">
        <f>IF($B137="","",IFERROR(VLOOKUP($B137,Setup!$A$9:$H$30,6,FALSE),""))</f>
        <v/>
      </c>
      <c r="I137" s="326">
        <f>IF(OR($C137="",$H137=""),"",$C137*$H137)</f>
        <v/>
      </c>
      <c r="J137" s="326">
        <f>IF(OR($E137="",$I137=""),"",$E137-$I137)</f>
        <v/>
      </c>
      <c r="K137" s="329">
        <f>IF($A137="","",IFERROR(VLOOKUP($A137,Invoices!$A$9:$X$108,2,FALSE),""))</f>
        <v/>
      </c>
      <c r="L137" s="325">
        <f>IF($A137="","",IFERROR(VLOOKUP($A137,Invoices!$A$9:$X$108,3,FALSE),""))</f>
        <v/>
      </c>
      <c r="M137" s="325">
        <f>IF($A137="","",IFERROR(VLOOKUP($A137,Invoices!$A$9:$X$108,4,FALSE),""))</f>
        <v/>
      </c>
      <c r="N137" s="325">
        <f>IF($A137="","",IFERROR(VLOOKUP($A137,Invoices!$A$9:$X$108,5,FALSE),""))</f>
        <v/>
      </c>
      <c r="O137" s="325">
        <f>IF(AND($A137="",$B137="",$C137="",$D137=""),"",IF(OR($A137="",$B137="",$C137&lt;=0,$D137&lt;=0,$F137="",$H137="",$K137=""),"REVIEW","OK"))</f>
        <v/>
      </c>
      <c r="P137" s="330">
        <f>IF($A137="","",LOWER($A137&amp;" "&amp;$B137&amp;" "&amp;$F137&amp;" "&amp;$G137&amp;" "&amp;$L137&amp;" "&amp;$M137&amp;" "&amp;$N137))</f>
        <v/>
      </c>
    </row>
    <row r="138">
      <c r="A138" s="205" t="n"/>
      <c r="B138" s="207" t="n"/>
      <c r="C138" s="350" t="n"/>
      <c r="D138" s="332" t="n"/>
      <c r="E138" s="326">
        <f>IF(OR($A138="",$B138="",$C138="",$D138=""),"",$C138*$D138)</f>
        <v/>
      </c>
      <c r="F138" s="325">
        <f>IF($B138="","",IFERROR(VLOOKUP($B138,Setup!$A$9:$H$30,2,FALSE),""))</f>
        <v/>
      </c>
      <c r="G138" s="325">
        <f>IF($B138="","",IFERROR(VLOOKUP($B138,Setup!$A$9:$H$30,5,FALSE),""))</f>
        <v/>
      </c>
      <c r="H138" s="326">
        <f>IF($B138="","",IFERROR(VLOOKUP($B138,Setup!$A$9:$H$30,6,FALSE),""))</f>
        <v/>
      </c>
      <c r="I138" s="326">
        <f>IF(OR($C138="",$H138=""),"",$C138*$H138)</f>
        <v/>
      </c>
      <c r="J138" s="326">
        <f>IF(OR($E138="",$I138=""),"",$E138-$I138)</f>
        <v/>
      </c>
      <c r="K138" s="329">
        <f>IF($A138="","",IFERROR(VLOOKUP($A138,Invoices!$A$9:$X$108,2,FALSE),""))</f>
        <v/>
      </c>
      <c r="L138" s="325">
        <f>IF($A138="","",IFERROR(VLOOKUP($A138,Invoices!$A$9:$X$108,3,FALSE),""))</f>
        <v/>
      </c>
      <c r="M138" s="325">
        <f>IF($A138="","",IFERROR(VLOOKUP($A138,Invoices!$A$9:$X$108,4,FALSE),""))</f>
        <v/>
      </c>
      <c r="N138" s="325">
        <f>IF($A138="","",IFERROR(VLOOKUP($A138,Invoices!$A$9:$X$108,5,FALSE),""))</f>
        <v/>
      </c>
      <c r="O138" s="325">
        <f>IF(AND($A138="",$B138="",$C138="",$D138=""),"",IF(OR($A138="",$B138="",$C138&lt;=0,$D138&lt;=0,$F138="",$H138="",$K138=""),"REVIEW","OK"))</f>
        <v/>
      </c>
      <c r="P138" s="330">
        <f>IF($A138="","",LOWER($A138&amp;" "&amp;$B138&amp;" "&amp;$F138&amp;" "&amp;$G138&amp;" "&amp;$L138&amp;" "&amp;$M138&amp;" "&amp;$N138))</f>
        <v/>
      </c>
    </row>
    <row r="139">
      <c r="A139" s="205" t="n"/>
      <c r="B139" s="207" t="n"/>
      <c r="C139" s="350" t="n"/>
      <c r="D139" s="332" t="n"/>
      <c r="E139" s="326">
        <f>IF(OR($A139="",$B139="",$C139="",$D139=""),"",$C139*$D139)</f>
        <v/>
      </c>
      <c r="F139" s="325">
        <f>IF($B139="","",IFERROR(VLOOKUP($B139,Setup!$A$9:$H$30,2,FALSE),""))</f>
        <v/>
      </c>
      <c r="G139" s="325">
        <f>IF($B139="","",IFERROR(VLOOKUP($B139,Setup!$A$9:$H$30,5,FALSE),""))</f>
        <v/>
      </c>
      <c r="H139" s="326">
        <f>IF($B139="","",IFERROR(VLOOKUP($B139,Setup!$A$9:$H$30,6,FALSE),""))</f>
        <v/>
      </c>
      <c r="I139" s="326">
        <f>IF(OR($C139="",$H139=""),"",$C139*$H139)</f>
        <v/>
      </c>
      <c r="J139" s="326">
        <f>IF(OR($E139="",$I139=""),"",$E139-$I139)</f>
        <v/>
      </c>
      <c r="K139" s="329">
        <f>IF($A139="","",IFERROR(VLOOKUP($A139,Invoices!$A$9:$X$108,2,FALSE),""))</f>
        <v/>
      </c>
      <c r="L139" s="325">
        <f>IF($A139="","",IFERROR(VLOOKUP($A139,Invoices!$A$9:$X$108,3,FALSE),""))</f>
        <v/>
      </c>
      <c r="M139" s="325">
        <f>IF($A139="","",IFERROR(VLOOKUP($A139,Invoices!$A$9:$X$108,4,FALSE),""))</f>
        <v/>
      </c>
      <c r="N139" s="325">
        <f>IF($A139="","",IFERROR(VLOOKUP($A139,Invoices!$A$9:$X$108,5,FALSE),""))</f>
        <v/>
      </c>
      <c r="O139" s="325">
        <f>IF(AND($A139="",$B139="",$C139="",$D139=""),"",IF(OR($A139="",$B139="",$C139&lt;=0,$D139&lt;=0,$F139="",$H139="",$K139=""),"REVIEW","OK"))</f>
        <v/>
      </c>
      <c r="P139" s="330">
        <f>IF($A139="","",LOWER($A139&amp;" "&amp;$B139&amp;" "&amp;$F139&amp;" "&amp;$G139&amp;" "&amp;$L139&amp;" "&amp;$M139&amp;" "&amp;$N139))</f>
        <v/>
      </c>
    </row>
    <row r="140">
      <c r="A140" s="205" t="n"/>
      <c r="B140" s="207" t="n"/>
      <c r="C140" s="350" t="n"/>
      <c r="D140" s="332" t="n"/>
      <c r="E140" s="326">
        <f>IF(OR($A140="",$B140="",$C140="",$D140=""),"",$C140*$D140)</f>
        <v/>
      </c>
      <c r="F140" s="325">
        <f>IF($B140="","",IFERROR(VLOOKUP($B140,Setup!$A$9:$H$30,2,FALSE),""))</f>
        <v/>
      </c>
      <c r="G140" s="325">
        <f>IF($B140="","",IFERROR(VLOOKUP($B140,Setup!$A$9:$H$30,5,FALSE),""))</f>
        <v/>
      </c>
      <c r="H140" s="326">
        <f>IF($B140="","",IFERROR(VLOOKUP($B140,Setup!$A$9:$H$30,6,FALSE),""))</f>
        <v/>
      </c>
      <c r="I140" s="326">
        <f>IF(OR($C140="",$H140=""),"",$C140*$H140)</f>
        <v/>
      </c>
      <c r="J140" s="326">
        <f>IF(OR($E140="",$I140=""),"",$E140-$I140)</f>
        <v/>
      </c>
      <c r="K140" s="329">
        <f>IF($A140="","",IFERROR(VLOOKUP($A140,Invoices!$A$9:$X$108,2,FALSE),""))</f>
        <v/>
      </c>
      <c r="L140" s="325">
        <f>IF($A140="","",IFERROR(VLOOKUP($A140,Invoices!$A$9:$X$108,3,FALSE),""))</f>
        <v/>
      </c>
      <c r="M140" s="325">
        <f>IF($A140="","",IFERROR(VLOOKUP($A140,Invoices!$A$9:$X$108,4,FALSE),""))</f>
        <v/>
      </c>
      <c r="N140" s="325">
        <f>IF($A140="","",IFERROR(VLOOKUP($A140,Invoices!$A$9:$X$108,5,FALSE),""))</f>
        <v/>
      </c>
      <c r="O140" s="325">
        <f>IF(AND($A140="",$B140="",$C140="",$D140=""),"",IF(OR($A140="",$B140="",$C140&lt;=0,$D140&lt;=0,$F140="",$H140="",$K140=""),"REVIEW","OK"))</f>
        <v/>
      </c>
      <c r="P140" s="330">
        <f>IF($A140="","",LOWER($A140&amp;" "&amp;$B140&amp;" "&amp;$F140&amp;" "&amp;$G140&amp;" "&amp;$L140&amp;" "&amp;$M140&amp;" "&amp;$N140))</f>
        <v/>
      </c>
    </row>
    <row r="141">
      <c r="A141" s="205" t="n"/>
      <c r="B141" s="207" t="n"/>
      <c r="C141" s="350" t="n"/>
      <c r="D141" s="332" t="n"/>
      <c r="E141" s="326">
        <f>IF(OR($A141="",$B141="",$C141="",$D141=""),"",$C141*$D141)</f>
        <v/>
      </c>
      <c r="F141" s="325">
        <f>IF($B141="","",IFERROR(VLOOKUP($B141,Setup!$A$9:$H$30,2,FALSE),""))</f>
        <v/>
      </c>
      <c r="G141" s="325">
        <f>IF($B141="","",IFERROR(VLOOKUP($B141,Setup!$A$9:$H$30,5,FALSE),""))</f>
        <v/>
      </c>
      <c r="H141" s="326">
        <f>IF($B141="","",IFERROR(VLOOKUP($B141,Setup!$A$9:$H$30,6,FALSE),""))</f>
        <v/>
      </c>
      <c r="I141" s="326">
        <f>IF(OR($C141="",$H141=""),"",$C141*$H141)</f>
        <v/>
      </c>
      <c r="J141" s="326">
        <f>IF(OR($E141="",$I141=""),"",$E141-$I141)</f>
        <v/>
      </c>
      <c r="K141" s="329">
        <f>IF($A141="","",IFERROR(VLOOKUP($A141,Invoices!$A$9:$X$108,2,FALSE),""))</f>
        <v/>
      </c>
      <c r="L141" s="325">
        <f>IF($A141="","",IFERROR(VLOOKUP($A141,Invoices!$A$9:$X$108,3,FALSE),""))</f>
        <v/>
      </c>
      <c r="M141" s="325">
        <f>IF($A141="","",IFERROR(VLOOKUP($A141,Invoices!$A$9:$X$108,4,FALSE),""))</f>
        <v/>
      </c>
      <c r="N141" s="325">
        <f>IF($A141="","",IFERROR(VLOOKUP($A141,Invoices!$A$9:$X$108,5,FALSE),""))</f>
        <v/>
      </c>
      <c r="O141" s="325">
        <f>IF(AND($A141="",$B141="",$C141="",$D141=""),"",IF(OR($A141="",$B141="",$C141&lt;=0,$D141&lt;=0,$F141="",$H141="",$K141=""),"REVIEW","OK"))</f>
        <v/>
      </c>
      <c r="P141" s="330">
        <f>IF($A141="","",LOWER($A141&amp;" "&amp;$B141&amp;" "&amp;$F141&amp;" "&amp;$G141&amp;" "&amp;$L141&amp;" "&amp;$M141&amp;" "&amp;$N141))</f>
        <v/>
      </c>
    </row>
    <row r="142">
      <c r="A142" s="205" t="n"/>
      <c r="B142" s="207" t="n"/>
      <c r="C142" s="350" t="n"/>
      <c r="D142" s="332" t="n"/>
      <c r="E142" s="326">
        <f>IF(OR($A142="",$B142="",$C142="",$D142=""),"",$C142*$D142)</f>
        <v/>
      </c>
      <c r="F142" s="325">
        <f>IF($B142="","",IFERROR(VLOOKUP($B142,Setup!$A$9:$H$30,2,FALSE),""))</f>
        <v/>
      </c>
      <c r="G142" s="325">
        <f>IF($B142="","",IFERROR(VLOOKUP($B142,Setup!$A$9:$H$30,5,FALSE),""))</f>
        <v/>
      </c>
      <c r="H142" s="326">
        <f>IF($B142="","",IFERROR(VLOOKUP($B142,Setup!$A$9:$H$30,6,FALSE),""))</f>
        <v/>
      </c>
      <c r="I142" s="326">
        <f>IF(OR($C142="",$H142=""),"",$C142*$H142)</f>
        <v/>
      </c>
      <c r="J142" s="326">
        <f>IF(OR($E142="",$I142=""),"",$E142-$I142)</f>
        <v/>
      </c>
      <c r="K142" s="329">
        <f>IF($A142="","",IFERROR(VLOOKUP($A142,Invoices!$A$9:$X$108,2,FALSE),""))</f>
        <v/>
      </c>
      <c r="L142" s="325">
        <f>IF($A142="","",IFERROR(VLOOKUP($A142,Invoices!$A$9:$X$108,3,FALSE),""))</f>
        <v/>
      </c>
      <c r="M142" s="325">
        <f>IF($A142="","",IFERROR(VLOOKUP($A142,Invoices!$A$9:$X$108,4,FALSE),""))</f>
        <v/>
      </c>
      <c r="N142" s="325">
        <f>IF($A142="","",IFERROR(VLOOKUP($A142,Invoices!$A$9:$X$108,5,FALSE),""))</f>
        <v/>
      </c>
      <c r="O142" s="325">
        <f>IF(AND($A142="",$B142="",$C142="",$D142=""),"",IF(OR($A142="",$B142="",$C142&lt;=0,$D142&lt;=0,$F142="",$H142="",$K142=""),"REVIEW","OK"))</f>
        <v/>
      </c>
      <c r="P142" s="330">
        <f>IF($A142="","",LOWER($A142&amp;" "&amp;$B142&amp;" "&amp;$F142&amp;" "&amp;$G142&amp;" "&amp;$L142&amp;" "&amp;$M142&amp;" "&amp;$N142))</f>
        <v/>
      </c>
    </row>
    <row r="143">
      <c r="A143" s="205" t="n"/>
      <c r="B143" s="207" t="n"/>
      <c r="C143" s="350" t="n"/>
      <c r="D143" s="332" t="n"/>
      <c r="E143" s="326">
        <f>IF(OR($A143="",$B143="",$C143="",$D143=""),"",$C143*$D143)</f>
        <v/>
      </c>
      <c r="F143" s="325">
        <f>IF($B143="","",IFERROR(VLOOKUP($B143,Setup!$A$9:$H$30,2,FALSE),""))</f>
        <v/>
      </c>
      <c r="G143" s="325">
        <f>IF($B143="","",IFERROR(VLOOKUP($B143,Setup!$A$9:$H$30,5,FALSE),""))</f>
        <v/>
      </c>
      <c r="H143" s="326">
        <f>IF($B143="","",IFERROR(VLOOKUP($B143,Setup!$A$9:$H$30,6,FALSE),""))</f>
        <v/>
      </c>
      <c r="I143" s="326">
        <f>IF(OR($C143="",$H143=""),"",$C143*$H143)</f>
        <v/>
      </c>
      <c r="J143" s="326">
        <f>IF(OR($E143="",$I143=""),"",$E143-$I143)</f>
        <v/>
      </c>
      <c r="K143" s="329">
        <f>IF($A143="","",IFERROR(VLOOKUP($A143,Invoices!$A$9:$X$108,2,FALSE),""))</f>
        <v/>
      </c>
      <c r="L143" s="325">
        <f>IF($A143="","",IFERROR(VLOOKUP($A143,Invoices!$A$9:$X$108,3,FALSE),""))</f>
        <v/>
      </c>
      <c r="M143" s="325">
        <f>IF($A143="","",IFERROR(VLOOKUP($A143,Invoices!$A$9:$X$108,4,FALSE),""))</f>
        <v/>
      </c>
      <c r="N143" s="325">
        <f>IF($A143="","",IFERROR(VLOOKUP($A143,Invoices!$A$9:$X$108,5,FALSE),""))</f>
        <v/>
      </c>
      <c r="O143" s="325">
        <f>IF(AND($A143="",$B143="",$C143="",$D143=""),"",IF(OR($A143="",$B143="",$C143&lt;=0,$D143&lt;=0,$F143="",$H143="",$K143=""),"REVIEW","OK"))</f>
        <v/>
      </c>
      <c r="P143" s="330">
        <f>IF($A143="","",LOWER($A143&amp;" "&amp;$B143&amp;" "&amp;$F143&amp;" "&amp;$G143&amp;" "&amp;$L143&amp;" "&amp;$M143&amp;" "&amp;$N143))</f>
        <v/>
      </c>
    </row>
    <row r="144">
      <c r="A144" s="205" t="n"/>
      <c r="B144" s="207" t="n"/>
      <c r="C144" s="350" t="n"/>
      <c r="D144" s="332" t="n"/>
      <c r="E144" s="326">
        <f>IF(OR($A144="",$B144="",$C144="",$D144=""),"",$C144*$D144)</f>
        <v/>
      </c>
      <c r="F144" s="325">
        <f>IF($B144="","",IFERROR(VLOOKUP($B144,Setup!$A$9:$H$30,2,FALSE),""))</f>
        <v/>
      </c>
      <c r="G144" s="325">
        <f>IF($B144="","",IFERROR(VLOOKUP($B144,Setup!$A$9:$H$30,5,FALSE),""))</f>
        <v/>
      </c>
      <c r="H144" s="326">
        <f>IF($B144="","",IFERROR(VLOOKUP($B144,Setup!$A$9:$H$30,6,FALSE),""))</f>
        <v/>
      </c>
      <c r="I144" s="326">
        <f>IF(OR($C144="",$H144=""),"",$C144*$H144)</f>
        <v/>
      </c>
      <c r="J144" s="326">
        <f>IF(OR($E144="",$I144=""),"",$E144-$I144)</f>
        <v/>
      </c>
      <c r="K144" s="329">
        <f>IF($A144="","",IFERROR(VLOOKUP($A144,Invoices!$A$9:$X$108,2,FALSE),""))</f>
        <v/>
      </c>
      <c r="L144" s="325">
        <f>IF($A144="","",IFERROR(VLOOKUP($A144,Invoices!$A$9:$X$108,3,FALSE),""))</f>
        <v/>
      </c>
      <c r="M144" s="325">
        <f>IF($A144="","",IFERROR(VLOOKUP($A144,Invoices!$A$9:$X$108,4,FALSE),""))</f>
        <v/>
      </c>
      <c r="N144" s="325">
        <f>IF($A144="","",IFERROR(VLOOKUP($A144,Invoices!$A$9:$X$108,5,FALSE),""))</f>
        <v/>
      </c>
      <c r="O144" s="325">
        <f>IF(AND($A144="",$B144="",$C144="",$D144=""),"",IF(OR($A144="",$B144="",$C144&lt;=0,$D144&lt;=0,$F144="",$H144="",$K144=""),"REVIEW","OK"))</f>
        <v/>
      </c>
      <c r="P144" s="330">
        <f>IF($A144="","",LOWER($A144&amp;" "&amp;$B144&amp;" "&amp;$F144&amp;" "&amp;$G144&amp;" "&amp;$L144&amp;" "&amp;$M144&amp;" "&amp;$N144))</f>
        <v/>
      </c>
    </row>
    <row r="145">
      <c r="A145" s="205" t="n"/>
      <c r="B145" s="207" t="n"/>
      <c r="C145" s="350" t="n"/>
      <c r="D145" s="332" t="n"/>
      <c r="E145" s="326">
        <f>IF(OR($A145="",$B145="",$C145="",$D145=""),"",$C145*$D145)</f>
        <v/>
      </c>
      <c r="F145" s="325">
        <f>IF($B145="","",IFERROR(VLOOKUP($B145,Setup!$A$9:$H$30,2,FALSE),""))</f>
        <v/>
      </c>
      <c r="G145" s="325">
        <f>IF($B145="","",IFERROR(VLOOKUP($B145,Setup!$A$9:$H$30,5,FALSE),""))</f>
        <v/>
      </c>
      <c r="H145" s="326">
        <f>IF($B145="","",IFERROR(VLOOKUP($B145,Setup!$A$9:$H$30,6,FALSE),""))</f>
        <v/>
      </c>
      <c r="I145" s="326">
        <f>IF(OR($C145="",$H145=""),"",$C145*$H145)</f>
        <v/>
      </c>
      <c r="J145" s="326">
        <f>IF(OR($E145="",$I145=""),"",$E145-$I145)</f>
        <v/>
      </c>
      <c r="K145" s="329">
        <f>IF($A145="","",IFERROR(VLOOKUP($A145,Invoices!$A$9:$X$108,2,FALSE),""))</f>
        <v/>
      </c>
      <c r="L145" s="325">
        <f>IF($A145="","",IFERROR(VLOOKUP($A145,Invoices!$A$9:$X$108,3,FALSE),""))</f>
        <v/>
      </c>
      <c r="M145" s="325">
        <f>IF($A145="","",IFERROR(VLOOKUP($A145,Invoices!$A$9:$X$108,4,FALSE),""))</f>
        <v/>
      </c>
      <c r="N145" s="325">
        <f>IF($A145="","",IFERROR(VLOOKUP($A145,Invoices!$A$9:$X$108,5,FALSE),""))</f>
        <v/>
      </c>
      <c r="O145" s="325">
        <f>IF(AND($A145="",$B145="",$C145="",$D145=""),"",IF(OR($A145="",$B145="",$C145&lt;=0,$D145&lt;=0,$F145="",$H145="",$K145=""),"REVIEW","OK"))</f>
        <v/>
      </c>
      <c r="P145" s="330">
        <f>IF($A145="","",LOWER($A145&amp;" "&amp;$B145&amp;" "&amp;$F145&amp;" "&amp;$G145&amp;" "&amp;$L145&amp;" "&amp;$M145&amp;" "&amp;$N145))</f>
        <v/>
      </c>
    </row>
    <row r="146">
      <c r="A146" s="205" t="n"/>
      <c r="B146" s="207" t="n"/>
      <c r="C146" s="350" t="n"/>
      <c r="D146" s="332" t="n"/>
      <c r="E146" s="326">
        <f>IF(OR($A146="",$B146="",$C146="",$D146=""),"",$C146*$D146)</f>
        <v/>
      </c>
      <c r="F146" s="325">
        <f>IF($B146="","",IFERROR(VLOOKUP($B146,Setup!$A$9:$H$30,2,FALSE),""))</f>
        <v/>
      </c>
      <c r="G146" s="325">
        <f>IF($B146="","",IFERROR(VLOOKUP($B146,Setup!$A$9:$H$30,5,FALSE),""))</f>
        <v/>
      </c>
      <c r="H146" s="326">
        <f>IF($B146="","",IFERROR(VLOOKUP($B146,Setup!$A$9:$H$30,6,FALSE),""))</f>
        <v/>
      </c>
      <c r="I146" s="326">
        <f>IF(OR($C146="",$H146=""),"",$C146*$H146)</f>
        <v/>
      </c>
      <c r="J146" s="326">
        <f>IF(OR($E146="",$I146=""),"",$E146-$I146)</f>
        <v/>
      </c>
      <c r="K146" s="329">
        <f>IF($A146="","",IFERROR(VLOOKUP($A146,Invoices!$A$9:$X$108,2,FALSE),""))</f>
        <v/>
      </c>
      <c r="L146" s="325">
        <f>IF($A146="","",IFERROR(VLOOKUP($A146,Invoices!$A$9:$X$108,3,FALSE),""))</f>
        <v/>
      </c>
      <c r="M146" s="325">
        <f>IF($A146="","",IFERROR(VLOOKUP($A146,Invoices!$A$9:$X$108,4,FALSE),""))</f>
        <v/>
      </c>
      <c r="N146" s="325">
        <f>IF($A146="","",IFERROR(VLOOKUP($A146,Invoices!$A$9:$X$108,5,FALSE),""))</f>
        <v/>
      </c>
      <c r="O146" s="325">
        <f>IF(AND($A146="",$B146="",$C146="",$D146=""),"",IF(OR($A146="",$B146="",$C146&lt;=0,$D146&lt;=0,$F146="",$H146="",$K146=""),"REVIEW","OK"))</f>
        <v/>
      </c>
      <c r="P146" s="330">
        <f>IF($A146="","",LOWER($A146&amp;" "&amp;$B146&amp;" "&amp;$F146&amp;" "&amp;$G146&amp;" "&amp;$L146&amp;" "&amp;$M146&amp;" "&amp;$N146))</f>
        <v/>
      </c>
    </row>
    <row r="147">
      <c r="A147" s="205" t="n"/>
      <c r="B147" s="207" t="n"/>
      <c r="C147" s="350" t="n"/>
      <c r="D147" s="332" t="n"/>
      <c r="E147" s="326">
        <f>IF(OR($A147="",$B147="",$C147="",$D147=""),"",$C147*$D147)</f>
        <v/>
      </c>
      <c r="F147" s="325">
        <f>IF($B147="","",IFERROR(VLOOKUP($B147,Setup!$A$9:$H$30,2,FALSE),""))</f>
        <v/>
      </c>
      <c r="G147" s="325">
        <f>IF($B147="","",IFERROR(VLOOKUP($B147,Setup!$A$9:$H$30,5,FALSE),""))</f>
        <v/>
      </c>
      <c r="H147" s="326">
        <f>IF($B147="","",IFERROR(VLOOKUP($B147,Setup!$A$9:$H$30,6,FALSE),""))</f>
        <v/>
      </c>
      <c r="I147" s="326">
        <f>IF(OR($C147="",$H147=""),"",$C147*$H147)</f>
        <v/>
      </c>
      <c r="J147" s="326">
        <f>IF(OR($E147="",$I147=""),"",$E147-$I147)</f>
        <v/>
      </c>
      <c r="K147" s="329">
        <f>IF($A147="","",IFERROR(VLOOKUP($A147,Invoices!$A$9:$X$108,2,FALSE),""))</f>
        <v/>
      </c>
      <c r="L147" s="325">
        <f>IF($A147="","",IFERROR(VLOOKUP($A147,Invoices!$A$9:$X$108,3,FALSE),""))</f>
        <v/>
      </c>
      <c r="M147" s="325">
        <f>IF($A147="","",IFERROR(VLOOKUP($A147,Invoices!$A$9:$X$108,4,FALSE),""))</f>
        <v/>
      </c>
      <c r="N147" s="325">
        <f>IF($A147="","",IFERROR(VLOOKUP($A147,Invoices!$A$9:$X$108,5,FALSE),""))</f>
        <v/>
      </c>
      <c r="O147" s="325">
        <f>IF(AND($A147="",$B147="",$C147="",$D147=""),"",IF(OR($A147="",$B147="",$C147&lt;=0,$D147&lt;=0,$F147="",$H147="",$K147=""),"REVIEW","OK"))</f>
        <v/>
      </c>
      <c r="P147" s="330">
        <f>IF($A147="","",LOWER($A147&amp;" "&amp;$B147&amp;" "&amp;$F147&amp;" "&amp;$G147&amp;" "&amp;$L147&amp;" "&amp;$M147&amp;" "&amp;$N147))</f>
        <v/>
      </c>
    </row>
    <row r="148">
      <c r="A148" s="205" t="n"/>
      <c r="B148" s="207" t="n"/>
      <c r="C148" s="350" t="n"/>
      <c r="D148" s="332" t="n"/>
      <c r="E148" s="326">
        <f>IF(OR($A148="",$B148="",$C148="",$D148=""),"",$C148*$D148)</f>
        <v/>
      </c>
      <c r="F148" s="325">
        <f>IF($B148="","",IFERROR(VLOOKUP($B148,Setup!$A$9:$H$30,2,FALSE),""))</f>
        <v/>
      </c>
      <c r="G148" s="325">
        <f>IF($B148="","",IFERROR(VLOOKUP($B148,Setup!$A$9:$H$30,5,FALSE),""))</f>
        <v/>
      </c>
      <c r="H148" s="326">
        <f>IF($B148="","",IFERROR(VLOOKUP($B148,Setup!$A$9:$H$30,6,FALSE),""))</f>
        <v/>
      </c>
      <c r="I148" s="326">
        <f>IF(OR($C148="",$H148=""),"",$C148*$H148)</f>
        <v/>
      </c>
      <c r="J148" s="326">
        <f>IF(OR($E148="",$I148=""),"",$E148-$I148)</f>
        <v/>
      </c>
      <c r="K148" s="329">
        <f>IF($A148="","",IFERROR(VLOOKUP($A148,Invoices!$A$9:$X$108,2,FALSE),""))</f>
        <v/>
      </c>
      <c r="L148" s="325">
        <f>IF($A148="","",IFERROR(VLOOKUP($A148,Invoices!$A$9:$X$108,3,FALSE),""))</f>
        <v/>
      </c>
      <c r="M148" s="325">
        <f>IF($A148="","",IFERROR(VLOOKUP($A148,Invoices!$A$9:$X$108,4,FALSE),""))</f>
        <v/>
      </c>
      <c r="N148" s="325">
        <f>IF($A148="","",IFERROR(VLOOKUP($A148,Invoices!$A$9:$X$108,5,FALSE),""))</f>
        <v/>
      </c>
      <c r="O148" s="325">
        <f>IF(AND($A148="",$B148="",$C148="",$D148=""),"",IF(OR($A148="",$B148="",$C148&lt;=0,$D148&lt;=0,$F148="",$H148="",$K148=""),"REVIEW","OK"))</f>
        <v/>
      </c>
      <c r="P148" s="330">
        <f>IF($A148="","",LOWER($A148&amp;" "&amp;$B148&amp;" "&amp;$F148&amp;" "&amp;$G148&amp;" "&amp;$L148&amp;" "&amp;$M148&amp;" "&amp;$N148))</f>
        <v/>
      </c>
    </row>
    <row r="149">
      <c r="A149" s="205" t="n"/>
      <c r="B149" s="207" t="n"/>
      <c r="C149" s="350" t="n"/>
      <c r="D149" s="332" t="n"/>
      <c r="E149" s="326">
        <f>IF(OR($A149="",$B149="",$C149="",$D149=""),"",$C149*$D149)</f>
        <v/>
      </c>
      <c r="F149" s="325">
        <f>IF($B149="","",IFERROR(VLOOKUP($B149,Setup!$A$9:$H$30,2,FALSE),""))</f>
        <v/>
      </c>
      <c r="G149" s="325">
        <f>IF($B149="","",IFERROR(VLOOKUP($B149,Setup!$A$9:$H$30,5,FALSE),""))</f>
        <v/>
      </c>
      <c r="H149" s="326">
        <f>IF($B149="","",IFERROR(VLOOKUP($B149,Setup!$A$9:$H$30,6,FALSE),""))</f>
        <v/>
      </c>
      <c r="I149" s="326">
        <f>IF(OR($C149="",$H149=""),"",$C149*$H149)</f>
        <v/>
      </c>
      <c r="J149" s="326">
        <f>IF(OR($E149="",$I149=""),"",$E149-$I149)</f>
        <v/>
      </c>
      <c r="K149" s="329">
        <f>IF($A149="","",IFERROR(VLOOKUP($A149,Invoices!$A$9:$X$108,2,FALSE),""))</f>
        <v/>
      </c>
      <c r="L149" s="325">
        <f>IF($A149="","",IFERROR(VLOOKUP($A149,Invoices!$A$9:$X$108,3,FALSE),""))</f>
        <v/>
      </c>
      <c r="M149" s="325">
        <f>IF($A149="","",IFERROR(VLOOKUP($A149,Invoices!$A$9:$X$108,4,FALSE),""))</f>
        <v/>
      </c>
      <c r="N149" s="325">
        <f>IF($A149="","",IFERROR(VLOOKUP($A149,Invoices!$A$9:$X$108,5,FALSE),""))</f>
        <v/>
      </c>
      <c r="O149" s="325">
        <f>IF(AND($A149="",$B149="",$C149="",$D149=""),"",IF(OR($A149="",$B149="",$C149&lt;=0,$D149&lt;=0,$F149="",$H149="",$K149=""),"REVIEW","OK"))</f>
        <v/>
      </c>
      <c r="P149" s="330">
        <f>IF($A149="","",LOWER($A149&amp;" "&amp;$B149&amp;" "&amp;$F149&amp;" "&amp;$G149&amp;" "&amp;$L149&amp;" "&amp;$M149&amp;" "&amp;$N149))</f>
        <v/>
      </c>
    </row>
    <row r="150">
      <c r="A150" s="205" t="n"/>
      <c r="B150" s="207" t="n"/>
      <c r="C150" s="350" t="n"/>
      <c r="D150" s="332" t="n"/>
      <c r="E150" s="326">
        <f>IF(OR($A150="",$B150="",$C150="",$D150=""),"",$C150*$D150)</f>
        <v/>
      </c>
      <c r="F150" s="325">
        <f>IF($B150="","",IFERROR(VLOOKUP($B150,Setup!$A$9:$H$30,2,FALSE),""))</f>
        <v/>
      </c>
      <c r="G150" s="325">
        <f>IF($B150="","",IFERROR(VLOOKUP($B150,Setup!$A$9:$H$30,5,FALSE),""))</f>
        <v/>
      </c>
      <c r="H150" s="326">
        <f>IF($B150="","",IFERROR(VLOOKUP($B150,Setup!$A$9:$H$30,6,FALSE),""))</f>
        <v/>
      </c>
      <c r="I150" s="326">
        <f>IF(OR($C150="",$H150=""),"",$C150*$H150)</f>
        <v/>
      </c>
      <c r="J150" s="326">
        <f>IF(OR($E150="",$I150=""),"",$E150-$I150)</f>
        <v/>
      </c>
      <c r="K150" s="329">
        <f>IF($A150="","",IFERROR(VLOOKUP($A150,Invoices!$A$9:$X$108,2,FALSE),""))</f>
        <v/>
      </c>
      <c r="L150" s="325">
        <f>IF($A150="","",IFERROR(VLOOKUP($A150,Invoices!$A$9:$X$108,3,FALSE),""))</f>
        <v/>
      </c>
      <c r="M150" s="325">
        <f>IF($A150="","",IFERROR(VLOOKUP($A150,Invoices!$A$9:$X$108,4,FALSE),""))</f>
        <v/>
      </c>
      <c r="N150" s="325">
        <f>IF($A150="","",IFERROR(VLOOKUP($A150,Invoices!$A$9:$X$108,5,FALSE),""))</f>
        <v/>
      </c>
      <c r="O150" s="325">
        <f>IF(AND($A150="",$B150="",$C150="",$D150=""),"",IF(OR($A150="",$B150="",$C150&lt;=0,$D150&lt;=0,$F150="",$H150="",$K150=""),"REVIEW","OK"))</f>
        <v/>
      </c>
      <c r="P150" s="330">
        <f>IF($A150="","",LOWER($A150&amp;" "&amp;$B150&amp;" "&amp;$F150&amp;" "&amp;$G150&amp;" "&amp;$L150&amp;" "&amp;$M150&amp;" "&amp;$N150))</f>
        <v/>
      </c>
    </row>
    <row r="151">
      <c r="A151" s="205" t="n"/>
      <c r="B151" s="207" t="n"/>
      <c r="C151" s="350" t="n"/>
      <c r="D151" s="332" t="n"/>
      <c r="E151" s="326">
        <f>IF(OR($A151="",$B151="",$C151="",$D151=""),"",$C151*$D151)</f>
        <v/>
      </c>
      <c r="F151" s="325">
        <f>IF($B151="","",IFERROR(VLOOKUP($B151,Setup!$A$9:$H$30,2,FALSE),""))</f>
        <v/>
      </c>
      <c r="G151" s="325">
        <f>IF($B151="","",IFERROR(VLOOKUP($B151,Setup!$A$9:$H$30,5,FALSE),""))</f>
        <v/>
      </c>
      <c r="H151" s="326">
        <f>IF($B151="","",IFERROR(VLOOKUP($B151,Setup!$A$9:$H$30,6,FALSE),""))</f>
        <v/>
      </c>
      <c r="I151" s="326">
        <f>IF(OR($C151="",$H151=""),"",$C151*$H151)</f>
        <v/>
      </c>
      <c r="J151" s="326">
        <f>IF(OR($E151="",$I151=""),"",$E151-$I151)</f>
        <v/>
      </c>
      <c r="K151" s="329">
        <f>IF($A151="","",IFERROR(VLOOKUP($A151,Invoices!$A$9:$X$108,2,FALSE),""))</f>
        <v/>
      </c>
      <c r="L151" s="325">
        <f>IF($A151="","",IFERROR(VLOOKUP($A151,Invoices!$A$9:$X$108,3,FALSE),""))</f>
        <v/>
      </c>
      <c r="M151" s="325">
        <f>IF($A151="","",IFERROR(VLOOKUP($A151,Invoices!$A$9:$X$108,4,FALSE),""))</f>
        <v/>
      </c>
      <c r="N151" s="325">
        <f>IF($A151="","",IFERROR(VLOOKUP($A151,Invoices!$A$9:$X$108,5,FALSE),""))</f>
        <v/>
      </c>
      <c r="O151" s="325">
        <f>IF(AND($A151="",$B151="",$C151="",$D151=""),"",IF(OR($A151="",$B151="",$C151&lt;=0,$D151&lt;=0,$F151="",$H151="",$K151=""),"REVIEW","OK"))</f>
        <v/>
      </c>
      <c r="P151" s="330">
        <f>IF($A151="","",LOWER($A151&amp;" "&amp;$B151&amp;" "&amp;$F151&amp;" "&amp;$G151&amp;" "&amp;$L151&amp;" "&amp;$M151&amp;" "&amp;$N151))</f>
        <v/>
      </c>
    </row>
    <row r="152">
      <c r="A152" s="205" t="n"/>
      <c r="B152" s="207" t="n"/>
      <c r="C152" s="350" t="n"/>
      <c r="D152" s="332" t="n"/>
      <c r="E152" s="326">
        <f>IF(OR($A152="",$B152="",$C152="",$D152=""),"",$C152*$D152)</f>
        <v/>
      </c>
      <c r="F152" s="325">
        <f>IF($B152="","",IFERROR(VLOOKUP($B152,Setup!$A$9:$H$30,2,FALSE),""))</f>
        <v/>
      </c>
      <c r="G152" s="325">
        <f>IF($B152="","",IFERROR(VLOOKUP($B152,Setup!$A$9:$H$30,5,FALSE),""))</f>
        <v/>
      </c>
      <c r="H152" s="326">
        <f>IF($B152="","",IFERROR(VLOOKUP($B152,Setup!$A$9:$H$30,6,FALSE),""))</f>
        <v/>
      </c>
      <c r="I152" s="326">
        <f>IF(OR($C152="",$H152=""),"",$C152*$H152)</f>
        <v/>
      </c>
      <c r="J152" s="326">
        <f>IF(OR($E152="",$I152=""),"",$E152-$I152)</f>
        <v/>
      </c>
      <c r="K152" s="329">
        <f>IF($A152="","",IFERROR(VLOOKUP($A152,Invoices!$A$9:$X$108,2,FALSE),""))</f>
        <v/>
      </c>
      <c r="L152" s="325">
        <f>IF($A152="","",IFERROR(VLOOKUP($A152,Invoices!$A$9:$X$108,3,FALSE),""))</f>
        <v/>
      </c>
      <c r="M152" s="325">
        <f>IF($A152="","",IFERROR(VLOOKUP($A152,Invoices!$A$9:$X$108,4,FALSE),""))</f>
        <v/>
      </c>
      <c r="N152" s="325">
        <f>IF($A152="","",IFERROR(VLOOKUP($A152,Invoices!$A$9:$X$108,5,FALSE),""))</f>
        <v/>
      </c>
      <c r="O152" s="325">
        <f>IF(AND($A152="",$B152="",$C152="",$D152=""),"",IF(OR($A152="",$B152="",$C152&lt;=0,$D152&lt;=0,$F152="",$H152="",$K152=""),"REVIEW","OK"))</f>
        <v/>
      </c>
      <c r="P152" s="330">
        <f>IF($A152="","",LOWER($A152&amp;" "&amp;$B152&amp;" "&amp;$F152&amp;" "&amp;$G152&amp;" "&amp;$L152&amp;" "&amp;$M152&amp;" "&amp;$N152))</f>
        <v/>
      </c>
    </row>
    <row r="153">
      <c r="A153" s="205" t="n"/>
      <c r="B153" s="207" t="n"/>
      <c r="C153" s="350" t="n"/>
      <c r="D153" s="332" t="n"/>
      <c r="E153" s="326">
        <f>IF(OR($A153="",$B153="",$C153="",$D153=""),"",$C153*$D153)</f>
        <v/>
      </c>
      <c r="F153" s="325">
        <f>IF($B153="","",IFERROR(VLOOKUP($B153,Setup!$A$9:$H$30,2,FALSE),""))</f>
        <v/>
      </c>
      <c r="G153" s="325">
        <f>IF($B153="","",IFERROR(VLOOKUP($B153,Setup!$A$9:$H$30,5,FALSE),""))</f>
        <v/>
      </c>
      <c r="H153" s="326">
        <f>IF($B153="","",IFERROR(VLOOKUP($B153,Setup!$A$9:$H$30,6,FALSE),""))</f>
        <v/>
      </c>
      <c r="I153" s="326">
        <f>IF(OR($C153="",$H153=""),"",$C153*$H153)</f>
        <v/>
      </c>
      <c r="J153" s="326">
        <f>IF(OR($E153="",$I153=""),"",$E153-$I153)</f>
        <v/>
      </c>
      <c r="K153" s="329">
        <f>IF($A153="","",IFERROR(VLOOKUP($A153,Invoices!$A$9:$X$108,2,FALSE),""))</f>
        <v/>
      </c>
      <c r="L153" s="325">
        <f>IF($A153="","",IFERROR(VLOOKUP($A153,Invoices!$A$9:$X$108,3,FALSE),""))</f>
        <v/>
      </c>
      <c r="M153" s="325">
        <f>IF($A153="","",IFERROR(VLOOKUP($A153,Invoices!$A$9:$X$108,4,FALSE),""))</f>
        <v/>
      </c>
      <c r="N153" s="325">
        <f>IF($A153="","",IFERROR(VLOOKUP($A153,Invoices!$A$9:$X$108,5,FALSE),""))</f>
        <v/>
      </c>
      <c r="O153" s="325">
        <f>IF(AND($A153="",$B153="",$C153="",$D153=""),"",IF(OR($A153="",$B153="",$C153&lt;=0,$D153&lt;=0,$F153="",$H153="",$K153=""),"REVIEW","OK"))</f>
        <v/>
      </c>
      <c r="P153" s="330">
        <f>IF($A153="","",LOWER($A153&amp;" "&amp;$B153&amp;" "&amp;$F153&amp;" "&amp;$G153&amp;" "&amp;$L153&amp;" "&amp;$M153&amp;" "&amp;$N153))</f>
        <v/>
      </c>
    </row>
    <row r="154">
      <c r="A154" s="205" t="n"/>
      <c r="B154" s="207" t="n"/>
      <c r="C154" s="350" t="n"/>
      <c r="D154" s="332" t="n"/>
      <c r="E154" s="326">
        <f>IF(OR($A154="",$B154="",$C154="",$D154=""),"",$C154*$D154)</f>
        <v/>
      </c>
      <c r="F154" s="325">
        <f>IF($B154="","",IFERROR(VLOOKUP($B154,Setup!$A$9:$H$30,2,FALSE),""))</f>
        <v/>
      </c>
      <c r="G154" s="325">
        <f>IF($B154="","",IFERROR(VLOOKUP($B154,Setup!$A$9:$H$30,5,FALSE),""))</f>
        <v/>
      </c>
      <c r="H154" s="326">
        <f>IF($B154="","",IFERROR(VLOOKUP($B154,Setup!$A$9:$H$30,6,FALSE),""))</f>
        <v/>
      </c>
      <c r="I154" s="326">
        <f>IF(OR($C154="",$H154=""),"",$C154*$H154)</f>
        <v/>
      </c>
      <c r="J154" s="326">
        <f>IF(OR($E154="",$I154=""),"",$E154-$I154)</f>
        <v/>
      </c>
      <c r="K154" s="329">
        <f>IF($A154="","",IFERROR(VLOOKUP($A154,Invoices!$A$9:$X$108,2,FALSE),""))</f>
        <v/>
      </c>
      <c r="L154" s="325">
        <f>IF($A154="","",IFERROR(VLOOKUP($A154,Invoices!$A$9:$X$108,3,FALSE),""))</f>
        <v/>
      </c>
      <c r="M154" s="325">
        <f>IF($A154="","",IFERROR(VLOOKUP($A154,Invoices!$A$9:$X$108,4,FALSE),""))</f>
        <v/>
      </c>
      <c r="N154" s="325">
        <f>IF($A154="","",IFERROR(VLOOKUP($A154,Invoices!$A$9:$X$108,5,FALSE),""))</f>
        <v/>
      </c>
      <c r="O154" s="325">
        <f>IF(AND($A154="",$B154="",$C154="",$D154=""),"",IF(OR($A154="",$B154="",$C154&lt;=0,$D154&lt;=0,$F154="",$H154="",$K154=""),"REVIEW","OK"))</f>
        <v/>
      </c>
      <c r="P154" s="330">
        <f>IF($A154="","",LOWER($A154&amp;" "&amp;$B154&amp;" "&amp;$F154&amp;" "&amp;$G154&amp;" "&amp;$L154&amp;" "&amp;$M154&amp;" "&amp;$N154))</f>
        <v/>
      </c>
    </row>
    <row r="155">
      <c r="A155" s="205" t="n"/>
      <c r="B155" s="207" t="n"/>
      <c r="C155" s="350" t="n"/>
      <c r="D155" s="332" t="n"/>
      <c r="E155" s="326">
        <f>IF(OR($A155="",$B155="",$C155="",$D155=""),"",$C155*$D155)</f>
        <v/>
      </c>
      <c r="F155" s="325">
        <f>IF($B155="","",IFERROR(VLOOKUP($B155,Setup!$A$9:$H$30,2,FALSE),""))</f>
        <v/>
      </c>
      <c r="G155" s="325">
        <f>IF($B155="","",IFERROR(VLOOKUP($B155,Setup!$A$9:$H$30,5,FALSE),""))</f>
        <v/>
      </c>
      <c r="H155" s="326">
        <f>IF($B155="","",IFERROR(VLOOKUP($B155,Setup!$A$9:$H$30,6,FALSE),""))</f>
        <v/>
      </c>
      <c r="I155" s="326">
        <f>IF(OR($C155="",$H155=""),"",$C155*$H155)</f>
        <v/>
      </c>
      <c r="J155" s="326">
        <f>IF(OR($E155="",$I155=""),"",$E155-$I155)</f>
        <v/>
      </c>
      <c r="K155" s="329">
        <f>IF($A155="","",IFERROR(VLOOKUP($A155,Invoices!$A$9:$X$108,2,FALSE),""))</f>
        <v/>
      </c>
      <c r="L155" s="325">
        <f>IF($A155="","",IFERROR(VLOOKUP($A155,Invoices!$A$9:$X$108,3,FALSE),""))</f>
        <v/>
      </c>
      <c r="M155" s="325">
        <f>IF($A155="","",IFERROR(VLOOKUP($A155,Invoices!$A$9:$X$108,4,FALSE),""))</f>
        <v/>
      </c>
      <c r="N155" s="325">
        <f>IF($A155="","",IFERROR(VLOOKUP($A155,Invoices!$A$9:$X$108,5,FALSE),""))</f>
        <v/>
      </c>
      <c r="O155" s="325">
        <f>IF(AND($A155="",$B155="",$C155="",$D155=""),"",IF(OR($A155="",$B155="",$C155&lt;=0,$D155&lt;=0,$F155="",$H155="",$K155=""),"REVIEW","OK"))</f>
        <v/>
      </c>
      <c r="P155" s="330">
        <f>IF($A155="","",LOWER($A155&amp;" "&amp;$B155&amp;" "&amp;$F155&amp;" "&amp;$G155&amp;" "&amp;$L155&amp;" "&amp;$M155&amp;" "&amp;$N155))</f>
        <v/>
      </c>
    </row>
    <row r="156">
      <c r="A156" s="205" t="n"/>
      <c r="B156" s="207" t="n"/>
      <c r="C156" s="350" t="n"/>
      <c r="D156" s="332" t="n"/>
      <c r="E156" s="326">
        <f>IF(OR($A156="",$B156="",$C156="",$D156=""),"",$C156*$D156)</f>
        <v/>
      </c>
      <c r="F156" s="325">
        <f>IF($B156="","",IFERROR(VLOOKUP($B156,Setup!$A$9:$H$30,2,FALSE),""))</f>
        <v/>
      </c>
      <c r="G156" s="325">
        <f>IF($B156="","",IFERROR(VLOOKUP($B156,Setup!$A$9:$H$30,5,FALSE),""))</f>
        <v/>
      </c>
      <c r="H156" s="326">
        <f>IF($B156="","",IFERROR(VLOOKUP($B156,Setup!$A$9:$H$30,6,FALSE),""))</f>
        <v/>
      </c>
      <c r="I156" s="326">
        <f>IF(OR($C156="",$H156=""),"",$C156*$H156)</f>
        <v/>
      </c>
      <c r="J156" s="326">
        <f>IF(OR($E156="",$I156=""),"",$E156-$I156)</f>
        <v/>
      </c>
      <c r="K156" s="329">
        <f>IF($A156="","",IFERROR(VLOOKUP($A156,Invoices!$A$9:$X$108,2,FALSE),""))</f>
        <v/>
      </c>
      <c r="L156" s="325">
        <f>IF($A156="","",IFERROR(VLOOKUP($A156,Invoices!$A$9:$X$108,3,FALSE),""))</f>
        <v/>
      </c>
      <c r="M156" s="325">
        <f>IF($A156="","",IFERROR(VLOOKUP($A156,Invoices!$A$9:$X$108,4,FALSE),""))</f>
        <v/>
      </c>
      <c r="N156" s="325">
        <f>IF($A156="","",IFERROR(VLOOKUP($A156,Invoices!$A$9:$X$108,5,FALSE),""))</f>
        <v/>
      </c>
      <c r="O156" s="325">
        <f>IF(AND($A156="",$B156="",$C156="",$D156=""),"",IF(OR($A156="",$B156="",$C156&lt;=0,$D156&lt;=0,$F156="",$H156="",$K156=""),"REVIEW","OK"))</f>
        <v/>
      </c>
      <c r="P156" s="330">
        <f>IF($A156="","",LOWER($A156&amp;" "&amp;$B156&amp;" "&amp;$F156&amp;" "&amp;$G156&amp;" "&amp;$L156&amp;" "&amp;$M156&amp;" "&amp;$N156))</f>
        <v/>
      </c>
    </row>
    <row r="157">
      <c r="A157" s="205" t="n"/>
      <c r="B157" s="207" t="n"/>
      <c r="C157" s="350" t="n"/>
      <c r="D157" s="332" t="n"/>
      <c r="E157" s="326">
        <f>IF(OR($A157="",$B157="",$C157="",$D157=""),"",$C157*$D157)</f>
        <v/>
      </c>
      <c r="F157" s="325">
        <f>IF($B157="","",IFERROR(VLOOKUP($B157,Setup!$A$9:$H$30,2,FALSE),""))</f>
        <v/>
      </c>
      <c r="G157" s="325">
        <f>IF($B157="","",IFERROR(VLOOKUP($B157,Setup!$A$9:$H$30,5,FALSE),""))</f>
        <v/>
      </c>
      <c r="H157" s="326">
        <f>IF($B157="","",IFERROR(VLOOKUP($B157,Setup!$A$9:$H$30,6,FALSE),""))</f>
        <v/>
      </c>
      <c r="I157" s="326">
        <f>IF(OR($C157="",$H157=""),"",$C157*$H157)</f>
        <v/>
      </c>
      <c r="J157" s="326">
        <f>IF(OR($E157="",$I157=""),"",$E157-$I157)</f>
        <v/>
      </c>
      <c r="K157" s="329">
        <f>IF($A157="","",IFERROR(VLOOKUP($A157,Invoices!$A$9:$X$108,2,FALSE),""))</f>
        <v/>
      </c>
      <c r="L157" s="325">
        <f>IF($A157="","",IFERROR(VLOOKUP($A157,Invoices!$A$9:$X$108,3,FALSE),""))</f>
        <v/>
      </c>
      <c r="M157" s="325">
        <f>IF($A157="","",IFERROR(VLOOKUP($A157,Invoices!$A$9:$X$108,4,FALSE),""))</f>
        <v/>
      </c>
      <c r="N157" s="325">
        <f>IF($A157="","",IFERROR(VLOOKUP($A157,Invoices!$A$9:$X$108,5,FALSE),""))</f>
        <v/>
      </c>
      <c r="O157" s="325">
        <f>IF(AND($A157="",$B157="",$C157="",$D157=""),"",IF(OR($A157="",$B157="",$C157&lt;=0,$D157&lt;=0,$F157="",$H157="",$K157=""),"REVIEW","OK"))</f>
        <v/>
      </c>
      <c r="P157" s="330">
        <f>IF($A157="","",LOWER($A157&amp;" "&amp;$B157&amp;" "&amp;$F157&amp;" "&amp;$G157&amp;" "&amp;$L157&amp;" "&amp;$M157&amp;" "&amp;$N157))</f>
        <v/>
      </c>
    </row>
    <row r="158">
      <c r="A158" s="205" t="n"/>
      <c r="B158" s="207" t="n"/>
      <c r="C158" s="350" t="n"/>
      <c r="D158" s="332" t="n"/>
      <c r="E158" s="326">
        <f>IF(OR($A158="",$B158="",$C158="",$D158=""),"",$C158*$D158)</f>
        <v/>
      </c>
      <c r="F158" s="325">
        <f>IF($B158="","",IFERROR(VLOOKUP($B158,Setup!$A$9:$H$30,2,FALSE),""))</f>
        <v/>
      </c>
      <c r="G158" s="325">
        <f>IF($B158="","",IFERROR(VLOOKUP($B158,Setup!$A$9:$H$30,5,FALSE),""))</f>
        <v/>
      </c>
      <c r="H158" s="326">
        <f>IF($B158="","",IFERROR(VLOOKUP($B158,Setup!$A$9:$H$30,6,FALSE),""))</f>
        <v/>
      </c>
      <c r="I158" s="326">
        <f>IF(OR($C158="",$H158=""),"",$C158*$H158)</f>
        <v/>
      </c>
      <c r="J158" s="326">
        <f>IF(OR($E158="",$I158=""),"",$E158-$I158)</f>
        <v/>
      </c>
      <c r="K158" s="329">
        <f>IF($A158="","",IFERROR(VLOOKUP($A158,Invoices!$A$9:$X$108,2,FALSE),""))</f>
        <v/>
      </c>
      <c r="L158" s="325">
        <f>IF($A158="","",IFERROR(VLOOKUP($A158,Invoices!$A$9:$X$108,3,FALSE),""))</f>
        <v/>
      </c>
      <c r="M158" s="325">
        <f>IF($A158="","",IFERROR(VLOOKUP($A158,Invoices!$A$9:$X$108,4,FALSE),""))</f>
        <v/>
      </c>
      <c r="N158" s="325">
        <f>IF($A158="","",IFERROR(VLOOKUP($A158,Invoices!$A$9:$X$108,5,FALSE),""))</f>
        <v/>
      </c>
      <c r="O158" s="325">
        <f>IF(AND($A158="",$B158="",$C158="",$D158=""),"",IF(OR($A158="",$B158="",$C158&lt;=0,$D158&lt;=0,$F158="",$H158="",$K158=""),"REVIEW","OK"))</f>
        <v/>
      </c>
      <c r="P158" s="330">
        <f>IF($A158="","",LOWER($A158&amp;" "&amp;$B158&amp;" "&amp;$F158&amp;" "&amp;$G158&amp;" "&amp;$L158&amp;" "&amp;$M158&amp;" "&amp;$N158))</f>
        <v/>
      </c>
    </row>
    <row r="159">
      <c r="A159" s="205" t="n"/>
      <c r="B159" s="207" t="n"/>
      <c r="C159" s="350" t="n"/>
      <c r="D159" s="332" t="n"/>
      <c r="E159" s="326">
        <f>IF(OR($A159="",$B159="",$C159="",$D159=""),"",$C159*$D159)</f>
        <v/>
      </c>
      <c r="F159" s="325">
        <f>IF($B159="","",IFERROR(VLOOKUP($B159,Setup!$A$9:$H$30,2,FALSE),""))</f>
        <v/>
      </c>
      <c r="G159" s="325">
        <f>IF($B159="","",IFERROR(VLOOKUP($B159,Setup!$A$9:$H$30,5,FALSE),""))</f>
        <v/>
      </c>
      <c r="H159" s="326">
        <f>IF($B159="","",IFERROR(VLOOKUP($B159,Setup!$A$9:$H$30,6,FALSE),""))</f>
        <v/>
      </c>
      <c r="I159" s="326">
        <f>IF(OR($C159="",$H159=""),"",$C159*$H159)</f>
        <v/>
      </c>
      <c r="J159" s="326">
        <f>IF(OR($E159="",$I159=""),"",$E159-$I159)</f>
        <v/>
      </c>
      <c r="K159" s="329">
        <f>IF($A159="","",IFERROR(VLOOKUP($A159,Invoices!$A$9:$X$108,2,FALSE),""))</f>
        <v/>
      </c>
      <c r="L159" s="325">
        <f>IF($A159="","",IFERROR(VLOOKUP($A159,Invoices!$A$9:$X$108,3,FALSE),""))</f>
        <v/>
      </c>
      <c r="M159" s="325">
        <f>IF($A159="","",IFERROR(VLOOKUP($A159,Invoices!$A$9:$X$108,4,FALSE),""))</f>
        <v/>
      </c>
      <c r="N159" s="325">
        <f>IF($A159="","",IFERROR(VLOOKUP($A159,Invoices!$A$9:$X$108,5,FALSE),""))</f>
        <v/>
      </c>
      <c r="O159" s="325">
        <f>IF(AND($A159="",$B159="",$C159="",$D159=""),"",IF(OR($A159="",$B159="",$C159&lt;=0,$D159&lt;=0,$F159="",$H159="",$K159=""),"REVIEW","OK"))</f>
        <v/>
      </c>
      <c r="P159" s="330">
        <f>IF($A159="","",LOWER($A159&amp;" "&amp;$B159&amp;" "&amp;$F159&amp;" "&amp;$G159&amp;" "&amp;$L159&amp;" "&amp;$M159&amp;" "&amp;$N159))</f>
        <v/>
      </c>
    </row>
    <row r="160">
      <c r="A160" s="205" t="n"/>
      <c r="B160" s="207" t="n"/>
      <c r="C160" s="350" t="n"/>
      <c r="D160" s="332" t="n"/>
      <c r="E160" s="326">
        <f>IF(OR($A160="",$B160="",$C160="",$D160=""),"",$C160*$D160)</f>
        <v/>
      </c>
      <c r="F160" s="325">
        <f>IF($B160="","",IFERROR(VLOOKUP($B160,Setup!$A$9:$H$30,2,FALSE),""))</f>
        <v/>
      </c>
      <c r="G160" s="325">
        <f>IF($B160="","",IFERROR(VLOOKUP($B160,Setup!$A$9:$H$30,5,FALSE),""))</f>
        <v/>
      </c>
      <c r="H160" s="326">
        <f>IF($B160="","",IFERROR(VLOOKUP($B160,Setup!$A$9:$H$30,6,FALSE),""))</f>
        <v/>
      </c>
      <c r="I160" s="326">
        <f>IF(OR($C160="",$H160=""),"",$C160*$H160)</f>
        <v/>
      </c>
      <c r="J160" s="326">
        <f>IF(OR($E160="",$I160=""),"",$E160-$I160)</f>
        <v/>
      </c>
      <c r="K160" s="329">
        <f>IF($A160="","",IFERROR(VLOOKUP($A160,Invoices!$A$9:$X$108,2,FALSE),""))</f>
        <v/>
      </c>
      <c r="L160" s="325">
        <f>IF($A160="","",IFERROR(VLOOKUP($A160,Invoices!$A$9:$X$108,3,FALSE),""))</f>
        <v/>
      </c>
      <c r="M160" s="325">
        <f>IF($A160="","",IFERROR(VLOOKUP($A160,Invoices!$A$9:$X$108,4,FALSE),""))</f>
        <v/>
      </c>
      <c r="N160" s="325">
        <f>IF($A160="","",IFERROR(VLOOKUP($A160,Invoices!$A$9:$X$108,5,FALSE),""))</f>
        <v/>
      </c>
      <c r="O160" s="325">
        <f>IF(AND($A160="",$B160="",$C160="",$D160=""),"",IF(OR($A160="",$B160="",$C160&lt;=0,$D160&lt;=0,$F160="",$H160="",$K160=""),"REVIEW","OK"))</f>
        <v/>
      </c>
      <c r="P160" s="330">
        <f>IF($A160="","",LOWER($A160&amp;" "&amp;$B160&amp;" "&amp;$F160&amp;" "&amp;$G160&amp;" "&amp;$L160&amp;" "&amp;$M160&amp;" "&amp;$N160))</f>
        <v/>
      </c>
    </row>
    <row r="161">
      <c r="A161" s="205" t="n"/>
      <c r="B161" s="207" t="n"/>
      <c r="C161" s="350" t="n"/>
      <c r="D161" s="332" t="n"/>
      <c r="E161" s="326">
        <f>IF(OR($A161="",$B161="",$C161="",$D161=""),"",$C161*$D161)</f>
        <v/>
      </c>
      <c r="F161" s="325">
        <f>IF($B161="","",IFERROR(VLOOKUP($B161,Setup!$A$9:$H$30,2,FALSE),""))</f>
        <v/>
      </c>
      <c r="G161" s="325">
        <f>IF($B161="","",IFERROR(VLOOKUP($B161,Setup!$A$9:$H$30,5,FALSE),""))</f>
        <v/>
      </c>
      <c r="H161" s="326">
        <f>IF($B161="","",IFERROR(VLOOKUP($B161,Setup!$A$9:$H$30,6,FALSE),""))</f>
        <v/>
      </c>
      <c r="I161" s="326">
        <f>IF(OR($C161="",$H161=""),"",$C161*$H161)</f>
        <v/>
      </c>
      <c r="J161" s="326">
        <f>IF(OR($E161="",$I161=""),"",$E161-$I161)</f>
        <v/>
      </c>
      <c r="K161" s="329">
        <f>IF($A161="","",IFERROR(VLOOKUP($A161,Invoices!$A$9:$X$108,2,FALSE),""))</f>
        <v/>
      </c>
      <c r="L161" s="325">
        <f>IF($A161="","",IFERROR(VLOOKUP($A161,Invoices!$A$9:$X$108,3,FALSE),""))</f>
        <v/>
      </c>
      <c r="M161" s="325">
        <f>IF($A161="","",IFERROR(VLOOKUP($A161,Invoices!$A$9:$X$108,4,FALSE),""))</f>
        <v/>
      </c>
      <c r="N161" s="325">
        <f>IF($A161="","",IFERROR(VLOOKUP($A161,Invoices!$A$9:$X$108,5,FALSE),""))</f>
        <v/>
      </c>
      <c r="O161" s="325">
        <f>IF(AND($A161="",$B161="",$C161="",$D161=""),"",IF(OR($A161="",$B161="",$C161&lt;=0,$D161&lt;=0,$F161="",$H161="",$K161=""),"REVIEW","OK"))</f>
        <v/>
      </c>
      <c r="P161" s="330">
        <f>IF($A161="","",LOWER($A161&amp;" "&amp;$B161&amp;" "&amp;$F161&amp;" "&amp;$G161&amp;" "&amp;$L161&amp;" "&amp;$M161&amp;" "&amp;$N161))</f>
        <v/>
      </c>
    </row>
    <row r="162">
      <c r="A162" s="205" t="n"/>
      <c r="B162" s="207" t="n"/>
      <c r="C162" s="350" t="n"/>
      <c r="D162" s="332" t="n"/>
      <c r="E162" s="326">
        <f>IF(OR($A162="",$B162="",$C162="",$D162=""),"",$C162*$D162)</f>
        <v/>
      </c>
      <c r="F162" s="325">
        <f>IF($B162="","",IFERROR(VLOOKUP($B162,Setup!$A$9:$H$30,2,FALSE),""))</f>
        <v/>
      </c>
      <c r="G162" s="325">
        <f>IF($B162="","",IFERROR(VLOOKUP($B162,Setup!$A$9:$H$30,5,FALSE),""))</f>
        <v/>
      </c>
      <c r="H162" s="326">
        <f>IF($B162="","",IFERROR(VLOOKUP($B162,Setup!$A$9:$H$30,6,FALSE),""))</f>
        <v/>
      </c>
      <c r="I162" s="326">
        <f>IF(OR($C162="",$H162=""),"",$C162*$H162)</f>
        <v/>
      </c>
      <c r="J162" s="326">
        <f>IF(OR($E162="",$I162=""),"",$E162-$I162)</f>
        <v/>
      </c>
      <c r="K162" s="329">
        <f>IF($A162="","",IFERROR(VLOOKUP($A162,Invoices!$A$9:$X$108,2,FALSE),""))</f>
        <v/>
      </c>
      <c r="L162" s="325">
        <f>IF($A162="","",IFERROR(VLOOKUP($A162,Invoices!$A$9:$X$108,3,FALSE),""))</f>
        <v/>
      </c>
      <c r="M162" s="325">
        <f>IF($A162="","",IFERROR(VLOOKUP($A162,Invoices!$A$9:$X$108,4,FALSE),""))</f>
        <v/>
      </c>
      <c r="N162" s="325">
        <f>IF($A162="","",IFERROR(VLOOKUP($A162,Invoices!$A$9:$X$108,5,FALSE),""))</f>
        <v/>
      </c>
      <c r="O162" s="325">
        <f>IF(AND($A162="",$B162="",$C162="",$D162=""),"",IF(OR($A162="",$B162="",$C162&lt;=0,$D162&lt;=0,$F162="",$H162="",$K162=""),"REVIEW","OK"))</f>
        <v/>
      </c>
      <c r="P162" s="330">
        <f>IF($A162="","",LOWER($A162&amp;" "&amp;$B162&amp;" "&amp;$F162&amp;" "&amp;$G162&amp;" "&amp;$L162&amp;" "&amp;$M162&amp;" "&amp;$N162))</f>
        <v/>
      </c>
    </row>
    <row r="163">
      <c r="A163" s="205" t="n"/>
      <c r="B163" s="207" t="n"/>
      <c r="C163" s="350" t="n"/>
      <c r="D163" s="332" t="n"/>
      <c r="E163" s="326">
        <f>IF(OR($A163="",$B163="",$C163="",$D163=""),"",$C163*$D163)</f>
        <v/>
      </c>
      <c r="F163" s="325">
        <f>IF($B163="","",IFERROR(VLOOKUP($B163,Setup!$A$9:$H$30,2,FALSE),""))</f>
        <v/>
      </c>
      <c r="G163" s="325">
        <f>IF($B163="","",IFERROR(VLOOKUP($B163,Setup!$A$9:$H$30,5,FALSE),""))</f>
        <v/>
      </c>
      <c r="H163" s="326">
        <f>IF($B163="","",IFERROR(VLOOKUP($B163,Setup!$A$9:$H$30,6,FALSE),""))</f>
        <v/>
      </c>
      <c r="I163" s="326">
        <f>IF(OR($C163="",$H163=""),"",$C163*$H163)</f>
        <v/>
      </c>
      <c r="J163" s="326">
        <f>IF(OR($E163="",$I163=""),"",$E163-$I163)</f>
        <v/>
      </c>
      <c r="K163" s="329">
        <f>IF($A163="","",IFERROR(VLOOKUP($A163,Invoices!$A$9:$X$108,2,FALSE),""))</f>
        <v/>
      </c>
      <c r="L163" s="325">
        <f>IF($A163="","",IFERROR(VLOOKUP($A163,Invoices!$A$9:$X$108,3,FALSE),""))</f>
        <v/>
      </c>
      <c r="M163" s="325">
        <f>IF($A163="","",IFERROR(VLOOKUP($A163,Invoices!$A$9:$X$108,4,FALSE),""))</f>
        <v/>
      </c>
      <c r="N163" s="325">
        <f>IF($A163="","",IFERROR(VLOOKUP($A163,Invoices!$A$9:$X$108,5,FALSE),""))</f>
        <v/>
      </c>
      <c r="O163" s="325">
        <f>IF(AND($A163="",$B163="",$C163="",$D163=""),"",IF(OR($A163="",$B163="",$C163&lt;=0,$D163&lt;=0,$F163="",$H163="",$K163=""),"REVIEW","OK"))</f>
        <v/>
      </c>
      <c r="P163" s="330">
        <f>IF($A163="","",LOWER($A163&amp;" "&amp;$B163&amp;" "&amp;$F163&amp;" "&amp;$G163&amp;" "&amp;$L163&amp;" "&amp;$M163&amp;" "&amp;$N163))</f>
        <v/>
      </c>
    </row>
    <row r="164">
      <c r="A164" s="205" t="n"/>
      <c r="B164" s="207" t="n"/>
      <c r="C164" s="350" t="n"/>
      <c r="D164" s="332" t="n"/>
      <c r="E164" s="326">
        <f>IF(OR($A164="",$B164="",$C164="",$D164=""),"",$C164*$D164)</f>
        <v/>
      </c>
      <c r="F164" s="325">
        <f>IF($B164="","",IFERROR(VLOOKUP($B164,Setup!$A$9:$H$30,2,FALSE),""))</f>
        <v/>
      </c>
      <c r="G164" s="325">
        <f>IF($B164="","",IFERROR(VLOOKUP($B164,Setup!$A$9:$H$30,5,FALSE),""))</f>
        <v/>
      </c>
      <c r="H164" s="326">
        <f>IF($B164="","",IFERROR(VLOOKUP($B164,Setup!$A$9:$H$30,6,FALSE),""))</f>
        <v/>
      </c>
      <c r="I164" s="326">
        <f>IF(OR($C164="",$H164=""),"",$C164*$H164)</f>
        <v/>
      </c>
      <c r="J164" s="326">
        <f>IF(OR($E164="",$I164=""),"",$E164-$I164)</f>
        <v/>
      </c>
      <c r="K164" s="329">
        <f>IF($A164="","",IFERROR(VLOOKUP($A164,Invoices!$A$9:$X$108,2,FALSE),""))</f>
        <v/>
      </c>
      <c r="L164" s="325">
        <f>IF($A164="","",IFERROR(VLOOKUP($A164,Invoices!$A$9:$X$108,3,FALSE),""))</f>
        <v/>
      </c>
      <c r="M164" s="325">
        <f>IF($A164="","",IFERROR(VLOOKUP($A164,Invoices!$A$9:$X$108,4,FALSE),""))</f>
        <v/>
      </c>
      <c r="N164" s="325">
        <f>IF($A164="","",IFERROR(VLOOKUP($A164,Invoices!$A$9:$X$108,5,FALSE),""))</f>
        <v/>
      </c>
      <c r="O164" s="325">
        <f>IF(AND($A164="",$B164="",$C164="",$D164=""),"",IF(OR($A164="",$B164="",$C164&lt;=0,$D164&lt;=0,$F164="",$H164="",$K164=""),"REVIEW","OK"))</f>
        <v/>
      </c>
      <c r="P164" s="330">
        <f>IF($A164="","",LOWER($A164&amp;" "&amp;$B164&amp;" "&amp;$F164&amp;" "&amp;$G164&amp;" "&amp;$L164&amp;" "&amp;$M164&amp;" "&amp;$N164))</f>
        <v/>
      </c>
    </row>
    <row r="165">
      <c r="A165" s="205" t="n"/>
      <c r="B165" s="207" t="n"/>
      <c r="C165" s="350" t="n"/>
      <c r="D165" s="332" t="n"/>
      <c r="E165" s="326">
        <f>IF(OR($A165="",$B165="",$C165="",$D165=""),"",$C165*$D165)</f>
        <v/>
      </c>
      <c r="F165" s="325">
        <f>IF($B165="","",IFERROR(VLOOKUP($B165,Setup!$A$9:$H$30,2,FALSE),""))</f>
        <v/>
      </c>
      <c r="G165" s="325">
        <f>IF($B165="","",IFERROR(VLOOKUP($B165,Setup!$A$9:$H$30,5,FALSE),""))</f>
        <v/>
      </c>
      <c r="H165" s="326">
        <f>IF($B165="","",IFERROR(VLOOKUP($B165,Setup!$A$9:$H$30,6,FALSE),""))</f>
        <v/>
      </c>
      <c r="I165" s="326">
        <f>IF(OR($C165="",$H165=""),"",$C165*$H165)</f>
        <v/>
      </c>
      <c r="J165" s="326">
        <f>IF(OR($E165="",$I165=""),"",$E165-$I165)</f>
        <v/>
      </c>
      <c r="K165" s="329">
        <f>IF($A165="","",IFERROR(VLOOKUP($A165,Invoices!$A$9:$X$108,2,FALSE),""))</f>
        <v/>
      </c>
      <c r="L165" s="325">
        <f>IF($A165="","",IFERROR(VLOOKUP($A165,Invoices!$A$9:$X$108,3,FALSE),""))</f>
        <v/>
      </c>
      <c r="M165" s="325">
        <f>IF($A165="","",IFERROR(VLOOKUP($A165,Invoices!$A$9:$X$108,4,FALSE),""))</f>
        <v/>
      </c>
      <c r="N165" s="325">
        <f>IF($A165="","",IFERROR(VLOOKUP($A165,Invoices!$A$9:$X$108,5,FALSE),""))</f>
        <v/>
      </c>
      <c r="O165" s="325">
        <f>IF(AND($A165="",$B165="",$C165="",$D165=""),"",IF(OR($A165="",$B165="",$C165&lt;=0,$D165&lt;=0,$F165="",$H165="",$K165=""),"REVIEW","OK"))</f>
        <v/>
      </c>
      <c r="P165" s="330">
        <f>IF($A165="","",LOWER($A165&amp;" "&amp;$B165&amp;" "&amp;$F165&amp;" "&amp;$G165&amp;" "&amp;$L165&amp;" "&amp;$M165&amp;" "&amp;$N165))</f>
        <v/>
      </c>
    </row>
    <row r="166">
      <c r="A166" s="205" t="n"/>
      <c r="B166" s="207" t="n"/>
      <c r="C166" s="350" t="n"/>
      <c r="D166" s="332" t="n"/>
      <c r="E166" s="326">
        <f>IF(OR($A166="",$B166="",$C166="",$D166=""),"",$C166*$D166)</f>
        <v/>
      </c>
      <c r="F166" s="325">
        <f>IF($B166="","",IFERROR(VLOOKUP($B166,Setup!$A$9:$H$30,2,FALSE),""))</f>
        <v/>
      </c>
      <c r="G166" s="325">
        <f>IF($B166="","",IFERROR(VLOOKUP($B166,Setup!$A$9:$H$30,5,FALSE),""))</f>
        <v/>
      </c>
      <c r="H166" s="326">
        <f>IF($B166="","",IFERROR(VLOOKUP($B166,Setup!$A$9:$H$30,6,FALSE),""))</f>
        <v/>
      </c>
      <c r="I166" s="326">
        <f>IF(OR($C166="",$H166=""),"",$C166*$H166)</f>
        <v/>
      </c>
      <c r="J166" s="326">
        <f>IF(OR($E166="",$I166=""),"",$E166-$I166)</f>
        <v/>
      </c>
      <c r="K166" s="329">
        <f>IF($A166="","",IFERROR(VLOOKUP($A166,Invoices!$A$9:$X$108,2,FALSE),""))</f>
        <v/>
      </c>
      <c r="L166" s="325">
        <f>IF($A166="","",IFERROR(VLOOKUP($A166,Invoices!$A$9:$X$108,3,FALSE),""))</f>
        <v/>
      </c>
      <c r="M166" s="325">
        <f>IF($A166="","",IFERROR(VLOOKUP($A166,Invoices!$A$9:$X$108,4,FALSE),""))</f>
        <v/>
      </c>
      <c r="N166" s="325">
        <f>IF($A166="","",IFERROR(VLOOKUP($A166,Invoices!$A$9:$X$108,5,FALSE),""))</f>
        <v/>
      </c>
      <c r="O166" s="325">
        <f>IF(AND($A166="",$B166="",$C166="",$D166=""),"",IF(OR($A166="",$B166="",$C166&lt;=0,$D166&lt;=0,$F166="",$H166="",$K166=""),"REVIEW","OK"))</f>
        <v/>
      </c>
      <c r="P166" s="330">
        <f>IF($A166="","",LOWER($A166&amp;" "&amp;$B166&amp;" "&amp;$F166&amp;" "&amp;$G166&amp;" "&amp;$L166&amp;" "&amp;$M166&amp;" "&amp;$N166))</f>
        <v/>
      </c>
    </row>
    <row r="167">
      <c r="A167" s="205" t="n"/>
      <c r="B167" s="207" t="n"/>
      <c r="C167" s="350" t="n"/>
      <c r="D167" s="332" t="n"/>
      <c r="E167" s="326">
        <f>IF(OR($A167="",$B167="",$C167="",$D167=""),"",$C167*$D167)</f>
        <v/>
      </c>
      <c r="F167" s="325">
        <f>IF($B167="","",IFERROR(VLOOKUP($B167,Setup!$A$9:$H$30,2,FALSE),""))</f>
        <v/>
      </c>
      <c r="G167" s="325">
        <f>IF($B167="","",IFERROR(VLOOKUP($B167,Setup!$A$9:$H$30,5,FALSE),""))</f>
        <v/>
      </c>
      <c r="H167" s="326">
        <f>IF($B167="","",IFERROR(VLOOKUP($B167,Setup!$A$9:$H$30,6,FALSE),""))</f>
        <v/>
      </c>
      <c r="I167" s="326">
        <f>IF(OR($C167="",$H167=""),"",$C167*$H167)</f>
        <v/>
      </c>
      <c r="J167" s="326">
        <f>IF(OR($E167="",$I167=""),"",$E167-$I167)</f>
        <v/>
      </c>
      <c r="K167" s="329">
        <f>IF($A167="","",IFERROR(VLOOKUP($A167,Invoices!$A$9:$X$108,2,FALSE),""))</f>
        <v/>
      </c>
      <c r="L167" s="325">
        <f>IF($A167="","",IFERROR(VLOOKUP($A167,Invoices!$A$9:$X$108,3,FALSE),""))</f>
        <v/>
      </c>
      <c r="M167" s="325">
        <f>IF($A167="","",IFERROR(VLOOKUP($A167,Invoices!$A$9:$X$108,4,FALSE),""))</f>
        <v/>
      </c>
      <c r="N167" s="325">
        <f>IF($A167="","",IFERROR(VLOOKUP($A167,Invoices!$A$9:$X$108,5,FALSE),""))</f>
        <v/>
      </c>
      <c r="O167" s="325">
        <f>IF(AND($A167="",$B167="",$C167="",$D167=""),"",IF(OR($A167="",$B167="",$C167&lt;=0,$D167&lt;=0,$F167="",$H167="",$K167=""),"REVIEW","OK"))</f>
        <v/>
      </c>
      <c r="P167" s="330">
        <f>IF($A167="","",LOWER($A167&amp;" "&amp;$B167&amp;" "&amp;$F167&amp;" "&amp;$G167&amp;" "&amp;$L167&amp;" "&amp;$M167&amp;" "&amp;$N167))</f>
        <v/>
      </c>
    </row>
    <row r="168">
      <c r="A168" s="205" t="n"/>
      <c r="B168" s="207" t="n"/>
      <c r="C168" s="350" t="n"/>
      <c r="D168" s="332" t="n"/>
      <c r="E168" s="326">
        <f>IF(OR($A168="",$B168="",$C168="",$D168=""),"",$C168*$D168)</f>
        <v/>
      </c>
      <c r="F168" s="325">
        <f>IF($B168="","",IFERROR(VLOOKUP($B168,Setup!$A$9:$H$30,2,FALSE),""))</f>
        <v/>
      </c>
      <c r="G168" s="325">
        <f>IF($B168="","",IFERROR(VLOOKUP($B168,Setup!$A$9:$H$30,5,FALSE),""))</f>
        <v/>
      </c>
      <c r="H168" s="326">
        <f>IF($B168="","",IFERROR(VLOOKUP($B168,Setup!$A$9:$H$30,6,FALSE),""))</f>
        <v/>
      </c>
      <c r="I168" s="326">
        <f>IF(OR($C168="",$H168=""),"",$C168*$H168)</f>
        <v/>
      </c>
      <c r="J168" s="326">
        <f>IF(OR($E168="",$I168=""),"",$E168-$I168)</f>
        <v/>
      </c>
      <c r="K168" s="329">
        <f>IF($A168="","",IFERROR(VLOOKUP($A168,Invoices!$A$9:$X$108,2,FALSE),""))</f>
        <v/>
      </c>
      <c r="L168" s="325">
        <f>IF($A168="","",IFERROR(VLOOKUP($A168,Invoices!$A$9:$X$108,3,FALSE),""))</f>
        <v/>
      </c>
      <c r="M168" s="325">
        <f>IF($A168="","",IFERROR(VLOOKUP($A168,Invoices!$A$9:$X$108,4,FALSE),""))</f>
        <v/>
      </c>
      <c r="N168" s="325">
        <f>IF($A168="","",IFERROR(VLOOKUP($A168,Invoices!$A$9:$X$108,5,FALSE),""))</f>
        <v/>
      </c>
      <c r="O168" s="325">
        <f>IF(AND($A168="",$B168="",$C168="",$D168=""),"",IF(OR($A168="",$B168="",$C168&lt;=0,$D168&lt;=0,$F168="",$H168="",$K168=""),"REVIEW","OK"))</f>
        <v/>
      </c>
      <c r="P168" s="330">
        <f>IF($A168="","",LOWER($A168&amp;" "&amp;$B168&amp;" "&amp;$F168&amp;" "&amp;$G168&amp;" "&amp;$L168&amp;" "&amp;$M168&amp;" "&amp;$N168))</f>
        <v/>
      </c>
    </row>
    <row r="169">
      <c r="A169" s="205" t="n"/>
      <c r="B169" s="207" t="n"/>
      <c r="C169" s="350" t="n"/>
      <c r="D169" s="332" t="n"/>
      <c r="E169" s="326">
        <f>IF(OR($A169="",$B169="",$C169="",$D169=""),"",$C169*$D169)</f>
        <v/>
      </c>
      <c r="F169" s="325">
        <f>IF($B169="","",IFERROR(VLOOKUP($B169,Setup!$A$9:$H$30,2,FALSE),""))</f>
        <v/>
      </c>
      <c r="G169" s="325">
        <f>IF($B169="","",IFERROR(VLOOKUP($B169,Setup!$A$9:$H$30,5,FALSE),""))</f>
        <v/>
      </c>
      <c r="H169" s="326">
        <f>IF($B169="","",IFERROR(VLOOKUP($B169,Setup!$A$9:$H$30,6,FALSE),""))</f>
        <v/>
      </c>
      <c r="I169" s="326">
        <f>IF(OR($C169="",$H169=""),"",$C169*$H169)</f>
        <v/>
      </c>
      <c r="J169" s="326">
        <f>IF(OR($E169="",$I169=""),"",$E169-$I169)</f>
        <v/>
      </c>
      <c r="K169" s="329">
        <f>IF($A169="","",IFERROR(VLOOKUP($A169,Invoices!$A$9:$X$108,2,FALSE),""))</f>
        <v/>
      </c>
      <c r="L169" s="325">
        <f>IF($A169="","",IFERROR(VLOOKUP($A169,Invoices!$A$9:$X$108,3,FALSE),""))</f>
        <v/>
      </c>
      <c r="M169" s="325">
        <f>IF($A169="","",IFERROR(VLOOKUP($A169,Invoices!$A$9:$X$108,4,FALSE),""))</f>
        <v/>
      </c>
      <c r="N169" s="325">
        <f>IF($A169="","",IFERROR(VLOOKUP($A169,Invoices!$A$9:$X$108,5,FALSE),""))</f>
        <v/>
      </c>
      <c r="O169" s="325">
        <f>IF(AND($A169="",$B169="",$C169="",$D169=""),"",IF(OR($A169="",$B169="",$C169&lt;=0,$D169&lt;=0,$F169="",$H169="",$K169=""),"REVIEW","OK"))</f>
        <v/>
      </c>
      <c r="P169" s="330">
        <f>IF($A169="","",LOWER($A169&amp;" "&amp;$B169&amp;" "&amp;$F169&amp;" "&amp;$G169&amp;" "&amp;$L169&amp;" "&amp;$M169&amp;" "&amp;$N169))</f>
        <v/>
      </c>
    </row>
    <row r="170">
      <c r="A170" s="205" t="n"/>
      <c r="B170" s="207" t="n"/>
      <c r="C170" s="350" t="n"/>
      <c r="D170" s="332" t="n"/>
      <c r="E170" s="326">
        <f>IF(OR($A170="",$B170="",$C170="",$D170=""),"",$C170*$D170)</f>
        <v/>
      </c>
      <c r="F170" s="325">
        <f>IF($B170="","",IFERROR(VLOOKUP($B170,Setup!$A$9:$H$30,2,FALSE),""))</f>
        <v/>
      </c>
      <c r="G170" s="325">
        <f>IF($B170="","",IFERROR(VLOOKUP($B170,Setup!$A$9:$H$30,5,FALSE),""))</f>
        <v/>
      </c>
      <c r="H170" s="326">
        <f>IF($B170="","",IFERROR(VLOOKUP($B170,Setup!$A$9:$H$30,6,FALSE),""))</f>
        <v/>
      </c>
      <c r="I170" s="326">
        <f>IF(OR($C170="",$H170=""),"",$C170*$H170)</f>
        <v/>
      </c>
      <c r="J170" s="326">
        <f>IF(OR($E170="",$I170=""),"",$E170-$I170)</f>
        <v/>
      </c>
      <c r="K170" s="329">
        <f>IF($A170="","",IFERROR(VLOOKUP($A170,Invoices!$A$9:$X$108,2,FALSE),""))</f>
        <v/>
      </c>
      <c r="L170" s="325">
        <f>IF($A170="","",IFERROR(VLOOKUP($A170,Invoices!$A$9:$X$108,3,FALSE),""))</f>
        <v/>
      </c>
      <c r="M170" s="325">
        <f>IF($A170="","",IFERROR(VLOOKUP($A170,Invoices!$A$9:$X$108,4,FALSE),""))</f>
        <v/>
      </c>
      <c r="N170" s="325">
        <f>IF($A170="","",IFERROR(VLOOKUP($A170,Invoices!$A$9:$X$108,5,FALSE),""))</f>
        <v/>
      </c>
      <c r="O170" s="325">
        <f>IF(AND($A170="",$B170="",$C170="",$D170=""),"",IF(OR($A170="",$B170="",$C170&lt;=0,$D170&lt;=0,$F170="",$H170="",$K170=""),"REVIEW","OK"))</f>
        <v/>
      </c>
      <c r="P170" s="330">
        <f>IF($A170="","",LOWER($A170&amp;" "&amp;$B170&amp;" "&amp;$F170&amp;" "&amp;$G170&amp;" "&amp;$L170&amp;" "&amp;$M170&amp;" "&amp;$N170))</f>
        <v/>
      </c>
    </row>
    <row r="171">
      <c r="A171" s="205" t="n"/>
      <c r="B171" s="207" t="n"/>
      <c r="C171" s="350" t="n"/>
      <c r="D171" s="332" t="n"/>
      <c r="E171" s="326">
        <f>IF(OR($A171="",$B171="",$C171="",$D171=""),"",$C171*$D171)</f>
        <v/>
      </c>
      <c r="F171" s="325">
        <f>IF($B171="","",IFERROR(VLOOKUP($B171,Setup!$A$9:$H$30,2,FALSE),""))</f>
        <v/>
      </c>
      <c r="G171" s="325">
        <f>IF($B171="","",IFERROR(VLOOKUP($B171,Setup!$A$9:$H$30,5,FALSE),""))</f>
        <v/>
      </c>
      <c r="H171" s="326">
        <f>IF($B171="","",IFERROR(VLOOKUP($B171,Setup!$A$9:$H$30,6,FALSE),""))</f>
        <v/>
      </c>
      <c r="I171" s="326">
        <f>IF(OR($C171="",$H171=""),"",$C171*$H171)</f>
        <v/>
      </c>
      <c r="J171" s="326">
        <f>IF(OR($E171="",$I171=""),"",$E171-$I171)</f>
        <v/>
      </c>
      <c r="K171" s="329">
        <f>IF($A171="","",IFERROR(VLOOKUP($A171,Invoices!$A$9:$X$108,2,FALSE),""))</f>
        <v/>
      </c>
      <c r="L171" s="325">
        <f>IF($A171="","",IFERROR(VLOOKUP($A171,Invoices!$A$9:$X$108,3,FALSE),""))</f>
        <v/>
      </c>
      <c r="M171" s="325">
        <f>IF($A171="","",IFERROR(VLOOKUP($A171,Invoices!$A$9:$X$108,4,FALSE),""))</f>
        <v/>
      </c>
      <c r="N171" s="325">
        <f>IF($A171="","",IFERROR(VLOOKUP($A171,Invoices!$A$9:$X$108,5,FALSE),""))</f>
        <v/>
      </c>
      <c r="O171" s="325">
        <f>IF(AND($A171="",$B171="",$C171="",$D171=""),"",IF(OR($A171="",$B171="",$C171&lt;=0,$D171&lt;=0,$F171="",$H171="",$K171=""),"REVIEW","OK"))</f>
        <v/>
      </c>
      <c r="P171" s="330">
        <f>IF($A171="","",LOWER($A171&amp;" "&amp;$B171&amp;" "&amp;$F171&amp;" "&amp;$G171&amp;" "&amp;$L171&amp;" "&amp;$M171&amp;" "&amp;$N171))</f>
        <v/>
      </c>
    </row>
    <row r="172">
      <c r="A172" s="205" t="n"/>
      <c r="B172" s="207" t="n"/>
      <c r="C172" s="350" t="n"/>
      <c r="D172" s="332" t="n"/>
      <c r="E172" s="326">
        <f>IF(OR($A172="",$B172="",$C172="",$D172=""),"",$C172*$D172)</f>
        <v/>
      </c>
      <c r="F172" s="325">
        <f>IF($B172="","",IFERROR(VLOOKUP($B172,Setup!$A$9:$H$30,2,FALSE),""))</f>
        <v/>
      </c>
      <c r="G172" s="325">
        <f>IF($B172="","",IFERROR(VLOOKUP($B172,Setup!$A$9:$H$30,5,FALSE),""))</f>
        <v/>
      </c>
      <c r="H172" s="326">
        <f>IF($B172="","",IFERROR(VLOOKUP($B172,Setup!$A$9:$H$30,6,FALSE),""))</f>
        <v/>
      </c>
      <c r="I172" s="326">
        <f>IF(OR($C172="",$H172=""),"",$C172*$H172)</f>
        <v/>
      </c>
      <c r="J172" s="326">
        <f>IF(OR($E172="",$I172=""),"",$E172-$I172)</f>
        <v/>
      </c>
      <c r="K172" s="329">
        <f>IF($A172="","",IFERROR(VLOOKUP($A172,Invoices!$A$9:$X$108,2,FALSE),""))</f>
        <v/>
      </c>
      <c r="L172" s="325">
        <f>IF($A172="","",IFERROR(VLOOKUP($A172,Invoices!$A$9:$X$108,3,FALSE),""))</f>
        <v/>
      </c>
      <c r="M172" s="325">
        <f>IF($A172="","",IFERROR(VLOOKUP($A172,Invoices!$A$9:$X$108,4,FALSE),""))</f>
        <v/>
      </c>
      <c r="N172" s="325">
        <f>IF($A172="","",IFERROR(VLOOKUP($A172,Invoices!$A$9:$X$108,5,FALSE),""))</f>
        <v/>
      </c>
      <c r="O172" s="325">
        <f>IF(AND($A172="",$B172="",$C172="",$D172=""),"",IF(OR($A172="",$B172="",$C172&lt;=0,$D172&lt;=0,$F172="",$H172="",$K172=""),"REVIEW","OK"))</f>
        <v/>
      </c>
      <c r="P172" s="330">
        <f>IF($A172="","",LOWER($A172&amp;" "&amp;$B172&amp;" "&amp;$F172&amp;" "&amp;$G172&amp;" "&amp;$L172&amp;" "&amp;$M172&amp;" "&amp;$N172))</f>
        <v/>
      </c>
    </row>
    <row r="173">
      <c r="A173" s="205" t="n"/>
      <c r="B173" s="207" t="n"/>
      <c r="C173" s="350" t="n"/>
      <c r="D173" s="332" t="n"/>
      <c r="E173" s="326">
        <f>IF(OR($A173="",$B173="",$C173="",$D173=""),"",$C173*$D173)</f>
        <v/>
      </c>
      <c r="F173" s="325">
        <f>IF($B173="","",IFERROR(VLOOKUP($B173,Setup!$A$9:$H$30,2,FALSE),""))</f>
        <v/>
      </c>
      <c r="G173" s="325">
        <f>IF($B173="","",IFERROR(VLOOKUP($B173,Setup!$A$9:$H$30,5,FALSE),""))</f>
        <v/>
      </c>
      <c r="H173" s="326">
        <f>IF($B173="","",IFERROR(VLOOKUP($B173,Setup!$A$9:$H$30,6,FALSE),""))</f>
        <v/>
      </c>
      <c r="I173" s="326">
        <f>IF(OR($C173="",$H173=""),"",$C173*$H173)</f>
        <v/>
      </c>
      <c r="J173" s="326">
        <f>IF(OR($E173="",$I173=""),"",$E173-$I173)</f>
        <v/>
      </c>
      <c r="K173" s="329">
        <f>IF($A173="","",IFERROR(VLOOKUP($A173,Invoices!$A$9:$X$108,2,FALSE),""))</f>
        <v/>
      </c>
      <c r="L173" s="325">
        <f>IF($A173="","",IFERROR(VLOOKUP($A173,Invoices!$A$9:$X$108,3,FALSE),""))</f>
        <v/>
      </c>
      <c r="M173" s="325">
        <f>IF($A173="","",IFERROR(VLOOKUP($A173,Invoices!$A$9:$X$108,4,FALSE),""))</f>
        <v/>
      </c>
      <c r="N173" s="325">
        <f>IF($A173="","",IFERROR(VLOOKUP($A173,Invoices!$A$9:$X$108,5,FALSE),""))</f>
        <v/>
      </c>
      <c r="O173" s="325">
        <f>IF(AND($A173="",$B173="",$C173="",$D173=""),"",IF(OR($A173="",$B173="",$C173&lt;=0,$D173&lt;=0,$F173="",$H173="",$K173=""),"REVIEW","OK"))</f>
        <v/>
      </c>
      <c r="P173" s="330">
        <f>IF($A173="","",LOWER($A173&amp;" "&amp;$B173&amp;" "&amp;$F173&amp;" "&amp;$G173&amp;" "&amp;$L173&amp;" "&amp;$M173&amp;" "&amp;$N173))</f>
        <v/>
      </c>
    </row>
    <row r="174">
      <c r="A174" s="205" t="n"/>
      <c r="B174" s="207" t="n"/>
      <c r="C174" s="350" t="n"/>
      <c r="D174" s="332" t="n"/>
      <c r="E174" s="326">
        <f>IF(OR($A174="",$B174="",$C174="",$D174=""),"",$C174*$D174)</f>
        <v/>
      </c>
      <c r="F174" s="325">
        <f>IF($B174="","",IFERROR(VLOOKUP($B174,Setup!$A$9:$H$30,2,FALSE),""))</f>
        <v/>
      </c>
      <c r="G174" s="325">
        <f>IF($B174="","",IFERROR(VLOOKUP($B174,Setup!$A$9:$H$30,5,FALSE),""))</f>
        <v/>
      </c>
      <c r="H174" s="326">
        <f>IF($B174="","",IFERROR(VLOOKUP($B174,Setup!$A$9:$H$30,6,FALSE),""))</f>
        <v/>
      </c>
      <c r="I174" s="326">
        <f>IF(OR($C174="",$H174=""),"",$C174*$H174)</f>
        <v/>
      </c>
      <c r="J174" s="326">
        <f>IF(OR($E174="",$I174=""),"",$E174-$I174)</f>
        <v/>
      </c>
      <c r="K174" s="329">
        <f>IF($A174="","",IFERROR(VLOOKUP($A174,Invoices!$A$9:$X$108,2,FALSE),""))</f>
        <v/>
      </c>
      <c r="L174" s="325">
        <f>IF($A174="","",IFERROR(VLOOKUP($A174,Invoices!$A$9:$X$108,3,FALSE),""))</f>
        <v/>
      </c>
      <c r="M174" s="325">
        <f>IF($A174="","",IFERROR(VLOOKUP($A174,Invoices!$A$9:$X$108,4,FALSE),""))</f>
        <v/>
      </c>
      <c r="N174" s="325">
        <f>IF($A174="","",IFERROR(VLOOKUP($A174,Invoices!$A$9:$X$108,5,FALSE),""))</f>
        <v/>
      </c>
      <c r="O174" s="325">
        <f>IF(AND($A174="",$B174="",$C174="",$D174=""),"",IF(OR($A174="",$B174="",$C174&lt;=0,$D174&lt;=0,$F174="",$H174="",$K174=""),"REVIEW","OK"))</f>
        <v/>
      </c>
      <c r="P174" s="330">
        <f>IF($A174="","",LOWER($A174&amp;" "&amp;$B174&amp;" "&amp;$F174&amp;" "&amp;$G174&amp;" "&amp;$L174&amp;" "&amp;$M174&amp;" "&amp;$N174))</f>
        <v/>
      </c>
    </row>
    <row r="175">
      <c r="A175" s="205" t="n"/>
      <c r="B175" s="207" t="n"/>
      <c r="C175" s="350" t="n"/>
      <c r="D175" s="332" t="n"/>
      <c r="E175" s="326">
        <f>IF(OR($A175="",$B175="",$C175="",$D175=""),"",$C175*$D175)</f>
        <v/>
      </c>
      <c r="F175" s="325">
        <f>IF($B175="","",IFERROR(VLOOKUP($B175,Setup!$A$9:$H$30,2,FALSE),""))</f>
        <v/>
      </c>
      <c r="G175" s="325">
        <f>IF($B175="","",IFERROR(VLOOKUP($B175,Setup!$A$9:$H$30,5,FALSE),""))</f>
        <v/>
      </c>
      <c r="H175" s="326">
        <f>IF($B175="","",IFERROR(VLOOKUP($B175,Setup!$A$9:$H$30,6,FALSE),""))</f>
        <v/>
      </c>
      <c r="I175" s="326">
        <f>IF(OR($C175="",$H175=""),"",$C175*$H175)</f>
        <v/>
      </c>
      <c r="J175" s="326">
        <f>IF(OR($E175="",$I175=""),"",$E175-$I175)</f>
        <v/>
      </c>
      <c r="K175" s="329">
        <f>IF($A175="","",IFERROR(VLOOKUP($A175,Invoices!$A$9:$X$108,2,FALSE),""))</f>
        <v/>
      </c>
      <c r="L175" s="325">
        <f>IF($A175="","",IFERROR(VLOOKUP($A175,Invoices!$A$9:$X$108,3,FALSE),""))</f>
        <v/>
      </c>
      <c r="M175" s="325">
        <f>IF($A175="","",IFERROR(VLOOKUP($A175,Invoices!$A$9:$X$108,4,FALSE),""))</f>
        <v/>
      </c>
      <c r="N175" s="325">
        <f>IF($A175="","",IFERROR(VLOOKUP($A175,Invoices!$A$9:$X$108,5,FALSE),""))</f>
        <v/>
      </c>
      <c r="O175" s="325">
        <f>IF(AND($A175="",$B175="",$C175="",$D175=""),"",IF(OR($A175="",$B175="",$C175&lt;=0,$D175&lt;=0,$F175="",$H175="",$K175=""),"REVIEW","OK"))</f>
        <v/>
      </c>
      <c r="P175" s="330">
        <f>IF($A175="","",LOWER($A175&amp;" "&amp;$B175&amp;" "&amp;$F175&amp;" "&amp;$G175&amp;" "&amp;$L175&amp;" "&amp;$M175&amp;" "&amp;$N175))</f>
        <v/>
      </c>
    </row>
    <row r="176">
      <c r="A176" s="205" t="n"/>
      <c r="B176" s="207" t="n"/>
      <c r="C176" s="350" t="n"/>
      <c r="D176" s="332" t="n"/>
      <c r="E176" s="326">
        <f>IF(OR($A176="",$B176="",$C176="",$D176=""),"",$C176*$D176)</f>
        <v/>
      </c>
      <c r="F176" s="325">
        <f>IF($B176="","",IFERROR(VLOOKUP($B176,Setup!$A$9:$H$30,2,FALSE),""))</f>
        <v/>
      </c>
      <c r="G176" s="325">
        <f>IF($B176="","",IFERROR(VLOOKUP($B176,Setup!$A$9:$H$30,5,FALSE),""))</f>
        <v/>
      </c>
      <c r="H176" s="326">
        <f>IF($B176="","",IFERROR(VLOOKUP($B176,Setup!$A$9:$H$30,6,FALSE),""))</f>
        <v/>
      </c>
      <c r="I176" s="326">
        <f>IF(OR($C176="",$H176=""),"",$C176*$H176)</f>
        <v/>
      </c>
      <c r="J176" s="326">
        <f>IF(OR($E176="",$I176=""),"",$E176-$I176)</f>
        <v/>
      </c>
      <c r="K176" s="329">
        <f>IF($A176="","",IFERROR(VLOOKUP($A176,Invoices!$A$9:$X$108,2,FALSE),""))</f>
        <v/>
      </c>
      <c r="L176" s="325">
        <f>IF($A176="","",IFERROR(VLOOKUP($A176,Invoices!$A$9:$X$108,3,FALSE),""))</f>
        <v/>
      </c>
      <c r="M176" s="325">
        <f>IF($A176="","",IFERROR(VLOOKUP($A176,Invoices!$A$9:$X$108,4,FALSE),""))</f>
        <v/>
      </c>
      <c r="N176" s="325">
        <f>IF($A176="","",IFERROR(VLOOKUP($A176,Invoices!$A$9:$X$108,5,FALSE),""))</f>
        <v/>
      </c>
      <c r="O176" s="325">
        <f>IF(AND($A176="",$B176="",$C176="",$D176=""),"",IF(OR($A176="",$B176="",$C176&lt;=0,$D176&lt;=0,$F176="",$H176="",$K176=""),"REVIEW","OK"))</f>
        <v/>
      </c>
      <c r="P176" s="330">
        <f>IF($A176="","",LOWER($A176&amp;" "&amp;$B176&amp;" "&amp;$F176&amp;" "&amp;$G176&amp;" "&amp;$L176&amp;" "&amp;$M176&amp;" "&amp;$N176))</f>
        <v/>
      </c>
    </row>
    <row r="177">
      <c r="A177" s="205" t="n"/>
      <c r="B177" s="207" t="n"/>
      <c r="C177" s="350" t="n"/>
      <c r="D177" s="332" t="n"/>
      <c r="E177" s="326">
        <f>IF(OR($A177="",$B177="",$C177="",$D177=""),"",$C177*$D177)</f>
        <v/>
      </c>
      <c r="F177" s="325">
        <f>IF($B177="","",IFERROR(VLOOKUP($B177,Setup!$A$9:$H$30,2,FALSE),""))</f>
        <v/>
      </c>
      <c r="G177" s="325">
        <f>IF($B177="","",IFERROR(VLOOKUP($B177,Setup!$A$9:$H$30,5,FALSE),""))</f>
        <v/>
      </c>
      <c r="H177" s="326">
        <f>IF($B177="","",IFERROR(VLOOKUP($B177,Setup!$A$9:$H$30,6,FALSE),""))</f>
        <v/>
      </c>
      <c r="I177" s="326">
        <f>IF(OR($C177="",$H177=""),"",$C177*$H177)</f>
        <v/>
      </c>
      <c r="J177" s="326">
        <f>IF(OR($E177="",$I177=""),"",$E177-$I177)</f>
        <v/>
      </c>
      <c r="K177" s="329">
        <f>IF($A177="","",IFERROR(VLOOKUP($A177,Invoices!$A$9:$X$108,2,FALSE),""))</f>
        <v/>
      </c>
      <c r="L177" s="325">
        <f>IF($A177="","",IFERROR(VLOOKUP($A177,Invoices!$A$9:$X$108,3,FALSE),""))</f>
        <v/>
      </c>
      <c r="M177" s="325">
        <f>IF($A177="","",IFERROR(VLOOKUP($A177,Invoices!$A$9:$X$108,4,FALSE),""))</f>
        <v/>
      </c>
      <c r="N177" s="325">
        <f>IF($A177="","",IFERROR(VLOOKUP($A177,Invoices!$A$9:$X$108,5,FALSE),""))</f>
        <v/>
      </c>
      <c r="O177" s="325">
        <f>IF(AND($A177="",$B177="",$C177="",$D177=""),"",IF(OR($A177="",$B177="",$C177&lt;=0,$D177&lt;=0,$F177="",$H177="",$K177=""),"REVIEW","OK"))</f>
        <v/>
      </c>
      <c r="P177" s="330">
        <f>IF($A177="","",LOWER($A177&amp;" "&amp;$B177&amp;" "&amp;$F177&amp;" "&amp;$G177&amp;" "&amp;$L177&amp;" "&amp;$M177&amp;" "&amp;$N177))</f>
        <v/>
      </c>
    </row>
    <row r="178">
      <c r="A178" s="205" t="n"/>
      <c r="B178" s="207" t="n"/>
      <c r="C178" s="350" t="n"/>
      <c r="D178" s="332" t="n"/>
      <c r="E178" s="326">
        <f>IF(OR($A178="",$B178="",$C178="",$D178=""),"",$C178*$D178)</f>
        <v/>
      </c>
      <c r="F178" s="325">
        <f>IF($B178="","",IFERROR(VLOOKUP($B178,Setup!$A$9:$H$30,2,FALSE),""))</f>
        <v/>
      </c>
      <c r="G178" s="325">
        <f>IF($B178="","",IFERROR(VLOOKUP($B178,Setup!$A$9:$H$30,5,FALSE),""))</f>
        <v/>
      </c>
      <c r="H178" s="326">
        <f>IF($B178="","",IFERROR(VLOOKUP($B178,Setup!$A$9:$H$30,6,FALSE),""))</f>
        <v/>
      </c>
      <c r="I178" s="326">
        <f>IF(OR($C178="",$H178=""),"",$C178*$H178)</f>
        <v/>
      </c>
      <c r="J178" s="326">
        <f>IF(OR($E178="",$I178=""),"",$E178-$I178)</f>
        <v/>
      </c>
      <c r="K178" s="329">
        <f>IF($A178="","",IFERROR(VLOOKUP($A178,Invoices!$A$9:$X$108,2,FALSE),""))</f>
        <v/>
      </c>
      <c r="L178" s="325">
        <f>IF($A178="","",IFERROR(VLOOKUP($A178,Invoices!$A$9:$X$108,3,FALSE),""))</f>
        <v/>
      </c>
      <c r="M178" s="325">
        <f>IF($A178="","",IFERROR(VLOOKUP($A178,Invoices!$A$9:$X$108,4,FALSE),""))</f>
        <v/>
      </c>
      <c r="N178" s="325">
        <f>IF($A178="","",IFERROR(VLOOKUP($A178,Invoices!$A$9:$X$108,5,FALSE),""))</f>
        <v/>
      </c>
      <c r="O178" s="325">
        <f>IF(AND($A178="",$B178="",$C178="",$D178=""),"",IF(OR($A178="",$B178="",$C178&lt;=0,$D178&lt;=0,$F178="",$H178="",$K178=""),"REVIEW","OK"))</f>
        <v/>
      </c>
      <c r="P178" s="330">
        <f>IF($A178="","",LOWER($A178&amp;" "&amp;$B178&amp;" "&amp;$F178&amp;" "&amp;$G178&amp;" "&amp;$L178&amp;" "&amp;$M178&amp;" "&amp;$N178))</f>
        <v/>
      </c>
    </row>
    <row r="179">
      <c r="A179" s="205" t="n"/>
      <c r="B179" s="207" t="n"/>
      <c r="C179" s="350" t="n"/>
      <c r="D179" s="332" t="n"/>
      <c r="E179" s="326">
        <f>IF(OR($A179="",$B179="",$C179="",$D179=""),"",$C179*$D179)</f>
        <v/>
      </c>
      <c r="F179" s="325">
        <f>IF($B179="","",IFERROR(VLOOKUP($B179,Setup!$A$9:$H$30,2,FALSE),""))</f>
        <v/>
      </c>
      <c r="G179" s="325">
        <f>IF($B179="","",IFERROR(VLOOKUP($B179,Setup!$A$9:$H$30,5,FALSE),""))</f>
        <v/>
      </c>
      <c r="H179" s="326">
        <f>IF($B179="","",IFERROR(VLOOKUP($B179,Setup!$A$9:$H$30,6,FALSE),""))</f>
        <v/>
      </c>
      <c r="I179" s="326">
        <f>IF(OR($C179="",$H179=""),"",$C179*$H179)</f>
        <v/>
      </c>
      <c r="J179" s="326">
        <f>IF(OR($E179="",$I179=""),"",$E179-$I179)</f>
        <v/>
      </c>
      <c r="K179" s="329">
        <f>IF($A179="","",IFERROR(VLOOKUP($A179,Invoices!$A$9:$X$108,2,FALSE),""))</f>
        <v/>
      </c>
      <c r="L179" s="325">
        <f>IF($A179="","",IFERROR(VLOOKUP($A179,Invoices!$A$9:$X$108,3,FALSE),""))</f>
        <v/>
      </c>
      <c r="M179" s="325">
        <f>IF($A179="","",IFERROR(VLOOKUP($A179,Invoices!$A$9:$X$108,4,FALSE),""))</f>
        <v/>
      </c>
      <c r="N179" s="325">
        <f>IF($A179="","",IFERROR(VLOOKUP($A179,Invoices!$A$9:$X$108,5,FALSE),""))</f>
        <v/>
      </c>
      <c r="O179" s="325">
        <f>IF(AND($A179="",$B179="",$C179="",$D179=""),"",IF(OR($A179="",$B179="",$C179&lt;=0,$D179&lt;=0,$F179="",$H179="",$K179=""),"REVIEW","OK"))</f>
        <v/>
      </c>
      <c r="P179" s="330">
        <f>IF($A179="","",LOWER($A179&amp;" "&amp;$B179&amp;" "&amp;$F179&amp;" "&amp;$G179&amp;" "&amp;$L179&amp;" "&amp;$M179&amp;" "&amp;$N179))</f>
        <v/>
      </c>
    </row>
    <row r="180">
      <c r="A180" s="205" t="n"/>
      <c r="B180" s="207" t="n"/>
      <c r="C180" s="350" t="n"/>
      <c r="D180" s="332" t="n"/>
      <c r="E180" s="326">
        <f>IF(OR($A180="",$B180="",$C180="",$D180=""),"",$C180*$D180)</f>
        <v/>
      </c>
      <c r="F180" s="325">
        <f>IF($B180="","",IFERROR(VLOOKUP($B180,Setup!$A$9:$H$30,2,FALSE),""))</f>
        <v/>
      </c>
      <c r="G180" s="325">
        <f>IF($B180="","",IFERROR(VLOOKUP($B180,Setup!$A$9:$H$30,5,FALSE),""))</f>
        <v/>
      </c>
      <c r="H180" s="326">
        <f>IF($B180="","",IFERROR(VLOOKUP($B180,Setup!$A$9:$H$30,6,FALSE),""))</f>
        <v/>
      </c>
      <c r="I180" s="326">
        <f>IF(OR($C180="",$H180=""),"",$C180*$H180)</f>
        <v/>
      </c>
      <c r="J180" s="326">
        <f>IF(OR($E180="",$I180=""),"",$E180-$I180)</f>
        <v/>
      </c>
      <c r="K180" s="329">
        <f>IF($A180="","",IFERROR(VLOOKUP($A180,Invoices!$A$9:$X$108,2,FALSE),""))</f>
        <v/>
      </c>
      <c r="L180" s="325">
        <f>IF($A180="","",IFERROR(VLOOKUP($A180,Invoices!$A$9:$X$108,3,FALSE),""))</f>
        <v/>
      </c>
      <c r="M180" s="325">
        <f>IF($A180="","",IFERROR(VLOOKUP($A180,Invoices!$A$9:$X$108,4,FALSE),""))</f>
        <v/>
      </c>
      <c r="N180" s="325">
        <f>IF($A180="","",IFERROR(VLOOKUP($A180,Invoices!$A$9:$X$108,5,FALSE),""))</f>
        <v/>
      </c>
      <c r="O180" s="325">
        <f>IF(AND($A180="",$B180="",$C180="",$D180=""),"",IF(OR($A180="",$B180="",$C180&lt;=0,$D180&lt;=0,$F180="",$H180="",$K180=""),"REVIEW","OK"))</f>
        <v/>
      </c>
      <c r="P180" s="330">
        <f>IF($A180="","",LOWER($A180&amp;" "&amp;$B180&amp;" "&amp;$F180&amp;" "&amp;$G180&amp;" "&amp;$L180&amp;" "&amp;$M180&amp;" "&amp;$N180))</f>
        <v/>
      </c>
    </row>
    <row r="181">
      <c r="A181" s="205" t="n"/>
      <c r="B181" s="207" t="n"/>
      <c r="C181" s="350" t="n"/>
      <c r="D181" s="332" t="n"/>
      <c r="E181" s="326">
        <f>IF(OR($A181="",$B181="",$C181="",$D181=""),"",$C181*$D181)</f>
        <v/>
      </c>
      <c r="F181" s="325">
        <f>IF($B181="","",IFERROR(VLOOKUP($B181,Setup!$A$9:$H$30,2,FALSE),""))</f>
        <v/>
      </c>
      <c r="G181" s="325">
        <f>IF($B181="","",IFERROR(VLOOKUP($B181,Setup!$A$9:$H$30,5,FALSE),""))</f>
        <v/>
      </c>
      <c r="H181" s="326">
        <f>IF($B181="","",IFERROR(VLOOKUP($B181,Setup!$A$9:$H$30,6,FALSE),""))</f>
        <v/>
      </c>
      <c r="I181" s="326">
        <f>IF(OR($C181="",$H181=""),"",$C181*$H181)</f>
        <v/>
      </c>
      <c r="J181" s="326">
        <f>IF(OR($E181="",$I181=""),"",$E181-$I181)</f>
        <v/>
      </c>
      <c r="K181" s="329">
        <f>IF($A181="","",IFERROR(VLOOKUP($A181,Invoices!$A$9:$X$108,2,FALSE),""))</f>
        <v/>
      </c>
      <c r="L181" s="325">
        <f>IF($A181="","",IFERROR(VLOOKUP($A181,Invoices!$A$9:$X$108,3,FALSE),""))</f>
        <v/>
      </c>
      <c r="M181" s="325">
        <f>IF($A181="","",IFERROR(VLOOKUP($A181,Invoices!$A$9:$X$108,4,FALSE),""))</f>
        <v/>
      </c>
      <c r="N181" s="325">
        <f>IF($A181="","",IFERROR(VLOOKUP($A181,Invoices!$A$9:$X$108,5,FALSE),""))</f>
        <v/>
      </c>
      <c r="O181" s="325">
        <f>IF(AND($A181="",$B181="",$C181="",$D181=""),"",IF(OR($A181="",$B181="",$C181&lt;=0,$D181&lt;=0,$F181="",$H181="",$K181=""),"REVIEW","OK"))</f>
        <v/>
      </c>
      <c r="P181" s="330">
        <f>IF($A181="","",LOWER($A181&amp;" "&amp;$B181&amp;" "&amp;$F181&amp;" "&amp;$G181&amp;" "&amp;$L181&amp;" "&amp;$M181&amp;" "&amp;$N181))</f>
        <v/>
      </c>
    </row>
    <row r="182">
      <c r="A182" s="205" t="n"/>
      <c r="B182" s="207" t="n"/>
      <c r="C182" s="350" t="n"/>
      <c r="D182" s="332" t="n"/>
      <c r="E182" s="326">
        <f>IF(OR($A182="",$B182="",$C182="",$D182=""),"",$C182*$D182)</f>
        <v/>
      </c>
      <c r="F182" s="325">
        <f>IF($B182="","",IFERROR(VLOOKUP($B182,Setup!$A$9:$H$30,2,FALSE),""))</f>
        <v/>
      </c>
      <c r="G182" s="325">
        <f>IF($B182="","",IFERROR(VLOOKUP($B182,Setup!$A$9:$H$30,5,FALSE),""))</f>
        <v/>
      </c>
      <c r="H182" s="326">
        <f>IF($B182="","",IFERROR(VLOOKUP($B182,Setup!$A$9:$H$30,6,FALSE),""))</f>
        <v/>
      </c>
      <c r="I182" s="326">
        <f>IF(OR($C182="",$H182=""),"",$C182*$H182)</f>
        <v/>
      </c>
      <c r="J182" s="326">
        <f>IF(OR($E182="",$I182=""),"",$E182-$I182)</f>
        <v/>
      </c>
      <c r="K182" s="329">
        <f>IF($A182="","",IFERROR(VLOOKUP($A182,Invoices!$A$9:$X$108,2,FALSE),""))</f>
        <v/>
      </c>
      <c r="L182" s="325">
        <f>IF($A182="","",IFERROR(VLOOKUP($A182,Invoices!$A$9:$X$108,3,FALSE),""))</f>
        <v/>
      </c>
      <c r="M182" s="325">
        <f>IF($A182="","",IFERROR(VLOOKUP($A182,Invoices!$A$9:$X$108,4,FALSE),""))</f>
        <v/>
      </c>
      <c r="N182" s="325">
        <f>IF($A182="","",IFERROR(VLOOKUP($A182,Invoices!$A$9:$X$108,5,FALSE),""))</f>
        <v/>
      </c>
      <c r="O182" s="325">
        <f>IF(AND($A182="",$B182="",$C182="",$D182=""),"",IF(OR($A182="",$B182="",$C182&lt;=0,$D182&lt;=0,$F182="",$H182="",$K182=""),"REVIEW","OK"))</f>
        <v/>
      </c>
      <c r="P182" s="330">
        <f>IF($A182="","",LOWER($A182&amp;" "&amp;$B182&amp;" "&amp;$F182&amp;" "&amp;$G182&amp;" "&amp;$L182&amp;" "&amp;$M182&amp;" "&amp;$N182))</f>
        <v/>
      </c>
    </row>
    <row r="183">
      <c r="A183" s="205" t="n"/>
      <c r="B183" s="207" t="n"/>
      <c r="C183" s="350" t="n"/>
      <c r="D183" s="332" t="n"/>
      <c r="E183" s="326">
        <f>IF(OR($A183="",$B183="",$C183="",$D183=""),"",$C183*$D183)</f>
        <v/>
      </c>
      <c r="F183" s="325">
        <f>IF($B183="","",IFERROR(VLOOKUP($B183,Setup!$A$9:$H$30,2,FALSE),""))</f>
        <v/>
      </c>
      <c r="G183" s="325">
        <f>IF($B183="","",IFERROR(VLOOKUP($B183,Setup!$A$9:$H$30,5,FALSE),""))</f>
        <v/>
      </c>
      <c r="H183" s="326">
        <f>IF($B183="","",IFERROR(VLOOKUP($B183,Setup!$A$9:$H$30,6,FALSE),""))</f>
        <v/>
      </c>
      <c r="I183" s="326">
        <f>IF(OR($C183="",$H183=""),"",$C183*$H183)</f>
        <v/>
      </c>
      <c r="J183" s="326">
        <f>IF(OR($E183="",$I183=""),"",$E183-$I183)</f>
        <v/>
      </c>
      <c r="K183" s="329">
        <f>IF($A183="","",IFERROR(VLOOKUP($A183,Invoices!$A$9:$X$108,2,FALSE),""))</f>
        <v/>
      </c>
      <c r="L183" s="325">
        <f>IF($A183="","",IFERROR(VLOOKUP($A183,Invoices!$A$9:$X$108,3,FALSE),""))</f>
        <v/>
      </c>
      <c r="M183" s="325">
        <f>IF($A183="","",IFERROR(VLOOKUP($A183,Invoices!$A$9:$X$108,4,FALSE),""))</f>
        <v/>
      </c>
      <c r="N183" s="325">
        <f>IF($A183="","",IFERROR(VLOOKUP($A183,Invoices!$A$9:$X$108,5,FALSE),""))</f>
        <v/>
      </c>
      <c r="O183" s="325">
        <f>IF(AND($A183="",$B183="",$C183="",$D183=""),"",IF(OR($A183="",$B183="",$C183&lt;=0,$D183&lt;=0,$F183="",$H183="",$K183=""),"REVIEW","OK"))</f>
        <v/>
      </c>
      <c r="P183" s="330">
        <f>IF($A183="","",LOWER($A183&amp;" "&amp;$B183&amp;" "&amp;$F183&amp;" "&amp;$G183&amp;" "&amp;$L183&amp;" "&amp;$M183&amp;" "&amp;$N183))</f>
        <v/>
      </c>
    </row>
    <row r="184">
      <c r="A184" s="205" t="n"/>
      <c r="B184" s="207" t="n"/>
      <c r="C184" s="350" t="n"/>
      <c r="D184" s="332" t="n"/>
      <c r="E184" s="326">
        <f>IF(OR($A184="",$B184="",$C184="",$D184=""),"",$C184*$D184)</f>
        <v/>
      </c>
      <c r="F184" s="325">
        <f>IF($B184="","",IFERROR(VLOOKUP($B184,Setup!$A$9:$H$30,2,FALSE),""))</f>
        <v/>
      </c>
      <c r="G184" s="325">
        <f>IF($B184="","",IFERROR(VLOOKUP($B184,Setup!$A$9:$H$30,5,FALSE),""))</f>
        <v/>
      </c>
      <c r="H184" s="326">
        <f>IF($B184="","",IFERROR(VLOOKUP($B184,Setup!$A$9:$H$30,6,FALSE),""))</f>
        <v/>
      </c>
      <c r="I184" s="326">
        <f>IF(OR($C184="",$H184=""),"",$C184*$H184)</f>
        <v/>
      </c>
      <c r="J184" s="326">
        <f>IF(OR($E184="",$I184=""),"",$E184-$I184)</f>
        <v/>
      </c>
      <c r="K184" s="329">
        <f>IF($A184="","",IFERROR(VLOOKUP($A184,Invoices!$A$9:$X$108,2,FALSE),""))</f>
        <v/>
      </c>
      <c r="L184" s="325">
        <f>IF($A184="","",IFERROR(VLOOKUP($A184,Invoices!$A$9:$X$108,3,FALSE),""))</f>
        <v/>
      </c>
      <c r="M184" s="325">
        <f>IF($A184="","",IFERROR(VLOOKUP($A184,Invoices!$A$9:$X$108,4,FALSE),""))</f>
        <v/>
      </c>
      <c r="N184" s="325">
        <f>IF($A184="","",IFERROR(VLOOKUP($A184,Invoices!$A$9:$X$108,5,FALSE),""))</f>
        <v/>
      </c>
      <c r="O184" s="325">
        <f>IF(AND($A184="",$B184="",$C184="",$D184=""),"",IF(OR($A184="",$B184="",$C184&lt;=0,$D184&lt;=0,$F184="",$H184="",$K184=""),"REVIEW","OK"))</f>
        <v/>
      </c>
      <c r="P184" s="330">
        <f>IF($A184="","",LOWER($A184&amp;" "&amp;$B184&amp;" "&amp;$F184&amp;" "&amp;$G184&amp;" "&amp;$L184&amp;" "&amp;$M184&amp;" "&amp;$N184))</f>
        <v/>
      </c>
    </row>
    <row r="185">
      <c r="A185" s="205" t="n"/>
      <c r="B185" s="207" t="n"/>
      <c r="C185" s="350" t="n"/>
      <c r="D185" s="332" t="n"/>
      <c r="E185" s="326">
        <f>IF(OR($A185="",$B185="",$C185="",$D185=""),"",$C185*$D185)</f>
        <v/>
      </c>
      <c r="F185" s="325">
        <f>IF($B185="","",IFERROR(VLOOKUP($B185,Setup!$A$9:$H$30,2,FALSE),""))</f>
        <v/>
      </c>
      <c r="G185" s="325">
        <f>IF($B185="","",IFERROR(VLOOKUP($B185,Setup!$A$9:$H$30,5,FALSE),""))</f>
        <v/>
      </c>
      <c r="H185" s="326">
        <f>IF($B185="","",IFERROR(VLOOKUP($B185,Setup!$A$9:$H$30,6,FALSE),""))</f>
        <v/>
      </c>
      <c r="I185" s="326">
        <f>IF(OR($C185="",$H185=""),"",$C185*$H185)</f>
        <v/>
      </c>
      <c r="J185" s="326">
        <f>IF(OR($E185="",$I185=""),"",$E185-$I185)</f>
        <v/>
      </c>
      <c r="K185" s="329">
        <f>IF($A185="","",IFERROR(VLOOKUP($A185,Invoices!$A$9:$X$108,2,FALSE),""))</f>
        <v/>
      </c>
      <c r="L185" s="325">
        <f>IF($A185="","",IFERROR(VLOOKUP($A185,Invoices!$A$9:$X$108,3,FALSE),""))</f>
        <v/>
      </c>
      <c r="M185" s="325">
        <f>IF($A185="","",IFERROR(VLOOKUP($A185,Invoices!$A$9:$X$108,4,FALSE),""))</f>
        <v/>
      </c>
      <c r="N185" s="325">
        <f>IF($A185="","",IFERROR(VLOOKUP($A185,Invoices!$A$9:$X$108,5,FALSE),""))</f>
        <v/>
      </c>
      <c r="O185" s="325">
        <f>IF(AND($A185="",$B185="",$C185="",$D185=""),"",IF(OR($A185="",$B185="",$C185&lt;=0,$D185&lt;=0,$F185="",$H185="",$K185=""),"REVIEW","OK"))</f>
        <v/>
      </c>
      <c r="P185" s="330">
        <f>IF($A185="","",LOWER($A185&amp;" "&amp;$B185&amp;" "&amp;$F185&amp;" "&amp;$G185&amp;" "&amp;$L185&amp;" "&amp;$M185&amp;" "&amp;$N185))</f>
        <v/>
      </c>
    </row>
    <row r="186">
      <c r="A186" s="205" t="n"/>
      <c r="B186" s="207" t="n"/>
      <c r="C186" s="350" t="n"/>
      <c r="D186" s="332" t="n"/>
      <c r="E186" s="326">
        <f>IF(OR($A186="",$B186="",$C186="",$D186=""),"",$C186*$D186)</f>
        <v/>
      </c>
      <c r="F186" s="325">
        <f>IF($B186="","",IFERROR(VLOOKUP($B186,Setup!$A$9:$H$30,2,FALSE),""))</f>
        <v/>
      </c>
      <c r="G186" s="325">
        <f>IF($B186="","",IFERROR(VLOOKUP($B186,Setup!$A$9:$H$30,5,FALSE),""))</f>
        <v/>
      </c>
      <c r="H186" s="326">
        <f>IF($B186="","",IFERROR(VLOOKUP($B186,Setup!$A$9:$H$30,6,FALSE),""))</f>
        <v/>
      </c>
      <c r="I186" s="326">
        <f>IF(OR($C186="",$H186=""),"",$C186*$H186)</f>
        <v/>
      </c>
      <c r="J186" s="326">
        <f>IF(OR($E186="",$I186=""),"",$E186-$I186)</f>
        <v/>
      </c>
      <c r="K186" s="329">
        <f>IF($A186="","",IFERROR(VLOOKUP($A186,Invoices!$A$9:$X$108,2,FALSE),""))</f>
        <v/>
      </c>
      <c r="L186" s="325">
        <f>IF($A186="","",IFERROR(VLOOKUP($A186,Invoices!$A$9:$X$108,3,FALSE),""))</f>
        <v/>
      </c>
      <c r="M186" s="325">
        <f>IF($A186="","",IFERROR(VLOOKUP($A186,Invoices!$A$9:$X$108,4,FALSE),""))</f>
        <v/>
      </c>
      <c r="N186" s="325">
        <f>IF($A186="","",IFERROR(VLOOKUP($A186,Invoices!$A$9:$X$108,5,FALSE),""))</f>
        <v/>
      </c>
      <c r="O186" s="325">
        <f>IF(AND($A186="",$B186="",$C186="",$D186=""),"",IF(OR($A186="",$B186="",$C186&lt;=0,$D186&lt;=0,$F186="",$H186="",$K186=""),"REVIEW","OK"))</f>
        <v/>
      </c>
      <c r="P186" s="330">
        <f>IF($A186="","",LOWER($A186&amp;" "&amp;$B186&amp;" "&amp;$F186&amp;" "&amp;$G186&amp;" "&amp;$L186&amp;" "&amp;$M186&amp;" "&amp;$N186))</f>
        <v/>
      </c>
    </row>
    <row r="187">
      <c r="A187" s="205" t="n"/>
      <c r="B187" s="207" t="n"/>
      <c r="C187" s="350" t="n"/>
      <c r="D187" s="332" t="n"/>
      <c r="E187" s="326">
        <f>IF(OR($A187="",$B187="",$C187="",$D187=""),"",$C187*$D187)</f>
        <v/>
      </c>
      <c r="F187" s="325">
        <f>IF($B187="","",IFERROR(VLOOKUP($B187,Setup!$A$9:$H$30,2,FALSE),""))</f>
        <v/>
      </c>
      <c r="G187" s="325">
        <f>IF($B187="","",IFERROR(VLOOKUP($B187,Setup!$A$9:$H$30,5,FALSE),""))</f>
        <v/>
      </c>
      <c r="H187" s="326">
        <f>IF($B187="","",IFERROR(VLOOKUP($B187,Setup!$A$9:$H$30,6,FALSE),""))</f>
        <v/>
      </c>
      <c r="I187" s="326">
        <f>IF(OR($C187="",$H187=""),"",$C187*$H187)</f>
        <v/>
      </c>
      <c r="J187" s="326">
        <f>IF(OR($E187="",$I187=""),"",$E187-$I187)</f>
        <v/>
      </c>
      <c r="K187" s="329">
        <f>IF($A187="","",IFERROR(VLOOKUP($A187,Invoices!$A$9:$X$108,2,FALSE),""))</f>
        <v/>
      </c>
      <c r="L187" s="325">
        <f>IF($A187="","",IFERROR(VLOOKUP($A187,Invoices!$A$9:$X$108,3,FALSE),""))</f>
        <v/>
      </c>
      <c r="M187" s="325">
        <f>IF($A187="","",IFERROR(VLOOKUP($A187,Invoices!$A$9:$X$108,4,FALSE),""))</f>
        <v/>
      </c>
      <c r="N187" s="325">
        <f>IF($A187="","",IFERROR(VLOOKUP($A187,Invoices!$A$9:$X$108,5,FALSE),""))</f>
        <v/>
      </c>
      <c r="O187" s="325">
        <f>IF(AND($A187="",$B187="",$C187="",$D187=""),"",IF(OR($A187="",$B187="",$C187&lt;=0,$D187&lt;=0,$F187="",$H187="",$K187=""),"REVIEW","OK"))</f>
        <v/>
      </c>
      <c r="P187" s="330">
        <f>IF($A187="","",LOWER($A187&amp;" "&amp;$B187&amp;" "&amp;$F187&amp;" "&amp;$G187&amp;" "&amp;$L187&amp;" "&amp;$M187&amp;" "&amp;$N187))</f>
        <v/>
      </c>
    </row>
    <row r="188">
      <c r="A188" s="205" t="n"/>
      <c r="B188" s="207" t="n"/>
      <c r="C188" s="350" t="n"/>
      <c r="D188" s="332" t="n"/>
      <c r="E188" s="326">
        <f>IF(OR($A188="",$B188="",$C188="",$D188=""),"",$C188*$D188)</f>
        <v/>
      </c>
      <c r="F188" s="325">
        <f>IF($B188="","",IFERROR(VLOOKUP($B188,Setup!$A$9:$H$30,2,FALSE),""))</f>
        <v/>
      </c>
      <c r="G188" s="325">
        <f>IF($B188="","",IFERROR(VLOOKUP($B188,Setup!$A$9:$H$30,5,FALSE),""))</f>
        <v/>
      </c>
      <c r="H188" s="326">
        <f>IF($B188="","",IFERROR(VLOOKUP($B188,Setup!$A$9:$H$30,6,FALSE),""))</f>
        <v/>
      </c>
      <c r="I188" s="326">
        <f>IF(OR($C188="",$H188=""),"",$C188*$H188)</f>
        <v/>
      </c>
      <c r="J188" s="326">
        <f>IF(OR($E188="",$I188=""),"",$E188-$I188)</f>
        <v/>
      </c>
      <c r="K188" s="329">
        <f>IF($A188="","",IFERROR(VLOOKUP($A188,Invoices!$A$9:$X$108,2,FALSE),""))</f>
        <v/>
      </c>
      <c r="L188" s="325">
        <f>IF($A188="","",IFERROR(VLOOKUP($A188,Invoices!$A$9:$X$108,3,FALSE),""))</f>
        <v/>
      </c>
      <c r="M188" s="325">
        <f>IF($A188="","",IFERROR(VLOOKUP($A188,Invoices!$A$9:$X$108,4,FALSE),""))</f>
        <v/>
      </c>
      <c r="N188" s="325">
        <f>IF($A188="","",IFERROR(VLOOKUP($A188,Invoices!$A$9:$X$108,5,FALSE),""))</f>
        <v/>
      </c>
      <c r="O188" s="325">
        <f>IF(AND($A188="",$B188="",$C188="",$D188=""),"",IF(OR($A188="",$B188="",$C188&lt;=0,$D188&lt;=0,$F188="",$H188="",$K188=""),"REVIEW","OK"))</f>
        <v/>
      </c>
      <c r="P188" s="330">
        <f>IF($A188="","",LOWER($A188&amp;" "&amp;$B188&amp;" "&amp;$F188&amp;" "&amp;$G188&amp;" "&amp;$L188&amp;" "&amp;$M188&amp;" "&amp;$N188))</f>
        <v/>
      </c>
    </row>
    <row r="189">
      <c r="A189" s="205" t="n"/>
      <c r="B189" s="207" t="n"/>
      <c r="C189" s="350" t="n"/>
      <c r="D189" s="332" t="n"/>
      <c r="E189" s="326">
        <f>IF(OR($A189="",$B189="",$C189="",$D189=""),"",$C189*$D189)</f>
        <v/>
      </c>
      <c r="F189" s="325">
        <f>IF($B189="","",IFERROR(VLOOKUP($B189,Setup!$A$9:$H$30,2,FALSE),""))</f>
        <v/>
      </c>
      <c r="G189" s="325">
        <f>IF($B189="","",IFERROR(VLOOKUP($B189,Setup!$A$9:$H$30,5,FALSE),""))</f>
        <v/>
      </c>
      <c r="H189" s="326">
        <f>IF($B189="","",IFERROR(VLOOKUP($B189,Setup!$A$9:$H$30,6,FALSE),""))</f>
        <v/>
      </c>
      <c r="I189" s="326">
        <f>IF(OR($C189="",$H189=""),"",$C189*$H189)</f>
        <v/>
      </c>
      <c r="J189" s="326">
        <f>IF(OR($E189="",$I189=""),"",$E189-$I189)</f>
        <v/>
      </c>
      <c r="K189" s="329">
        <f>IF($A189="","",IFERROR(VLOOKUP($A189,Invoices!$A$9:$X$108,2,FALSE),""))</f>
        <v/>
      </c>
      <c r="L189" s="325">
        <f>IF($A189="","",IFERROR(VLOOKUP($A189,Invoices!$A$9:$X$108,3,FALSE),""))</f>
        <v/>
      </c>
      <c r="M189" s="325">
        <f>IF($A189="","",IFERROR(VLOOKUP($A189,Invoices!$A$9:$X$108,4,FALSE),""))</f>
        <v/>
      </c>
      <c r="N189" s="325">
        <f>IF($A189="","",IFERROR(VLOOKUP($A189,Invoices!$A$9:$X$108,5,FALSE),""))</f>
        <v/>
      </c>
      <c r="O189" s="325">
        <f>IF(AND($A189="",$B189="",$C189="",$D189=""),"",IF(OR($A189="",$B189="",$C189&lt;=0,$D189&lt;=0,$F189="",$H189="",$K189=""),"REVIEW","OK"))</f>
        <v/>
      </c>
      <c r="P189" s="330">
        <f>IF($A189="","",LOWER($A189&amp;" "&amp;$B189&amp;" "&amp;$F189&amp;" "&amp;$G189&amp;" "&amp;$L189&amp;" "&amp;$M189&amp;" "&amp;$N189))</f>
        <v/>
      </c>
    </row>
    <row r="190">
      <c r="A190" s="205" t="n"/>
      <c r="B190" s="207" t="n"/>
      <c r="C190" s="350" t="n"/>
      <c r="D190" s="332" t="n"/>
      <c r="E190" s="326">
        <f>IF(OR($A190="",$B190="",$C190="",$D190=""),"",$C190*$D190)</f>
        <v/>
      </c>
      <c r="F190" s="325">
        <f>IF($B190="","",IFERROR(VLOOKUP($B190,Setup!$A$9:$H$30,2,FALSE),""))</f>
        <v/>
      </c>
      <c r="G190" s="325">
        <f>IF($B190="","",IFERROR(VLOOKUP($B190,Setup!$A$9:$H$30,5,FALSE),""))</f>
        <v/>
      </c>
      <c r="H190" s="326">
        <f>IF($B190="","",IFERROR(VLOOKUP($B190,Setup!$A$9:$H$30,6,FALSE),""))</f>
        <v/>
      </c>
      <c r="I190" s="326">
        <f>IF(OR($C190="",$H190=""),"",$C190*$H190)</f>
        <v/>
      </c>
      <c r="J190" s="326">
        <f>IF(OR($E190="",$I190=""),"",$E190-$I190)</f>
        <v/>
      </c>
      <c r="K190" s="329">
        <f>IF($A190="","",IFERROR(VLOOKUP($A190,Invoices!$A$9:$X$108,2,FALSE),""))</f>
        <v/>
      </c>
      <c r="L190" s="325">
        <f>IF($A190="","",IFERROR(VLOOKUP($A190,Invoices!$A$9:$X$108,3,FALSE),""))</f>
        <v/>
      </c>
      <c r="M190" s="325">
        <f>IF($A190="","",IFERROR(VLOOKUP($A190,Invoices!$A$9:$X$108,4,FALSE),""))</f>
        <v/>
      </c>
      <c r="N190" s="325">
        <f>IF($A190="","",IFERROR(VLOOKUP($A190,Invoices!$A$9:$X$108,5,FALSE),""))</f>
        <v/>
      </c>
      <c r="O190" s="325">
        <f>IF(AND($A190="",$B190="",$C190="",$D190=""),"",IF(OR($A190="",$B190="",$C190&lt;=0,$D190&lt;=0,$F190="",$H190="",$K190=""),"REVIEW","OK"))</f>
        <v/>
      </c>
      <c r="P190" s="330">
        <f>IF($A190="","",LOWER($A190&amp;" "&amp;$B190&amp;" "&amp;$F190&amp;" "&amp;$G190&amp;" "&amp;$L190&amp;" "&amp;$M190&amp;" "&amp;$N190))</f>
        <v/>
      </c>
    </row>
    <row r="191">
      <c r="A191" s="205" t="n"/>
      <c r="B191" s="207" t="n"/>
      <c r="C191" s="350" t="n"/>
      <c r="D191" s="332" t="n"/>
      <c r="E191" s="326">
        <f>IF(OR($A191="",$B191="",$C191="",$D191=""),"",$C191*$D191)</f>
        <v/>
      </c>
      <c r="F191" s="325">
        <f>IF($B191="","",IFERROR(VLOOKUP($B191,Setup!$A$9:$H$30,2,FALSE),""))</f>
        <v/>
      </c>
      <c r="G191" s="325">
        <f>IF($B191="","",IFERROR(VLOOKUP($B191,Setup!$A$9:$H$30,5,FALSE),""))</f>
        <v/>
      </c>
      <c r="H191" s="326">
        <f>IF($B191="","",IFERROR(VLOOKUP($B191,Setup!$A$9:$H$30,6,FALSE),""))</f>
        <v/>
      </c>
      <c r="I191" s="326">
        <f>IF(OR($C191="",$H191=""),"",$C191*$H191)</f>
        <v/>
      </c>
      <c r="J191" s="326">
        <f>IF(OR($E191="",$I191=""),"",$E191-$I191)</f>
        <v/>
      </c>
      <c r="K191" s="329">
        <f>IF($A191="","",IFERROR(VLOOKUP($A191,Invoices!$A$9:$X$108,2,FALSE),""))</f>
        <v/>
      </c>
      <c r="L191" s="325">
        <f>IF($A191="","",IFERROR(VLOOKUP($A191,Invoices!$A$9:$X$108,3,FALSE),""))</f>
        <v/>
      </c>
      <c r="M191" s="325">
        <f>IF($A191="","",IFERROR(VLOOKUP($A191,Invoices!$A$9:$X$108,4,FALSE),""))</f>
        <v/>
      </c>
      <c r="N191" s="325">
        <f>IF($A191="","",IFERROR(VLOOKUP($A191,Invoices!$A$9:$X$108,5,FALSE),""))</f>
        <v/>
      </c>
      <c r="O191" s="325">
        <f>IF(AND($A191="",$B191="",$C191="",$D191=""),"",IF(OR($A191="",$B191="",$C191&lt;=0,$D191&lt;=0,$F191="",$H191="",$K191=""),"REVIEW","OK"))</f>
        <v/>
      </c>
      <c r="P191" s="330">
        <f>IF($A191="","",LOWER($A191&amp;" "&amp;$B191&amp;" "&amp;$F191&amp;" "&amp;$G191&amp;" "&amp;$L191&amp;" "&amp;$M191&amp;" "&amp;$N191))</f>
        <v/>
      </c>
    </row>
    <row r="192">
      <c r="A192" s="205" t="n"/>
      <c r="B192" s="207" t="n"/>
      <c r="C192" s="350" t="n"/>
      <c r="D192" s="332" t="n"/>
      <c r="E192" s="326">
        <f>IF(OR($A192="",$B192="",$C192="",$D192=""),"",$C192*$D192)</f>
        <v/>
      </c>
      <c r="F192" s="325">
        <f>IF($B192="","",IFERROR(VLOOKUP($B192,Setup!$A$9:$H$30,2,FALSE),""))</f>
        <v/>
      </c>
      <c r="G192" s="325">
        <f>IF($B192="","",IFERROR(VLOOKUP($B192,Setup!$A$9:$H$30,5,FALSE),""))</f>
        <v/>
      </c>
      <c r="H192" s="326">
        <f>IF($B192="","",IFERROR(VLOOKUP($B192,Setup!$A$9:$H$30,6,FALSE),""))</f>
        <v/>
      </c>
      <c r="I192" s="326">
        <f>IF(OR($C192="",$H192=""),"",$C192*$H192)</f>
        <v/>
      </c>
      <c r="J192" s="326">
        <f>IF(OR($E192="",$I192=""),"",$E192-$I192)</f>
        <v/>
      </c>
      <c r="K192" s="329">
        <f>IF($A192="","",IFERROR(VLOOKUP($A192,Invoices!$A$9:$X$108,2,FALSE),""))</f>
        <v/>
      </c>
      <c r="L192" s="325">
        <f>IF($A192="","",IFERROR(VLOOKUP($A192,Invoices!$A$9:$X$108,3,FALSE),""))</f>
        <v/>
      </c>
      <c r="M192" s="325">
        <f>IF($A192="","",IFERROR(VLOOKUP($A192,Invoices!$A$9:$X$108,4,FALSE),""))</f>
        <v/>
      </c>
      <c r="N192" s="325">
        <f>IF($A192="","",IFERROR(VLOOKUP($A192,Invoices!$A$9:$X$108,5,FALSE),""))</f>
        <v/>
      </c>
      <c r="O192" s="325">
        <f>IF(AND($A192="",$B192="",$C192="",$D192=""),"",IF(OR($A192="",$B192="",$C192&lt;=0,$D192&lt;=0,$F192="",$H192="",$K192=""),"REVIEW","OK"))</f>
        <v/>
      </c>
      <c r="P192" s="330">
        <f>IF($A192="","",LOWER($A192&amp;" "&amp;$B192&amp;" "&amp;$F192&amp;" "&amp;$G192&amp;" "&amp;$L192&amp;" "&amp;$M192&amp;" "&amp;$N192))</f>
        <v/>
      </c>
    </row>
    <row r="193">
      <c r="A193" s="205" t="n"/>
      <c r="B193" s="207" t="n"/>
      <c r="C193" s="350" t="n"/>
      <c r="D193" s="332" t="n"/>
      <c r="E193" s="326">
        <f>IF(OR($A193="",$B193="",$C193="",$D193=""),"",$C193*$D193)</f>
        <v/>
      </c>
      <c r="F193" s="325">
        <f>IF($B193="","",IFERROR(VLOOKUP($B193,Setup!$A$9:$H$30,2,FALSE),""))</f>
        <v/>
      </c>
      <c r="G193" s="325">
        <f>IF($B193="","",IFERROR(VLOOKUP($B193,Setup!$A$9:$H$30,5,FALSE),""))</f>
        <v/>
      </c>
      <c r="H193" s="326">
        <f>IF($B193="","",IFERROR(VLOOKUP($B193,Setup!$A$9:$H$30,6,FALSE),""))</f>
        <v/>
      </c>
      <c r="I193" s="326">
        <f>IF(OR($C193="",$H193=""),"",$C193*$H193)</f>
        <v/>
      </c>
      <c r="J193" s="326">
        <f>IF(OR($E193="",$I193=""),"",$E193-$I193)</f>
        <v/>
      </c>
      <c r="K193" s="329">
        <f>IF($A193="","",IFERROR(VLOOKUP($A193,Invoices!$A$9:$X$108,2,FALSE),""))</f>
        <v/>
      </c>
      <c r="L193" s="325">
        <f>IF($A193="","",IFERROR(VLOOKUP($A193,Invoices!$A$9:$X$108,3,FALSE),""))</f>
        <v/>
      </c>
      <c r="M193" s="325">
        <f>IF($A193="","",IFERROR(VLOOKUP($A193,Invoices!$A$9:$X$108,4,FALSE),""))</f>
        <v/>
      </c>
      <c r="N193" s="325">
        <f>IF($A193="","",IFERROR(VLOOKUP($A193,Invoices!$A$9:$X$108,5,FALSE),""))</f>
        <v/>
      </c>
      <c r="O193" s="325">
        <f>IF(AND($A193="",$B193="",$C193="",$D193=""),"",IF(OR($A193="",$B193="",$C193&lt;=0,$D193&lt;=0,$F193="",$H193="",$K193=""),"REVIEW","OK"))</f>
        <v/>
      </c>
      <c r="P193" s="330">
        <f>IF($A193="","",LOWER($A193&amp;" "&amp;$B193&amp;" "&amp;$F193&amp;" "&amp;$G193&amp;" "&amp;$L193&amp;" "&amp;$M193&amp;" "&amp;$N193))</f>
        <v/>
      </c>
    </row>
    <row r="194">
      <c r="A194" s="205" t="n"/>
      <c r="B194" s="207" t="n"/>
      <c r="C194" s="350" t="n"/>
      <c r="D194" s="332" t="n"/>
      <c r="E194" s="326">
        <f>IF(OR($A194="",$B194="",$C194="",$D194=""),"",$C194*$D194)</f>
        <v/>
      </c>
      <c r="F194" s="325">
        <f>IF($B194="","",IFERROR(VLOOKUP($B194,Setup!$A$9:$H$30,2,FALSE),""))</f>
        <v/>
      </c>
      <c r="G194" s="325">
        <f>IF($B194="","",IFERROR(VLOOKUP($B194,Setup!$A$9:$H$30,5,FALSE),""))</f>
        <v/>
      </c>
      <c r="H194" s="326">
        <f>IF($B194="","",IFERROR(VLOOKUP($B194,Setup!$A$9:$H$30,6,FALSE),""))</f>
        <v/>
      </c>
      <c r="I194" s="326">
        <f>IF(OR($C194="",$H194=""),"",$C194*$H194)</f>
        <v/>
      </c>
      <c r="J194" s="326">
        <f>IF(OR($E194="",$I194=""),"",$E194-$I194)</f>
        <v/>
      </c>
      <c r="K194" s="329">
        <f>IF($A194="","",IFERROR(VLOOKUP($A194,Invoices!$A$9:$X$108,2,FALSE),""))</f>
        <v/>
      </c>
      <c r="L194" s="325">
        <f>IF($A194="","",IFERROR(VLOOKUP($A194,Invoices!$A$9:$X$108,3,FALSE),""))</f>
        <v/>
      </c>
      <c r="M194" s="325">
        <f>IF($A194="","",IFERROR(VLOOKUP($A194,Invoices!$A$9:$X$108,4,FALSE),""))</f>
        <v/>
      </c>
      <c r="N194" s="325">
        <f>IF($A194="","",IFERROR(VLOOKUP($A194,Invoices!$A$9:$X$108,5,FALSE),""))</f>
        <v/>
      </c>
      <c r="O194" s="325">
        <f>IF(AND($A194="",$B194="",$C194="",$D194=""),"",IF(OR($A194="",$B194="",$C194&lt;=0,$D194&lt;=0,$F194="",$H194="",$K194=""),"REVIEW","OK"))</f>
        <v/>
      </c>
      <c r="P194" s="330">
        <f>IF($A194="","",LOWER($A194&amp;" "&amp;$B194&amp;" "&amp;$F194&amp;" "&amp;$G194&amp;" "&amp;$L194&amp;" "&amp;$M194&amp;" "&amp;$N194))</f>
        <v/>
      </c>
    </row>
    <row r="195">
      <c r="A195" s="205" t="n"/>
      <c r="B195" s="207" t="n"/>
      <c r="C195" s="350" t="n"/>
      <c r="D195" s="332" t="n"/>
      <c r="E195" s="326">
        <f>IF(OR($A195="",$B195="",$C195="",$D195=""),"",$C195*$D195)</f>
        <v/>
      </c>
      <c r="F195" s="325">
        <f>IF($B195="","",IFERROR(VLOOKUP($B195,Setup!$A$9:$H$30,2,FALSE),""))</f>
        <v/>
      </c>
      <c r="G195" s="325">
        <f>IF($B195="","",IFERROR(VLOOKUP($B195,Setup!$A$9:$H$30,5,FALSE),""))</f>
        <v/>
      </c>
      <c r="H195" s="326">
        <f>IF($B195="","",IFERROR(VLOOKUP($B195,Setup!$A$9:$H$30,6,FALSE),""))</f>
        <v/>
      </c>
      <c r="I195" s="326">
        <f>IF(OR($C195="",$H195=""),"",$C195*$H195)</f>
        <v/>
      </c>
      <c r="J195" s="326">
        <f>IF(OR($E195="",$I195=""),"",$E195-$I195)</f>
        <v/>
      </c>
      <c r="K195" s="329">
        <f>IF($A195="","",IFERROR(VLOOKUP($A195,Invoices!$A$9:$X$108,2,FALSE),""))</f>
        <v/>
      </c>
      <c r="L195" s="325">
        <f>IF($A195="","",IFERROR(VLOOKUP($A195,Invoices!$A$9:$X$108,3,FALSE),""))</f>
        <v/>
      </c>
      <c r="M195" s="325">
        <f>IF($A195="","",IFERROR(VLOOKUP($A195,Invoices!$A$9:$X$108,4,FALSE),""))</f>
        <v/>
      </c>
      <c r="N195" s="325">
        <f>IF($A195="","",IFERROR(VLOOKUP($A195,Invoices!$A$9:$X$108,5,FALSE),""))</f>
        <v/>
      </c>
      <c r="O195" s="325">
        <f>IF(AND($A195="",$B195="",$C195="",$D195=""),"",IF(OR($A195="",$B195="",$C195&lt;=0,$D195&lt;=0,$F195="",$H195="",$K195=""),"REVIEW","OK"))</f>
        <v/>
      </c>
      <c r="P195" s="330">
        <f>IF($A195="","",LOWER($A195&amp;" "&amp;$B195&amp;" "&amp;$F195&amp;" "&amp;$G195&amp;" "&amp;$L195&amp;" "&amp;$M195&amp;" "&amp;$N195))</f>
        <v/>
      </c>
    </row>
    <row r="196">
      <c r="A196" s="205" t="n"/>
      <c r="B196" s="207" t="n"/>
      <c r="C196" s="350" t="n"/>
      <c r="D196" s="332" t="n"/>
      <c r="E196" s="326">
        <f>IF(OR($A196="",$B196="",$C196="",$D196=""),"",$C196*$D196)</f>
        <v/>
      </c>
      <c r="F196" s="325">
        <f>IF($B196="","",IFERROR(VLOOKUP($B196,Setup!$A$9:$H$30,2,FALSE),""))</f>
        <v/>
      </c>
      <c r="G196" s="325">
        <f>IF($B196="","",IFERROR(VLOOKUP($B196,Setup!$A$9:$H$30,5,FALSE),""))</f>
        <v/>
      </c>
      <c r="H196" s="326">
        <f>IF($B196="","",IFERROR(VLOOKUP($B196,Setup!$A$9:$H$30,6,FALSE),""))</f>
        <v/>
      </c>
      <c r="I196" s="326">
        <f>IF(OR($C196="",$H196=""),"",$C196*$H196)</f>
        <v/>
      </c>
      <c r="J196" s="326">
        <f>IF(OR($E196="",$I196=""),"",$E196-$I196)</f>
        <v/>
      </c>
      <c r="K196" s="329">
        <f>IF($A196="","",IFERROR(VLOOKUP($A196,Invoices!$A$9:$X$108,2,FALSE),""))</f>
        <v/>
      </c>
      <c r="L196" s="325">
        <f>IF($A196="","",IFERROR(VLOOKUP($A196,Invoices!$A$9:$X$108,3,FALSE),""))</f>
        <v/>
      </c>
      <c r="M196" s="325">
        <f>IF($A196="","",IFERROR(VLOOKUP($A196,Invoices!$A$9:$X$108,4,FALSE),""))</f>
        <v/>
      </c>
      <c r="N196" s="325">
        <f>IF($A196="","",IFERROR(VLOOKUP($A196,Invoices!$A$9:$X$108,5,FALSE),""))</f>
        <v/>
      </c>
      <c r="O196" s="325">
        <f>IF(AND($A196="",$B196="",$C196="",$D196=""),"",IF(OR($A196="",$B196="",$C196&lt;=0,$D196&lt;=0,$F196="",$H196="",$K196=""),"REVIEW","OK"))</f>
        <v/>
      </c>
      <c r="P196" s="330">
        <f>IF($A196="","",LOWER($A196&amp;" "&amp;$B196&amp;" "&amp;$F196&amp;" "&amp;$G196&amp;" "&amp;$L196&amp;" "&amp;$M196&amp;" "&amp;$N196))</f>
        <v/>
      </c>
    </row>
    <row r="197">
      <c r="A197" s="205" t="n"/>
      <c r="B197" s="207" t="n"/>
      <c r="C197" s="350" t="n"/>
      <c r="D197" s="332" t="n"/>
      <c r="E197" s="326">
        <f>IF(OR($A197="",$B197="",$C197="",$D197=""),"",$C197*$D197)</f>
        <v/>
      </c>
      <c r="F197" s="325">
        <f>IF($B197="","",IFERROR(VLOOKUP($B197,Setup!$A$9:$H$30,2,FALSE),""))</f>
        <v/>
      </c>
      <c r="G197" s="325">
        <f>IF($B197="","",IFERROR(VLOOKUP($B197,Setup!$A$9:$H$30,5,FALSE),""))</f>
        <v/>
      </c>
      <c r="H197" s="326">
        <f>IF($B197="","",IFERROR(VLOOKUP($B197,Setup!$A$9:$H$30,6,FALSE),""))</f>
        <v/>
      </c>
      <c r="I197" s="326">
        <f>IF(OR($C197="",$H197=""),"",$C197*$H197)</f>
        <v/>
      </c>
      <c r="J197" s="326">
        <f>IF(OR($E197="",$I197=""),"",$E197-$I197)</f>
        <v/>
      </c>
      <c r="K197" s="329">
        <f>IF($A197="","",IFERROR(VLOOKUP($A197,Invoices!$A$9:$X$108,2,FALSE),""))</f>
        <v/>
      </c>
      <c r="L197" s="325">
        <f>IF($A197="","",IFERROR(VLOOKUP($A197,Invoices!$A$9:$X$108,3,FALSE),""))</f>
        <v/>
      </c>
      <c r="M197" s="325">
        <f>IF($A197="","",IFERROR(VLOOKUP($A197,Invoices!$A$9:$X$108,4,FALSE),""))</f>
        <v/>
      </c>
      <c r="N197" s="325">
        <f>IF($A197="","",IFERROR(VLOOKUP($A197,Invoices!$A$9:$X$108,5,FALSE),""))</f>
        <v/>
      </c>
      <c r="O197" s="325">
        <f>IF(AND($A197="",$B197="",$C197="",$D197=""),"",IF(OR($A197="",$B197="",$C197&lt;=0,$D197&lt;=0,$F197="",$H197="",$K197=""),"REVIEW","OK"))</f>
        <v/>
      </c>
      <c r="P197" s="330">
        <f>IF($A197="","",LOWER($A197&amp;" "&amp;$B197&amp;" "&amp;$F197&amp;" "&amp;$G197&amp;" "&amp;$L197&amp;" "&amp;$M197&amp;" "&amp;$N197))</f>
        <v/>
      </c>
    </row>
    <row r="198">
      <c r="A198" s="205" t="n"/>
      <c r="B198" s="207" t="n"/>
      <c r="C198" s="350" t="n"/>
      <c r="D198" s="332" t="n"/>
      <c r="E198" s="326">
        <f>IF(OR($A198="",$B198="",$C198="",$D198=""),"",$C198*$D198)</f>
        <v/>
      </c>
      <c r="F198" s="325">
        <f>IF($B198="","",IFERROR(VLOOKUP($B198,Setup!$A$9:$H$30,2,FALSE),""))</f>
        <v/>
      </c>
      <c r="G198" s="325">
        <f>IF($B198="","",IFERROR(VLOOKUP($B198,Setup!$A$9:$H$30,5,FALSE),""))</f>
        <v/>
      </c>
      <c r="H198" s="326">
        <f>IF($B198="","",IFERROR(VLOOKUP($B198,Setup!$A$9:$H$30,6,FALSE),""))</f>
        <v/>
      </c>
      <c r="I198" s="326">
        <f>IF(OR($C198="",$H198=""),"",$C198*$H198)</f>
        <v/>
      </c>
      <c r="J198" s="326">
        <f>IF(OR($E198="",$I198=""),"",$E198-$I198)</f>
        <v/>
      </c>
      <c r="K198" s="329">
        <f>IF($A198="","",IFERROR(VLOOKUP($A198,Invoices!$A$9:$X$108,2,FALSE),""))</f>
        <v/>
      </c>
      <c r="L198" s="325">
        <f>IF($A198="","",IFERROR(VLOOKUP($A198,Invoices!$A$9:$X$108,3,FALSE),""))</f>
        <v/>
      </c>
      <c r="M198" s="325">
        <f>IF($A198="","",IFERROR(VLOOKUP($A198,Invoices!$A$9:$X$108,4,FALSE),""))</f>
        <v/>
      </c>
      <c r="N198" s="325">
        <f>IF($A198="","",IFERROR(VLOOKUP($A198,Invoices!$A$9:$X$108,5,FALSE),""))</f>
        <v/>
      </c>
      <c r="O198" s="325">
        <f>IF(AND($A198="",$B198="",$C198="",$D198=""),"",IF(OR($A198="",$B198="",$C198&lt;=0,$D198&lt;=0,$F198="",$H198="",$K198=""),"REVIEW","OK"))</f>
        <v/>
      </c>
      <c r="P198" s="330">
        <f>IF($A198="","",LOWER($A198&amp;" "&amp;$B198&amp;" "&amp;$F198&amp;" "&amp;$G198&amp;" "&amp;$L198&amp;" "&amp;$M198&amp;" "&amp;$N198))</f>
        <v/>
      </c>
    </row>
    <row r="199">
      <c r="A199" s="205" t="n"/>
      <c r="B199" s="207" t="n"/>
      <c r="C199" s="350" t="n"/>
      <c r="D199" s="332" t="n"/>
      <c r="E199" s="326">
        <f>IF(OR($A199="",$B199="",$C199="",$D199=""),"",$C199*$D199)</f>
        <v/>
      </c>
      <c r="F199" s="325">
        <f>IF($B199="","",IFERROR(VLOOKUP($B199,Setup!$A$9:$H$30,2,FALSE),""))</f>
        <v/>
      </c>
      <c r="G199" s="325">
        <f>IF($B199="","",IFERROR(VLOOKUP($B199,Setup!$A$9:$H$30,5,FALSE),""))</f>
        <v/>
      </c>
      <c r="H199" s="326">
        <f>IF($B199="","",IFERROR(VLOOKUP($B199,Setup!$A$9:$H$30,6,FALSE),""))</f>
        <v/>
      </c>
      <c r="I199" s="326">
        <f>IF(OR($C199="",$H199=""),"",$C199*$H199)</f>
        <v/>
      </c>
      <c r="J199" s="326">
        <f>IF(OR($E199="",$I199=""),"",$E199-$I199)</f>
        <v/>
      </c>
      <c r="K199" s="329">
        <f>IF($A199="","",IFERROR(VLOOKUP($A199,Invoices!$A$9:$X$108,2,FALSE),""))</f>
        <v/>
      </c>
      <c r="L199" s="325">
        <f>IF($A199="","",IFERROR(VLOOKUP($A199,Invoices!$A$9:$X$108,3,FALSE),""))</f>
        <v/>
      </c>
      <c r="M199" s="325">
        <f>IF($A199="","",IFERROR(VLOOKUP($A199,Invoices!$A$9:$X$108,4,FALSE),""))</f>
        <v/>
      </c>
      <c r="N199" s="325">
        <f>IF($A199="","",IFERROR(VLOOKUP($A199,Invoices!$A$9:$X$108,5,FALSE),""))</f>
        <v/>
      </c>
      <c r="O199" s="325">
        <f>IF(AND($A199="",$B199="",$C199="",$D199=""),"",IF(OR($A199="",$B199="",$C199&lt;=0,$D199&lt;=0,$F199="",$H199="",$K199=""),"REVIEW","OK"))</f>
        <v/>
      </c>
      <c r="P199" s="330">
        <f>IF($A199="","",LOWER($A199&amp;" "&amp;$B199&amp;" "&amp;$F199&amp;" "&amp;$G199&amp;" "&amp;$L199&amp;" "&amp;$M199&amp;" "&amp;$N199))</f>
        <v/>
      </c>
    </row>
    <row r="200">
      <c r="A200" s="205" t="n"/>
      <c r="B200" s="207" t="n"/>
      <c r="C200" s="350" t="n"/>
      <c r="D200" s="332" t="n"/>
      <c r="E200" s="326">
        <f>IF(OR($A200="",$B200="",$C200="",$D200=""),"",$C200*$D200)</f>
        <v/>
      </c>
      <c r="F200" s="325">
        <f>IF($B200="","",IFERROR(VLOOKUP($B200,Setup!$A$9:$H$30,2,FALSE),""))</f>
        <v/>
      </c>
      <c r="G200" s="325">
        <f>IF($B200="","",IFERROR(VLOOKUP($B200,Setup!$A$9:$H$30,5,FALSE),""))</f>
        <v/>
      </c>
      <c r="H200" s="326">
        <f>IF($B200="","",IFERROR(VLOOKUP($B200,Setup!$A$9:$H$30,6,FALSE),""))</f>
        <v/>
      </c>
      <c r="I200" s="326">
        <f>IF(OR($C200="",$H200=""),"",$C200*$H200)</f>
        <v/>
      </c>
      <c r="J200" s="326">
        <f>IF(OR($E200="",$I200=""),"",$E200-$I200)</f>
        <v/>
      </c>
      <c r="K200" s="329">
        <f>IF($A200="","",IFERROR(VLOOKUP($A200,Invoices!$A$9:$X$108,2,FALSE),""))</f>
        <v/>
      </c>
      <c r="L200" s="325">
        <f>IF($A200="","",IFERROR(VLOOKUP($A200,Invoices!$A$9:$X$108,3,FALSE),""))</f>
        <v/>
      </c>
      <c r="M200" s="325">
        <f>IF($A200="","",IFERROR(VLOOKUP($A200,Invoices!$A$9:$X$108,4,FALSE),""))</f>
        <v/>
      </c>
      <c r="N200" s="325">
        <f>IF($A200="","",IFERROR(VLOOKUP($A200,Invoices!$A$9:$X$108,5,FALSE),""))</f>
        <v/>
      </c>
      <c r="O200" s="325">
        <f>IF(AND($A200="",$B200="",$C200="",$D200=""),"",IF(OR($A200="",$B200="",$C200&lt;=0,$D200&lt;=0,$F200="",$H200="",$K200=""),"REVIEW","OK"))</f>
        <v/>
      </c>
      <c r="P200" s="330">
        <f>IF($A200="","",LOWER($A200&amp;" "&amp;$B200&amp;" "&amp;$F200&amp;" "&amp;$G200&amp;" "&amp;$L200&amp;" "&amp;$M200&amp;" "&amp;$N200))</f>
        <v/>
      </c>
    </row>
    <row r="201">
      <c r="A201" s="205" t="n"/>
      <c r="B201" s="207" t="n"/>
      <c r="C201" s="350" t="n"/>
      <c r="D201" s="332" t="n"/>
      <c r="E201" s="326">
        <f>IF(OR($A201="",$B201="",$C201="",$D201=""),"",$C201*$D201)</f>
        <v/>
      </c>
      <c r="F201" s="325">
        <f>IF($B201="","",IFERROR(VLOOKUP($B201,Setup!$A$9:$H$30,2,FALSE),""))</f>
        <v/>
      </c>
      <c r="G201" s="325">
        <f>IF($B201="","",IFERROR(VLOOKUP($B201,Setup!$A$9:$H$30,5,FALSE),""))</f>
        <v/>
      </c>
      <c r="H201" s="326">
        <f>IF($B201="","",IFERROR(VLOOKUP($B201,Setup!$A$9:$H$30,6,FALSE),""))</f>
        <v/>
      </c>
      <c r="I201" s="326">
        <f>IF(OR($C201="",$H201=""),"",$C201*$H201)</f>
        <v/>
      </c>
      <c r="J201" s="326">
        <f>IF(OR($E201="",$I201=""),"",$E201-$I201)</f>
        <v/>
      </c>
      <c r="K201" s="329">
        <f>IF($A201="","",IFERROR(VLOOKUP($A201,Invoices!$A$9:$X$108,2,FALSE),""))</f>
        <v/>
      </c>
      <c r="L201" s="325">
        <f>IF($A201="","",IFERROR(VLOOKUP($A201,Invoices!$A$9:$X$108,3,FALSE),""))</f>
        <v/>
      </c>
      <c r="M201" s="325">
        <f>IF($A201="","",IFERROR(VLOOKUP($A201,Invoices!$A$9:$X$108,4,FALSE),""))</f>
        <v/>
      </c>
      <c r="N201" s="325">
        <f>IF($A201="","",IFERROR(VLOOKUP($A201,Invoices!$A$9:$X$108,5,FALSE),""))</f>
        <v/>
      </c>
      <c r="O201" s="325">
        <f>IF(AND($A201="",$B201="",$C201="",$D201=""),"",IF(OR($A201="",$B201="",$C201&lt;=0,$D201&lt;=0,$F201="",$H201="",$K201=""),"REVIEW","OK"))</f>
        <v/>
      </c>
      <c r="P201" s="330">
        <f>IF($A201="","",LOWER($A201&amp;" "&amp;$B201&amp;" "&amp;$F201&amp;" "&amp;$G201&amp;" "&amp;$L201&amp;" "&amp;$M201&amp;" "&amp;$N201))</f>
        <v/>
      </c>
    </row>
    <row r="202">
      <c r="A202" s="205" t="n"/>
      <c r="B202" s="207" t="n"/>
      <c r="C202" s="350" t="n"/>
      <c r="D202" s="332" t="n"/>
      <c r="E202" s="326">
        <f>IF(OR($A202="",$B202="",$C202="",$D202=""),"",$C202*$D202)</f>
        <v/>
      </c>
      <c r="F202" s="325">
        <f>IF($B202="","",IFERROR(VLOOKUP($B202,Setup!$A$9:$H$30,2,FALSE),""))</f>
        <v/>
      </c>
      <c r="G202" s="325">
        <f>IF($B202="","",IFERROR(VLOOKUP($B202,Setup!$A$9:$H$30,5,FALSE),""))</f>
        <v/>
      </c>
      <c r="H202" s="326">
        <f>IF($B202="","",IFERROR(VLOOKUP($B202,Setup!$A$9:$H$30,6,FALSE),""))</f>
        <v/>
      </c>
      <c r="I202" s="326">
        <f>IF(OR($C202="",$H202=""),"",$C202*$H202)</f>
        <v/>
      </c>
      <c r="J202" s="326">
        <f>IF(OR($E202="",$I202=""),"",$E202-$I202)</f>
        <v/>
      </c>
      <c r="K202" s="329">
        <f>IF($A202="","",IFERROR(VLOOKUP($A202,Invoices!$A$9:$X$108,2,FALSE),""))</f>
        <v/>
      </c>
      <c r="L202" s="325">
        <f>IF($A202="","",IFERROR(VLOOKUP($A202,Invoices!$A$9:$X$108,3,FALSE),""))</f>
        <v/>
      </c>
      <c r="M202" s="325">
        <f>IF($A202="","",IFERROR(VLOOKUP($A202,Invoices!$A$9:$X$108,4,FALSE),""))</f>
        <v/>
      </c>
      <c r="N202" s="325">
        <f>IF($A202="","",IFERROR(VLOOKUP($A202,Invoices!$A$9:$X$108,5,FALSE),""))</f>
        <v/>
      </c>
      <c r="O202" s="325">
        <f>IF(AND($A202="",$B202="",$C202="",$D202=""),"",IF(OR($A202="",$B202="",$C202&lt;=0,$D202&lt;=0,$F202="",$H202="",$K202=""),"REVIEW","OK"))</f>
        <v/>
      </c>
      <c r="P202" s="330">
        <f>IF($A202="","",LOWER($A202&amp;" "&amp;$B202&amp;" "&amp;$F202&amp;" "&amp;$G202&amp;" "&amp;$L202&amp;" "&amp;$M202&amp;" "&amp;$N202))</f>
        <v/>
      </c>
    </row>
    <row r="203">
      <c r="A203" s="205" t="n"/>
      <c r="B203" s="207" t="n"/>
      <c r="C203" s="350" t="n"/>
      <c r="D203" s="332" t="n"/>
      <c r="E203" s="326">
        <f>IF(OR($A203="",$B203="",$C203="",$D203=""),"",$C203*$D203)</f>
        <v/>
      </c>
      <c r="F203" s="325">
        <f>IF($B203="","",IFERROR(VLOOKUP($B203,Setup!$A$9:$H$30,2,FALSE),""))</f>
        <v/>
      </c>
      <c r="G203" s="325">
        <f>IF($B203="","",IFERROR(VLOOKUP($B203,Setup!$A$9:$H$30,5,FALSE),""))</f>
        <v/>
      </c>
      <c r="H203" s="326">
        <f>IF($B203="","",IFERROR(VLOOKUP($B203,Setup!$A$9:$H$30,6,FALSE),""))</f>
        <v/>
      </c>
      <c r="I203" s="326">
        <f>IF(OR($C203="",$H203=""),"",$C203*$H203)</f>
        <v/>
      </c>
      <c r="J203" s="326">
        <f>IF(OR($E203="",$I203=""),"",$E203-$I203)</f>
        <v/>
      </c>
      <c r="K203" s="329">
        <f>IF($A203="","",IFERROR(VLOOKUP($A203,Invoices!$A$9:$X$108,2,FALSE),""))</f>
        <v/>
      </c>
      <c r="L203" s="325">
        <f>IF($A203="","",IFERROR(VLOOKUP($A203,Invoices!$A$9:$X$108,3,FALSE),""))</f>
        <v/>
      </c>
      <c r="M203" s="325">
        <f>IF($A203="","",IFERROR(VLOOKUP($A203,Invoices!$A$9:$X$108,4,FALSE),""))</f>
        <v/>
      </c>
      <c r="N203" s="325">
        <f>IF($A203="","",IFERROR(VLOOKUP($A203,Invoices!$A$9:$X$108,5,FALSE),""))</f>
        <v/>
      </c>
      <c r="O203" s="325">
        <f>IF(AND($A203="",$B203="",$C203="",$D203=""),"",IF(OR($A203="",$B203="",$C203&lt;=0,$D203&lt;=0,$F203="",$H203="",$K203=""),"REVIEW","OK"))</f>
        <v/>
      </c>
      <c r="P203" s="330">
        <f>IF($A203="","",LOWER($A203&amp;" "&amp;$B203&amp;" "&amp;$F203&amp;" "&amp;$G203&amp;" "&amp;$L203&amp;" "&amp;$M203&amp;" "&amp;$N203))</f>
        <v/>
      </c>
    </row>
    <row r="204">
      <c r="A204" s="205" t="n"/>
      <c r="B204" s="207" t="n"/>
      <c r="C204" s="350" t="n"/>
      <c r="D204" s="332" t="n"/>
      <c r="E204" s="326">
        <f>IF(OR($A204="",$B204="",$C204="",$D204=""),"",$C204*$D204)</f>
        <v/>
      </c>
      <c r="F204" s="325">
        <f>IF($B204="","",IFERROR(VLOOKUP($B204,Setup!$A$9:$H$30,2,FALSE),""))</f>
        <v/>
      </c>
      <c r="G204" s="325">
        <f>IF($B204="","",IFERROR(VLOOKUP($B204,Setup!$A$9:$H$30,5,FALSE),""))</f>
        <v/>
      </c>
      <c r="H204" s="326">
        <f>IF($B204="","",IFERROR(VLOOKUP($B204,Setup!$A$9:$H$30,6,FALSE),""))</f>
        <v/>
      </c>
      <c r="I204" s="326">
        <f>IF(OR($C204="",$H204=""),"",$C204*$H204)</f>
        <v/>
      </c>
      <c r="J204" s="326">
        <f>IF(OR($E204="",$I204=""),"",$E204-$I204)</f>
        <v/>
      </c>
      <c r="K204" s="329">
        <f>IF($A204="","",IFERROR(VLOOKUP($A204,Invoices!$A$9:$X$108,2,FALSE),""))</f>
        <v/>
      </c>
      <c r="L204" s="325">
        <f>IF($A204="","",IFERROR(VLOOKUP($A204,Invoices!$A$9:$X$108,3,FALSE),""))</f>
        <v/>
      </c>
      <c r="M204" s="325">
        <f>IF($A204="","",IFERROR(VLOOKUP($A204,Invoices!$A$9:$X$108,4,FALSE),""))</f>
        <v/>
      </c>
      <c r="N204" s="325">
        <f>IF($A204="","",IFERROR(VLOOKUP($A204,Invoices!$A$9:$X$108,5,FALSE),""))</f>
        <v/>
      </c>
      <c r="O204" s="325">
        <f>IF(AND($A204="",$B204="",$C204="",$D204=""),"",IF(OR($A204="",$B204="",$C204&lt;=0,$D204&lt;=0,$F204="",$H204="",$K204=""),"REVIEW","OK"))</f>
        <v/>
      </c>
      <c r="P204" s="330">
        <f>IF($A204="","",LOWER($A204&amp;" "&amp;$B204&amp;" "&amp;$F204&amp;" "&amp;$G204&amp;" "&amp;$L204&amp;" "&amp;$M204&amp;" "&amp;$N204))</f>
        <v/>
      </c>
    </row>
    <row r="205">
      <c r="A205" s="205" t="n"/>
      <c r="B205" s="207" t="n"/>
      <c r="C205" s="350" t="n"/>
      <c r="D205" s="332" t="n"/>
      <c r="E205" s="326">
        <f>IF(OR($A205="",$B205="",$C205="",$D205=""),"",$C205*$D205)</f>
        <v/>
      </c>
      <c r="F205" s="325">
        <f>IF($B205="","",IFERROR(VLOOKUP($B205,Setup!$A$9:$H$30,2,FALSE),""))</f>
        <v/>
      </c>
      <c r="G205" s="325">
        <f>IF($B205="","",IFERROR(VLOOKUP($B205,Setup!$A$9:$H$30,5,FALSE),""))</f>
        <v/>
      </c>
      <c r="H205" s="326">
        <f>IF($B205="","",IFERROR(VLOOKUP($B205,Setup!$A$9:$H$30,6,FALSE),""))</f>
        <v/>
      </c>
      <c r="I205" s="326">
        <f>IF(OR($C205="",$H205=""),"",$C205*$H205)</f>
        <v/>
      </c>
      <c r="J205" s="326">
        <f>IF(OR($E205="",$I205=""),"",$E205-$I205)</f>
        <v/>
      </c>
      <c r="K205" s="329">
        <f>IF($A205="","",IFERROR(VLOOKUP($A205,Invoices!$A$9:$X$108,2,FALSE),""))</f>
        <v/>
      </c>
      <c r="L205" s="325">
        <f>IF($A205="","",IFERROR(VLOOKUP($A205,Invoices!$A$9:$X$108,3,FALSE),""))</f>
        <v/>
      </c>
      <c r="M205" s="325">
        <f>IF($A205="","",IFERROR(VLOOKUP($A205,Invoices!$A$9:$X$108,4,FALSE),""))</f>
        <v/>
      </c>
      <c r="N205" s="325">
        <f>IF($A205="","",IFERROR(VLOOKUP($A205,Invoices!$A$9:$X$108,5,FALSE),""))</f>
        <v/>
      </c>
      <c r="O205" s="325">
        <f>IF(AND($A205="",$B205="",$C205="",$D205=""),"",IF(OR($A205="",$B205="",$C205&lt;=0,$D205&lt;=0,$F205="",$H205="",$K205=""),"REVIEW","OK"))</f>
        <v/>
      </c>
      <c r="P205" s="330">
        <f>IF($A205="","",LOWER($A205&amp;" "&amp;$B205&amp;" "&amp;$F205&amp;" "&amp;$G205&amp;" "&amp;$L205&amp;" "&amp;$M205&amp;" "&amp;$N205))</f>
        <v/>
      </c>
    </row>
    <row r="206">
      <c r="A206" s="205" t="n"/>
      <c r="B206" s="207" t="n"/>
      <c r="C206" s="350" t="n"/>
      <c r="D206" s="332" t="n"/>
      <c r="E206" s="326">
        <f>IF(OR($A206="",$B206="",$C206="",$D206=""),"",$C206*$D206)</f>
        <v/>
      </c>
      <c r="F206" s="325">
        <f>IF($B206="","",IFERROR(VLOOKUP($B206,Setup!$A$9:$H$30,2,FALSE),""))</f>
        <v/>
      </c>
      <c r="G206" s="325">
        <f>IF($B206="","",IFERROR(VLOOKUP($B206,Setup!$A$9:$H$30,5,FALSE),""))</f>
        <v/>
      </c>
      <c r="H206" s="326">
        <f>IF($B206="","",IFERROR(VLOOKUP($B206,Setup!$A$9:$H$30,6,FALSE),""))</f>
        <v/>
      </c>
      <c r="I206" s="326">
        <f>IF(OR($C206="",$H206=""),"",$C206*$H206)</f>
        <v/>
      </c>
      <c r="J206" s="326">
        <f>IF(OR($E206="",$I206=""),"",$E206-$I206)</f>
        <v/>
      </c>
      <c r="K206" s="329">
        <f>IF($A206="","",IFERROR(VLOOKUP($A206,Invoices!$A$9:$X$108,2,FALSE),""))</f>
        <v/>
      </c>
      <c r="L206" s="325">
        <f>IF($A206="","",IFERROR(VLOOKUP($A206,Invoices!$A$9:$X$108,3,FALSE),""))</f>
        <v/>
      </c>
      <c r="M206" s="325">
        <f>IF($A206="","",IFERROR(VLOOKUP($A206,Invoices!$A$9:$X$108,4,FALSE),""))</f>
        <v/>
      </c>
      <c r="N206" s="325">
        <f>IF($A206="","",IFERROR(VLOOKUP($A206,Invoices!$A$9:$X$108,5,FALSE),""))</f>
        <v/>
      </c>
      <c r="O206" s="325">
        <f>IF(AND($A206="",$B206="",$C206="",$D206=""),"",IF(OR($A206="",$B206="",$C206&lt;=0,$D206&lt;=0,$F206="",$H206="",$K206=""),"REVIEW","OK"))</f>
        <v/>
      </c>
      <c r="P206" s="330">
        <f>IF($A206="","",LOWER($A206&amp;" "&amp;$B206&amp;" "&amp;$F206&amp;" "&amp;$G206&amp;" "&amp;$L206&amp;" "&amp;$M206&amp;" "&amp;$N206))</f>
        <v/>
      </c>
    </row>
    <row r="207">
      <c r="A207" s="205" t="n"/>
      <c r="B207" s="207" t="n"/>
      <c r="C207" s="350" t="n"/>
      <c r="D207" s="332" t="n"/>
      <c r="E207" s="326">
        <f>IF(OR($A207="",$B207="",$C207="",$D207=""),"",$C207*$D207)</f>
        <v/>
      </c>
      <c r="F207" s="325">
        <f>IF($B207="","",IFERROR(VLOOKUP($B207,Setup!$A$9:$H$30,2,FALSE),""))</f>
        <v/>
      </c>
      <c r="G207" s="325">
        <f>IF($B207="","",IFERROR(VLOOKUP($B207,Setup!$A$9:$H$30,5,FALSE),""))</f>
        <v/>
      </c>
      <c r="H207" s="326">
        <f>IF($B207="","",IFERROR(VLOOKUP($B207,Setup!$A$9:$H$30,6,FALSE),""))</f>
        <v/>
      </c>
      <c r="I207" s="326">
        <f>IF(OR($C207="",$H207=""),"",$C207*$H207)</f>
        <v/>
      </c>
      <c r="J207" s="326">
        <f>IF(OR($E207="",$I207=""),"",$E207-$I207)</f>
        <v/>
      </c>
      <c r="K207" s="329">
        <f>IF($A207="","",IFERROR(VLOOKUP($A207,Invoices!$A$9:$X$108,2,FALSE),""))</f>
        <v/>
      </c>
      <c r="L207" s="325">
        <f>IF($A207="","",IFERROR(VLOOKUP($A207,Invoices!$A$9:$X$108,3,FALSE),""))</f>
        <v/>
      </c>
      <c r="M207" s="325">
        <f>IF($A207="","",IFERROR(VLOOKUP($A207,Invoices!$A$9:$X$108,4,FALSE),""))</f>
        <v/>
      </c>
      <c r="N207" s="325">
        <f>IF($A207="","",IFERROR(VLOOKUP($A207,Invoices!$A$9:$X$108,5,FALSE),""))</f>
        <v/>
      </c>
      <c r="O207" s="325">
        <f>IF(AND($A207="",$B207="",$C207="",$D207=""),"",IF(OR($A207="",$B207="",$C207&lt;=0,$D207&lt;=0,$F207="",$H207="",$K207=""),"REVIEW","OK"))</f>
        <v/>
      </c>
      <c r="P207" s="330">
        <f>IF($A207="","",LOWER($A207&amp;" "&amp;$B207&amp;" "&amp;$F207&amp;" "&amp;$G207&amp;" "&amp;$L207&amp;" "&amp;$M207&amp;" "&amp;$N207))</f>
        <v/>
      </c>
    </row>
    <row r="208">
      <c r="A208" s="215" t="n"/>
      <c r="B208" s="217" t="n"/>
      <c r="C208" s="351" t="n"/>
      <c r="D208" s="334" t="n"/>
      <c r="E208" s="336">
        <f>IF(OR($A208="",$B208="",$C208="",$D208=""),"",$C208*$D208)</f>
        <v/>
      </c>
      <c r="F208" s="335">
        <f>IF($B208="","",IFERROR(VLOOKUP($B208,Setup!$A$9:$H$30,2,FALSE),""))</f>
        <v/>
      </c>
      <c r="G208" s="335">
        <f>IF($B208="","",IFERROR(VLOOKUP($B208,Setup!$A$9:$H$30,5,FALSE),""))</f>
        <v/>
      </c>
      <c r="H208" s="336">
        <f>IF($B208="","",IFERROR(VLOOKUP($B208,Setup!$A$9:$H$30,6,FALSE),""))</f>
        <v/>
      </c>
      <c r="I208" s="336">
        <f>IF(OR($C208="",$H208=""),"",$C208*$H208)</f>
        <v/>
      </c>
      <c r="J208" s="336">
        <f>IF(OR($E208="",$I208=""),"",$E208-$I208)</f>
        <v/>
      </c>
      <c r="K208" s="339">
        <f>IF($A208="","",IFERROR(VLOOKUP($A208,Invoices!$A$9:$X$108,2,FALSE),""))</f>
        <v/>
      </c>
      <c r="L208" s="335">
        <f>IF($A208="","",IFERROR(VLOOKUP($A208,Invoices!$A$9:$X$108,3,FALSE),""))</f>
        <v/>
      </c>
      <c r="M208" s="335">
        <f>IF($A208="","",IFERROR(VLOOKUP($A208,Invoices!$A$9:$X$108,4,FALSE),""))</f>
        <v/>
      </c>
      <c r="N208" s="335">
        <f>IF($A208="","",IFERROR(VLOOKUP($A208,Invoices!$A$9:$X$108,5,FALSE),""))</f>
        <v/>
      </c>
      <c r="O208" s="335">
        <f>IF(AND($A208="",$B208="",$C208="",$D208=""),"",IF(OR($A208="",$B208="",$C208&lt;=0,$D208&lt;=0,$F208="",$H208="",$K208=""),"REVIEW","OK"))</f>
        <v/>
      </c>
      <c r="P208" s="340">
        <f>IF($A208="","",LOWER($A208&amp;" "&amp;$B208&amp;" "&amp;$F208&amp;" "&amp;$G208&amp;" "&amp;$L208&amp;" "&amp;$M208&amp;" "&amp;$N208))</f>
        <v/>
      </c>
    </row>
    <row r="209">
      <c r="A209" s="27" t="n"/>
      <c r="B209" s="27" t="n"/>
      <c r="C209" s="352" t="n"/>
      <c r="D209" s="342" t="n"/>
      <c r="E209" s="343" t="n"/>
      <c r="F209" s="30" t="n"/>
      <c r="G209" s="30" t="n"/>
      <c r="H209" s="343" t="n"/>
      <c r="I209" s="343" t="n"/>
      <c r="J209" s="343" t="n"/>
      <c r="K209" s="346" t="n"/>
      <c r="L209" s="30" t="n"/>
      <c r="M209" s="30" t="n"/>
      <c r="N209" s="30" t="n"/>
      <c r="O209" s="30" t="n"/>
      <c r="P209" s="30" t="n"/>
    </row>
    <row r="210">
      <c r="A210" s="27" t="n"/>
      <c r="B210" s="27" t="n"/>
      <c r="C210" s="352" t="n"/>
      <c r="D210" s="342" t="n"/>
      <c r="E210" s="343" t="n"/>
      <c r="F210" s="30" t="n"/>
      <c r="G210" s="30" t="n"/>
      <c r="H210" s="343" t="n"/>
      <c r="I210" s="343" t="n"/>
      <c r="J210" s="343" t="n"/>
      <c r="K210" s="346" t="n"/>
      <c r="L210" s="30" t="n"/>
      <c r="M210" s="30" t="n"/>
      <c r="N210" s="30" t="n"/>
      <c r="O210" s="30" t="n"/>
      <c r="P210" s="30" t="n"/>
    </row>
    <row r="211">
      <c r="A211" s="27" t="n"/>
      <c r="B211" s="27" t="n"/>
      <c r="C211" s="352" t="n"/>
      <c r="D211" s="342" t="n"/>
      <c r="E211" s="343" t="n"/>
      <c r="F211" s="30" t="n"/>
      <c r="G211" s="30" t="n"/>
      <c r="H211" s="343" t="n"/>
      <c r="I211" s="343" t="n"/>
      <c r="J211" s="343" t="n"/>
      <c r="K211" s="346" t="n"/>
      <c r="L211" s="30" t="n"/>
      <c r="M211" s="30" t="n"/>
      <c r="N211" s="30" t="n"/>
      <c r="O211" s="30" t="n"/>
      <c r="P211" s="30" t="n"/>
    </row>
    <row r="212">
      <c r="A212" s="27" t="n"/>
      <c r="B212" s="27" t="n"/>
      <c r="C212" s="352" t="n"/>
      <c r="D212" s="342" t="n"/>
      <c r="E212" s="343" t="n"/>
      <c r="F212" s="30" t="n"/>
      <c r="G212" s="30" t="n"/>
      <c r="H212" s="343" t="n"/>
      <c r="I212" s="343" t="n"/>
      <c r="J212" s="343" t="n"/>
      <c r="K212" s="346" t="n"/>
      <c r="L212" s="30" t="n"/>
      <c r="M212" s="30" t="n"/>
      <c r="N212" s="30" t="n"/>
      <c r="O212" s="30" t="n"/>
      <c r="P212" s="30" t="n"/>
    </row>
    <row r="213">
      <c r="A213" s="27" t="n"/>
      <c r="B213" s="27" t="n"/>
      <c r="C213" s="352" t="n"/>
      <c r="D213" s="342" t="n"/>
      <c r="E213" s="343" t="n"/>
      <c r="F213" s="30" t="n"/>
      <c r="G213" s="30" t="n"/>
      <c r="H213" s="343" t="n"/>
      <c r="I213" s="343" t="n"/>
      <c r="J213" s="343" t="n"/>
      <c r="K213" s="346" t="n"/>
      <c r="L213" s="30" t="n"/>
      <c r="M213" s="30" t="n"/>
      <c r="N213" s="30" t="n"/>
      <c r="O213" s="30" t="n"/>
      <c r="P213" s="30" t="n"/>
    </row>
    <row r="214">
      <c r="A214" s="27" t="n"/>
      <c r="B214" s="27" t="n"/>
      <c r="C214" s="352" t="n"/>
      <c r="D214" s="342" t="n"/>
      <c r="E214" s="343" t="n"/>
      <c r="F214" s="30" t="n"/>
      <c r="G214" s="30" t="n"/>
      <c r="H214" s="343" t="n"/>
      <c r="I214" s="343" t="n"/>
      <c r="J214" s="343" t="n"/>
      <c r="K214" s="346" t="n"/>
      <c r="L214" s="30" t="n"/>
      <c r="M214" s="30" t="n"/>
      <c r="N214" s="30" t="n"/>
      <c r="O214" s="30" t="n"/>
      <c r="P214" s="30" t="n"/>
    </row>
    <row r="215">
      <c r="A215" s="27" t="n"/>
      <c r="B215" s="27" t="n"/>
      <c r="C215" s="352" t="n"/>
      <c r="D215" s="342" t="n"/>
      <c r="E215" s="343" t="n"/>
      <c r="F215" s="30" t="n"/>
      <c r="G215" s="30" t="n"/>
      <c r="H215" s="343" t="n"/>
      <c r="I215" s="343" t="n"/>
      <c r="J215" s="343" t="n"/>
      <c r="K215" s="346" t="n"/>
      <c r="L215" s="30" t="n"/>
      <c r="M215" s="30" t="n"/>
      <c r="N215" s="30" t="n"/>
      <c r="O215" s="30" t="n"/>
      <c r="P215" s="30" t="n"/>
    </row>
    <row r="216">
      <c r="A216" s="27" t="n"/>
      <c r="B216" s="27" t="n"/>
      <c r="C216" s="352" t="n"/>
      <c r="D216" s="342" t="n"/>
      <c r="E216" s="343" t="n"/>
      <c r="F216" s="30" t="n"/>
      <c r="G216" s="30" t="n"/>
      <c r="H216" s="343" t="n"/>
      <c r="I216" s="343" t="n"/>
      <c r="J216" s="343" t="n"/>
      <c r="K216" s="346" t="n"/>
      <c r="L216" s="30" t="n"/>
      <c r="M216" s="30" t="n"/>
      <c r="N216" s="30" t="n"/>
      <c r="O216" s="30" t="n"/>
      <c r="P216" s="30" t="n"/>
    </row>
    <row r="217">
      <c r="A217" s="27" t="n"/>
      <c r="B217" s="27" t="n"/>
      <c r="C217" s="352" t="n"/>
      <c r="D217" s="342" t="n"/>
      <c r="E217" s="343" t="n"/>
      <c r="F217" s="30" t="n"/>
      <c r="G217" s="30" t="n"/>
      <c r="H217" s="343" t="n"/>
      <c r="I217" s="343" t="n"/>
      <c r="J217" s="343" t="n"/>
      <c r="K217" s="346" t="n"/>
      <c r="L217" s="30" t="n"/>
      <c r="M217" s="30" t="n"/>
      <c r="N217" s="30" t="n"/>
      <c r="O217" s="30" t="n"/>
      <c r="P217" s="30" t="n"/>
    </row>
    <row r="218">
      <c r="A218" s="27" t="n"/>
      <c r="B218" s="27" t="n"/>
      <c r="C218" s="352" t="n"/>
      <c r="D218" s="342" t="n"/>
      <c r="E218" s="343" t="n"/>
      <c r="F218" s="30" t="n"/>
      <c r="G218" s="30" t="n"/>
      <c r="H218" s="343" t="n"/>
      <c r="I218" s="343" t="n"/>
      <c r="J218" s="343" t="n"/>
      <c r="K218" s="346" t="n"/>
      <c r="L218" s="30" t="n"/>
      <c r="M218" s="30" t="n"/>
      <c r="N218" s="30" t="n"/>
      <c r="O218" s="30" t="n"/>
      <c r="P218" s="30" t="n"/>
    </row>
    <row r="219">
      <c r="A219" s="27" t="n"/>
      <c r="B219" s="27" t="n"/>
      <c r="C219" s="352" t="n"/>
      <c r="D219" s="342" t="n"/>
      <c r="E219" s="343" t="n"/>
      <c r="F219" s="30" t="n"/>
      <c r="G219" s="30" t="n"/>
      <c r="H219" s="343" t="n"/>
      <c r="I219" s="343" t="n"/>
      <c r="J219" s="343" t="n"/>
      <c r="K219" s="346" t="n"/>
      <c r="L219" s="30" t="n"/>
      <c r="M219" s="30" t="n"/>
      <c r="N219" s="30" t="n"/>
      <c r="O219" s="30" t="n"/>
      <c r="P219" s="30" t="n"/>
    </row>
    <row r="220">
      <c r="A220" s="27" t="n"/>
      <c r="B220" s="27" t="n"/>
      <c r="C220" s="352" t="n"/>
      <c r="D220" s="342" t="n"/>
      <c r="E220" s="343" t="n"/>
      <c r="F220" s="30" t="n"/>
      <c r="G220" s="30" t="n"/>
      <c r="H220" s="343" t="n"/>
      <c r="I220" s="343" t="n"/>
      <c r="J220" s="343" t="n"/>
      <c r="K220" s="346" t="n"/>
      <c r="L220" s="30" t="n"/>
      <c r="M220" s="30" t="n"/>
      <c r="N220" s="30" t="n"/>
      <c r="O220" s="30" t="n"/>
      <c r="P220" s="30" t="n"/>
    </row>
    <row r="221">
      <c r="A221" s="27" t="n"/>
      <c r="B221" s="27" t="n"/>
      <c r="C221" s="352" t="n"/>
      <c r="D221" s="342" t="n"/>
      <c r="E221" s="343" t="n"/>
      <c r="F221" s="30" t="n"/>
      <c r="G221" s="30" t="n"/>
      <c r="H221" s="343" t="n"/>
      <c r="I221" s="343" t="n"/>
      <c r="J221" s="343" t="n"/>
      <c r="K221" s="346" t="n"/>
      <c r="L221" s="30" t="n"/>
      <c r="M221" s="30" t="n"/>
      <c r="N221" s="30" t="n"/>
      <c r="O221" s="30" t="n"/>
      <c r="P221" s="30" t="n"/>
    </row>
    <row r="222">
      <c r="A222" s="27" t="n"/>
      <c r="B222" s="27" t="n"/>
      <c r="C222" s="352" t="n"/>
      <c r="D222" s="342" t="n"/>
      <c r="E222" s="343" t="n"/>
      <c r="F222" s="30" t="n"/>
      <c r="G222" s="30" t="n"/>
      <c r="H222" s="343" t="n"/>
      <c r="I222" s="343" t="n"/>
      <c r="J222" s="343" t="n"/>
      <c r="K222" s="346" t="n"/>
      <c r="L222" s="30" t="n"/>
      <c r="M222" s="30" t="n"/>
      <c r="N222" s="30" t="n"/>
      <c r="O222" s="30" t="n"/>
      <c r="P222" s="30" t="n"/>
    </row>
    <row r="223">
      <c r="A223" s="27" t="n"/>
      <c r="B223" s="27" t="n"/>
      <c r="C223" s="352" t="n"/>
      <c r="D223" s="342" t="n"/>
      <c r="E223" s="343" t="n"/>
      <c r="F223" s="30" t="n"/>
      <c r="G223" s="30" t="n"/>
      <c r="H223" s="343" t="n"/>
      <c r="I223" s="343" t="n"/>
      <c r="J223" s="343" t="n"/>
      <c r="K223" s="346" t="n"/>
      <c r="L223" s="30" t="n"/>
      <c r="M223" s="30" t="n"/>
      <c r="N223" s="30" t="n"/>
      <c r="O223" s="30" t="n"/>
      <c r="P223" s="30" t="n"/>
    </row>
    <row r="224">
      <c r="A224" s="27" t="n"/>
      <c r="B224" s="27" t="n"/>
      <c r="C224" s="352" t="n"/>
      <c r="D224" s="342" t="n"/>
      <c r="E224" s="343" t="n"/>
      <c r="F224" s="30" t="n"/>
      <c r="G224" s="30" t="n"/>
      <c r="H224" s="343" t="n"/>
      <c r="I224" s="343" t="n"/>
      <c r="J224" s="343" t="n"/>
      <c r="K224" s="346" t="n"/>
      <c r="L224" s="30" t="n"/>
      <c r="M224" s="30" t="n"/>
      <c r="N224" s="30" t="n"/>
      <c r="O224" s="30" t="n"/>
      <c r="P224" s="30" t="n"/>
    </row>
    <row r="225">
      <c r="A225" s="27" t="n"/>
      <c r="B225" s="27" t="n"/>
      <c r="C225" s="352" t="n"/>
      <c r="D225" s="342" t="n"/>
      <c r="E225" s="343" t="n"/>
      <c r="F225" s="30" t="n"/>
      <c r="G225" s="30" t="n"/>
      <c r="H225" s="343" t="n"/>
      <c r="I225" s="343" t="n"/>
      <c r="J225" s="343" t="n"/>
      <c r="K225" s="346" t="n"/>
      <c r="L225" s="30" t="n"/>
      <c r="M225" s="30" t="n"/>
      <c r="N225" s="30" t="n"/>
      <c r="O225" s="30" t="n"/>
      <c r="P225" s="30" t="n"/>
    </row>
    <row r="226">
      <c r="A226" s="27" t="n"/>
      <c r="B226" s="27" t="n"/>
      <c r="C226" s="352" t="n"/>
      <c r="D226" s="342" t="n"/>
      <c r="E226" s="343" t="n"/>
      <c r="F226" s="30" t="n"/>
      <c r="G226" s="30" t="n"/>
      <c r="H226" s="343" t="n"/>
      <c r="I226" s="343" t="n"/>
      <c r="J226" s="343" t="n"/>
      <c r="K226" s="346" t="n"/>
      <c r="L226" s="30" t="n"/>
      <c r="M226" s="30" t="n"/>
      <c r="N226" s="30" t="n"/>
      <c r="O226" s="30" t="n"/>
      <c r="P226" s="30" t="n"/>
    </row>
    <row r="227">
      <c r="A227" s="27" t="n"/>
      <c r="B227" s="27" t="n"/>
      <c r="C227" s="352" t="n"/>
      <c r="D227" s="342" t="n"/>
      <c r="E227" s="343" t="n"/>
      <c r="F227" s="30" t="n"/>
      <c r="G227" s="30" t="n"/>
      <c r="H227" s="343" t="n"/>
      <c r="I227" s="343" t="n"/>
      <c r="J227" s="343" t="n"/>
      <c r="K227" s="346" t="n"/>
      <c r="L227" s="30" t="n"/>
      <c r="M227" s="30" t="n"/>
      <c r="N227" s="30" t="n"/>
      <c r="O227" s="30" t="n"/>
      <c r="P227" s="30" t="n"/>
    </row>
    <row r="228">
      <c r="A228" s="27" t="n"/>
      <c r="B228" s="27" t="n"/>
      <c r="C228" s="352" t="n"/>
      <c r="D228" s="342" t="n"/>
      <c r="E228" s="343" t="n"/>
      <c r="F228" s="30" t="n"/>
      <c r="G228" s="30" t="n"/>
      <c r="H228" s="343" t="n"/>
      <c r="I228" s="343" t="n"/>
      <c r="J228" s="343" t="n"/>
      <c r="K228" s="346" t="n"/>
      <c r="L228" s="30" t="n"/>
      <c r="M228" s="30" t="n"/>
      <c r="N228" s="30" t="n"/>
      <c r="O228" s="30" t="n"/>
      <c r="P228" s="30" t="n"/>
    </row>
    <row r="229">
      <c r="A229" s="27" t="n"/>
      <c r="B229" s="27" t="n"/>
      <c r="C229" s="352" t="n"/>
      <c r="D229" s="342" t="n"/>
      <c r="E229" s="343" t="n"/>
      <c r="F229" s="30" t="n"/>
      <c r="G229" s="30" t="n"/>
      <c r="H229" s="343" t="n"/>
      <c r="I229" s="343" t="n"/>
      <c r="J229" s="343" t="n"/>
      <c r="K229" s="346" t="n"/>
      <c r="L229" s="30" t="n"/>
      <c r="M229" s="30" t="n"/>
      <c r="N229" s="30" t="n"/>
      <c r="O229" s="30" t="n"/>
      <c r="P229" s="30" t="n"/>
    </row>
    <row r="230">
      <c r="A230" s="27" t="n"/>
      <c r="B230" s="27" t="n"/>
      <c r="C230" s="352" t="n"/>
      <c r="D230" s="342" t="n"/>
      <c r="E230" s="343" t="n"/>
      <c r="F230" s="30" t="n"/>
      <c r="G230" s="30" t="n"/>
      <c r="H230" s="343" t="n"/>
      <c r="I230" s="343" t="n"/>
      <c r="J230" s="343" t="n"/>
      <c r="K230" s="346" t="n"/>
      <c r="L230" s="30" t="n"/>
      <c r="M230" s="30" t="n"/>
      <c r="N230" s="30" t="n"/>
      <c r="O230" s="30" t="n"/>
      <c r="P230" s="30" t="n"/>
    </row>
    <row r="231">
      <c r="A231" s="27" t="n"/>
      <c r="B231" s="27" t="n"/>
      <c r="C231" s="352" t="n"/>
      <c r="D231" s="342" t="n"/>
      <c r="E231" s="343" t="n"/>
      <c r="F231" s="30" t="n"/>
      <c r="G231" s="30" t="n"/>
      <c r="H231" s="343" t="n"/>
      <c r="I231" s="343" t="n"/>
      <c r="J231" s="343" t="n"/>
      <c r="K231" s="346" t="n"/>
      <c r="L231" s="30" t="n"/>
      <c r="M231" s="30" t="n"/>
      <c r="N231" s="30" t="n"/>
      <c r="O231" s="30" t="n"/>
      <c r="P231" s="30" t="n"/>
    </row>
    <row r="232">
      <c r="A232" s="27" t="n"/>
      <c r="B232" s="27" t="n"/>
      <c r="C232" s="352" t="n"/>
      <c r="D232" s="342" t="n"/>
      <c r="E232" s="343" t="n"/>
      <c r="F232" s="30" t="n"/>
      <c r="G232" s="30" t="n"/>
      <c r="H232" s="343" t="n"/>
      <c r="I232" s="343" t="n"/>
      <c r="J232" s="343" t="n"/>
      <c r="K232" s="346" t="n"/>
      <c r="L232" s="30" t="n"/>
      <c r="M232" s="30" t="n"/>
      <c r="N232" s="30" t="n"/>
      <c r="O232" s="30" t="n"/>
      <c r="P232" s="30" t="n"/>
    </row>
    <row r="233">
      <c r="A233" s="27" t="n"/>
      <c r="B233" s="27" t="n"/>
      <c r="C233" s="352" t="n"/>
      <c r="D233" s="342" t="n"/>
      <c r="E233" s="343" t="n"/>
      <c r="F233" s="30" t="n"/>
      <c r="G233" s="30" t="n"/>
      <c r="H233" s="343" t="n"/>
      <c r="I233" s="343" t="n"/>
      <c r="J233" s="343" t="n"/>
      <c r="K233" s="346" t="n"/>
      <c r="L233" s="30" t="n"/>
      <c r="M233" s="30" t="n"/>
      <c r="N233" s="30" t="n"/>
      <c r="O233" s="30" t="n"/>
      <c r="P233" s="30" t="n"/>
    </row>
    <row r="234">
      <c r="A234" s="27" t="n"/>
      <c r="B234" s="27" t="n"/>
      <c r="C234" s="352" t="n"/>
      <c r="D234" s="342" t="n"/>
      <c r="E234" s="343" t="n"/>
      <c r="F234" s="30" t="n"/>
      <c r="G234" s="30" t="n"/>
      <c r="H234" s="343" t="n"/>
      <c r="I234" s="343" t="n"/>
      <c r="J234" s="343" t="n"/>
      <c r="K234" s="346" t="n"/>
      <c r="L234" s="30" t="n"/>
      <c r="M234" s="30" t="n"/>
      <c r="N234" s="30" t="n"/>
      <c r="O234" s="30" t="n"/>
      <c r="P234" s="30" t="n"/>
    </row>
    <row r="235">
      <c r="A235" s="27" t="n"/>
      <c r="B235" s="27" t="n"/>
      <c r="C235" s="352" t="n"/>
      <c r="D235" s="342" t="n"/>
      <c r="E235" s="343" t="n"/>
      <c r="F235" s="30" t="n"/>
      <c r="G235" s="30" t="n"/>
      <c r="H235" s="343" t="n"/>
      <c r="I235" s="343" t="n"/>
      <c r="J235" s="343" t="n"/>
      <c r="K235" s="346" t="n"/>
      <c r="L235" s="30" t="n"/>
      <c r="M235" s="30" t="n"/>
      <c r="N235" s="30" t="n"/>
      <c r="O235" s="30" t="n"/>
      <c r="P235" s="30" t="n"/>
    </row>
    <row r="236">
      <c r="A236" s="27" t="n"/>
      <c r="B236" s="27" t="n"/>
      <c r="C236" s="352" t="n"/>
      <c r="D236" s="342" t="n"/>
      <c r="E236" s="343" t="n"/>
      <c r="F236" s="30" t="n"/>
      <c r="G236" s="30" t="n"/>
      <c r="H236" s="343" t="n"/>
      <c r="I236" s="343" t="n"/>
      <c r="J236" s="343" t="n"/>
      <c r="K236" s="346" t="n"/>
      <c r="L236" s="30" t="n"/>
      <c r="M236" s="30" t="n"/>
      <c r="N236" s="30" t="n"/>
      <c r="O236" s="30" t="n"/>
      <c r="P236" s="30" t="n"/>
    </row>
    <row r="237">
      <c r="A237" s="27" t="n"/>
      <c r="B237" s="27" t="n"/>
      <c r="C237" s="352" t="n"/>
      <c r="D237" s="342" t="n"/>
      <c r="E237" s="343" t="n"/>
      <c r="F237" s="30" t="n"/>
      <c r="G237" s="30" t="n"/>
      <c r="H237" s="343" t="n"/>
      <c r="I237" s="343" t="n"/>
      <c r="J237" s="343" t="n"/>
      <c r="K237" s="346" t="n"/>
      <c r="L237" s="30" t="n"/>
      <c r="M237" s="30" t="n"/>
      <c r="N237" s="30" t="n"/>
      <c r="O237" s="30" t="n"/>
      <c r="P237" s="30" t="n"/>
    </row>
    <row r="238">
      <c r="A238" s="27" t="n"/>
      <c r="B238" s="27" t="n"/>
      <c r="C238" s="352" t="n"/>
      <c r="D238" s="342" t="n"/>
      <c r="E238" s="343" t="n"/>
      <c r="F238" s="30" t="n"/>
      <c r="G238" s="30" t="n"/>
      <c r="H238" s="343" t="n"/>
      <c r="I238" s="343" t="n"/>
      <c r="J238" s="343" t="n"/>
      <c r="K238" s="346" t="n"/>
      <c r="L238" s="30" t="n"/>
      <c r="M238" s="30" t="n"/>
      <c r="N238" s="30" t="n"/>
      <c r="O238" s="30" t="n"/>
      <c r="P238" s="30" t="n"/>
    </row>
    <row r="239">
      <c r="A239" s="27" t="n"/>
      <c r="B239" s="27" t="n"/>
      <c r="C239" s="352" t="n"/>
      <c r="D239" s="342" t="n"/>
      <c r="E239" s="343" t="n"/>
      <c r="F239" s="30" t="n"/>
      <c r="G239" s="30" t="n"/>
      <c r="H239" s="343" t="n"/>
      <c r="I239" s="343" t="n"/>
      <c r="J239" s="343" t="n"/>
      <c r="K239" s="346" t="n"/>
      <c r="L239" s="30" t="n"/>
      <c r="M239" s="30" t="n"/>
      <c r="N239" s="30" t="n"/>
      <c r="O239" s="30" t="n"/>
      <c r="P239" s="30" t="n"/>
    </row>
    <row r="240">
      <c r="A240" s="27" t="n"/>
      <c r="B240" s="27" t="n"/>
      <c r="C240" s="352" t="n"/>
      <c r="D240" s="342" t="n"/>
      <c r="E240" s="343" t="n"/>
      <c r="F240" s="30" t="n"/>
      <c r="G240" s="30" t="n"/>
      <c r="H240" s="343" t="n"/>
      <c r="I240" s="343" t="n"/>
      <c r="J240" s="343" t="n"/>
      <c r="K240" s="346" t="n"/>
      <c r="L240" s="30" t="n"/>
      <c r="M240" s="30" t="n"/>
      <c r="N240" s="30" t="n"/>
      <c r="O240" s="30" t="n"/>
      <c r="P240" s="30" t="n"/>
    </row>
    <row r="241">
      <c r="A241" s="27" t="n"/>
      <c r="B241" s="27" t="n"/>
      <c r="C241" s="352" t="n"/>
      <c r="D241" s="342" t="n"/>
      <c r="E241" s="343" t="n"/>
      <c r="F241" s="30" t="n"/>
      <c r="G241" s="30" t="n"/>
      <c r="H241" s="343" t="n"/>
      <c r="I241" s="343" t="n"/>
      <c r="J241" s="343" t="n"/>
      <c r="K241" s="346" t="n"/>
      <c r="L241" s="30" t="n"/>
      <c r="M241" s="30" t="n"/>
      <c r="N241" s="30" t="n"/>
      <c r="O241" s="30" t="n"/>
      <c r="P241" s="30" t="n"/>
    </row>
    <row r="242">
      <c r="A242" s="27" t="n"/>
      <c r="B242" s="27" t="n"/>
      <c r="C242" s="352" t="n"/>
      <c r="D242" s="342" t="n"/>
      <c r="E242" s="343" t="n"/>
      <c r="F242" s="30" t="n"/>
      <c r="G242" s="30" t="n"/>
      <c r="H242" s="343" t="n"/>
      <c r="I242" s="343" t="n"/>
      <c r="J242" s="343" t="n"/>
      <c r="K242" s="346" t="n"/>
      <c r="L242" s="30" t="n"/>
      <c r="M242" s="30" t="n"/>
      <c r="N242" s="30" t="n"/>
      <c r="O242" s="30" t="n"/>
      <c r="P242" s="30" t="n"/>
    </row>
    <row r="243">
      <c r="A243" s="27" t="n"/>
      <c r="B243" s="27" t="n"/>
      <c r="C243" s="352" t="n"/>
      <c r="D243" s="342" t="n"/>
      <c r="E243" s="343" t="n"/>
      <c r="F243" s="30" t="n"/>
      <c r="G243" s="30" t="n"/>
      <c r="H243" s="343" t="n"/>
      <c r="I243" s="343" t="n"/>
      <c r="J243" s="343" t="n"/>
      <c r="K243" s="346" t="n"/>
      <c r="L243" s="30" t="n"/>
      <c r="M243" s="30" t="n"/>
      <c r="N243" s="30" t="n"/>
      <c r="O243" s="30" t="n"/>
      <c r="P243" s="30" t="n"/>
    </row>
    <row r="244">
      <c r="A244" s="27" t="n"/>
      <c r="B244" s="27" t="n"/>
      <c r="C244" s="352" t="n"/>
      <c r="D244" s="342" t="n"/>
      <c r="E244" s="343" t="n"/>
      <c r="F244" s="30" t="n"/>
      <c r="G244" s="30" t="n"/>
      <c r="H244" s="343" t="n"/>
      <c r="I244" s="343" t="n"/>
      <c r="J244" s="343" t="n"/>
      <c r="K244" s="346" t="n"/>
      <c r="L244" s="30" t="n"/>
      <c r="M244" s="30" t="n"/>
      <c r="N244" s="30" t="n"/>
      <c r="O244" s="30" t="n"/>
      <c r="P244" s="30" t="n"/>
    </row>
    <row r="245">
      <c r="A245" s="27" t="n"/>
      <c r="B245" s="27" t="n"/>
      <c r="C245" s="352" t="n"/>
      <c r="D245" s="342" t="n"/>
      <c r="E245" s="343" t="n"/>
      <c r="F245" s="30" t="n"/>
      <c r="G245" s="30" t="n"/>
      <c r="H245" s="343" t="n"/>
      <c r="I245" s="343" t="n"/>
      <c r="J245" s="343" t="n"/>
      <c r="K245" s="346" t="n"/>
      <c r="L245" s="30" t="n"/>
      <c r="M245" s="30" t="n"/>
      <c r="N245" s="30" t="n"/>
      <c r="O245" s="30" t="n"/>
      <c r="P245" s="30" t="n"/>
    </row>
    <row r="246">
      <c r="A246" s="27" t="n"/>
      <c r="B246" s="27" t="n"/>
      <c r="C246" s="352" t="n"/>
      <c r="D246" s="342" t="n"/>
      <c r="E246" s="343" t="n"/>
      <c r="F246" s="30" t="n"/>
      <c r="G246" s="30" t="n"/>
      <c r="H246" s="343" t="n"/>
      <c r="I246" s="343" t="n"/>
      <c r="J246" s="343" t="n"/>
      <c r="K246" s="346" t="n"/>
      <c r="L246" s="30" t="n"/>
      <c r="M246" s="30" t="n"/>
      <c r="N246" s="30" t="n"/>
      <c r="O246" s="30" t="n"/>
      <c r="P246" s="30" t="n"/>
    </row>
    <row r="247">
      <c r="A247" s="27" t="n"/>
      <c r="B247" s="27" t="n"/>
      <c r="C247" s="352" t="n"/>
      <c r="D247" s="342" t="n"/>
      <c r="E247" s="343" t="n"/>
      <c r="F247" s="30" t="n"/>
      <c r="G247" s="30" t="n"/>
      <c r="H247" s="343" t="n"/>
      <c r="I247" s="343" t="n"/>
      <c r="J247" s="343" t="n"/>
      <c r="K247" s="346" t="n"/>
      <c r="L247" s="30" t="n"/>
      <c r="M247" s="30" t="n"/>
      <c r="N247" s="30" t="n"/>
      <c r="O247" s="30" t="n"/>
      <c r="P247" s="30" t="n"/>
    </row>
    <row r="248">
      <c r="A248" s="27" t="n"/>
      <c r="B248" s="27" t="n"/>
      <c r="C248" s="352" t="n"/>
      <c r="D248" s="342" t="n"/>
      <c r="E248" s="343" t="n"/>
      <c r="F248" s="30" t="n"/>
      <c r="G248" s="30" t="n"/>
      <c r="H248" s="343" t="n"/>
      <c r="I248" s="343" t="n"/>
      <c r="J248" s="343" t="n"/>
      <c r="K248" s="346" t="n"/>
      <c r="L248" s="30" t="n"/>
      <c r="M248" s="30" t="n"/>
      <c r="N248" s="30" t="n"/>
      <c r="O248" s="30" t="n"/>
      <c r="P248" s="30" t="n"/>
    </row>
    <row r="249">
      <c r="A249" s="27" t="n"/>
      <c r="B249" s="27" t="n"/>
      <c r="C249" s="352" t="n"/>
      <c r="D249" s="342" t="n"/>
      <c r="E249" s="343" t="n"/>
      <c r="F249" s="30" t="n"/>
      <c r="G249" s="30" t="n"/>
      <c r="H249" s="343" t="n"/>
      <c r="I249" s="343" t="n"/>
      <c r="J249" s="343" t="n"/>
      <c r="K249" s="346" t="n"/>
      <c r="L249" s="30" t="n"/>
      <c r="M249" s="30" t="n"/>
      <c r="N249" s="30" t="n"/>
      <c r="O249" s="30" t="n"/>
      <c r="P249" s="30" t="n"/>
    </row>
    <row r="250">
      <c r="A250" s="27" t="n"/>
      <c r="B250" s="27" t="n"/>
      <c r="C250" s="352" t="n"/>
      <c r="D250" s="342" t="n"/>
      <c r="E250" s="343" t="n"/>
      <c r="F250" s="30" t="n"/>
      <c r="G250" s="30" t="n"/>
      <c r="H250" s="343" t="n"/>
      <c r="I250" s="343" t="n"/>
      <c r="J250" s="343" t="n"/>
      <c r="K250" s="346" t="n"/>
      <c r="L250" s="30" t="n"/>
      <c r="M250" s="30" t="n"/>
      <c r="N250" s="30" t="n"/>
      <c r="O250" s="30" t="n"/>
      <c r="P250" s="30" t="n"/>
    </row>
    <row r="251">
      <c r="A251" s="27" t="n"/>
      <c r="B251" s="27" t="n"/>
      <c r="C251" s="352" t="n"/>
      <c r="D251" s="342" t="n"/>
      <c r="E251" s="343" t="n"/>
      <c r="F251" s="30" t="n"/>
      <c r="G251" s="30" t="n"/>
      <c r="H251" s="343" t="n"/>
      <c r="I251" s="343" t="n"/>
      <c r="J251" s="343" t="n"/>
      <c r="K251" s="346" t="n"/>
      <c r="L251" s="30" t="n"/>
      <c r="M251" s="30" t="n"/>
      <c r="N251" s="30" t="n"/>
      <c r="O251" s="30" t="n"/>
      <c r="P251" s="30" t="n"/>
    </row>
    <row r="252">
      <c r="A252" s="27" t="n"/>
      <c r="B252" s="27" t="n"/>
      <c r="C252" s="352" t="n"/>
      <c r="D252" s="342" t="n"/>
      <c r="E252" s="343" t="n"/>
      <c r="F252" s="30" t="n"/>
      <c r="G252" s="30" t="n"/>
      <c r="H252" s="343" t="n"/>
      <c r="I252" s="343" t="n"/>
      <c r="J252" s="343" t="n"/>
      <c r="K252" s="346" t="n"/>
      <c r="L252" s="30" t="n"/>
      <c r="M252" s="30" t="n"/>
      <c r="N252" s="30" t="n"/>
      <c r="O252" s="30" t="n"/>
      <c r="P252" s="30" t="n"/>
    </row>
    <row r="253">
      <c r="A253" s="27" t="n"/>
      <c r="B253" s="27" t="n"/>
      <c r="C253" s="352" t="n"/>
      <c r="D253" s="342" t="n"/>
      <c r="E253" s="343" t="n"/>
      <c r="F253" s="30" t="n"/>
      <c r="G253" s="30" t="n"/>
      <c r="H253" s="343" t="n"/>
      <c r="I253" s="343" t="n"/>
      <c r="J253" s="343" t="n"/>
      <c r="K253" s="346" t="n"/>
      <c r="L253" s="30" t="n"/>
      <c r="M253" s="30" t="n"/>
      <c r="N253" s="30" t="n"/>
      <c r="O253" s="30" t="n"/>
      <c r="P253" s="30" t="n"/>
    </row>
    <row r="254">
      <c r="A254" s="27" t="n"/>
      <c r="B254" s="27" t="n"/>
      <c r="C254" s="352" t="n"/>
      <c r="D254" s="342" t="n"/>
      <c r="E254" s="343" t="n"/>
      <c r="F254" s="30" t="n"/>
      <c r="G254" s="30" t="n"/>
      <c r="H254" s="343" t="n"/>
      <c r="I254" s="343" t="n"/>
      <c r="J254" s="343" t="n"/>
      <c r="K254" s="346" t="n"/>
      <c r="L254" s="30" t="n"/>
      <c r="M254" s="30" t="n"/>
      <c r="N254" s="30" t="n"/>
      <c r="O254" s="30" t="n"/>
      <c r="P254" s="30" t="n"/>
    </row>
    <row r="255">
      <c r="A255" s="27" t="n"/>
      <c r="B255" s="27" t="n"/>
      <c r="C255" s="352" t="n"/>
      <c r="D255" s="342" t="n"/>
      <c r="E255" s="343" t="n"/>
      <c r="F255" s="30" t="n"/>
      <c r="G255" s="30" t="n"/>
      <c r="H255" s="343" t="n"/>
      <c r="I255" s="343" t="n"/>
      <c r="J255" s="343" t="n"/>
      <c r="K255" s="346" t="n"/>
      <c r="L255" s="30" t="n"/>
      <c r="M255" s="30" t="n"/>
      <c r="N255" s="30" t="n"/>
      <c r="O255" s="30" t="n"/>
      <c r="P255" s="30" t="n"/>
    </row>
    <row r="256">
      <c r="A256" s="27" t="n"/>
      <c r="B256" s="27" t="n"/>
      <c r="C256" s="352" t="n"/>
      <c r="D256" s="342" t="n"/>
      <c r="E256" s="343" t="n"/>
      <c r="F256" s="30" t="n"/>
      <c r="G256" s="30" t="n"/>
      <c r="H256" s="343" t="n"/>
      <c r="I256" s="343" t="n"/>
      <c r="J256" s="343" t="n"/>
      <c r="K256" s="346" t="n"/>
      <c r="L256" s="30" t="n"/>
      <c r="M256" s="30" t="n"/>
      <c r="N256" s="30" t="n"/>
      <c r="O256" s="30" t="n"/>
      <c r="P256" s="30" t="n"/>
    </row>
    <row r="257">
      <c r="A257" s="27" t="n"/>
      <c r="B257" s="27" t="n"/>
      <c r="C257" s="352" t="n"/>
      <c r="D257" s="342" t="n"/>
      <c r="E257" s="343" t="n"/>
      <c r="F257" s="30" t="n"/>
      <c r="G257" s="30" t="n"/>
      <c r="H257" s="343" t="n"/>
      <c r="I257" s="343" t="n"/>
      <c r="J257" s="343" t="n"/>
      <c r="K257" s="346" t="n"/>
      <c r="L257" s="30" t="n"/>
      <c r="M257" s="30" t="n"/>
      <c r="N257" s="30" t="n"/>
      <c r="O257" s="30" t="n"/>
      <c r="P257" s="30" t="n"/>
    </row>
    <row r="258">
      <c r="A258" s="27" t="n"/>
      <c r="B258" s="27" t="n"/>
      <c r="C258" s="352" t="n"/>
      <c r="D258" s="342" t="n"/>
      <c r="E258" s="343" t="n"/>
      <c r="F258" s="30" t="n"/>
      <c r="G258" s="30" t="n"/>
      <c r="H258" s="343" t="n"/>
      <c r="I258" s="343" t="n"/>
      <c r="J258" s="343" t="n"/>
      <c r="K258" s="346" t="n"/>
      <c r="L258" s="30" t="n"/>
      <c r="M258" s="30" t="n"/>
      <c r="N258" s="30" t="n"/>
      <c r="O258" s="30" t="n"/>
      <c r="P258" s="30" t="n"/>
    </row>
    <row r="259">
      <c r="A259" s="27" t="n"/>
      <c r="B259" s="27" t="n"/>
      <c r="C259" s="352" t="n"/>
      <c r="D259" s="342" t="n"/>
      <c r="E259" s="343" t="n"/>
      <c r="F259" s="30" t="n"/>
      <c r="G259" s="30" t="n"/>
      <c r="H259" s="343" t="n"/>
      <c r="I259" s="343" t="n"/>
      <c r="J259" s="343" t="n"/>
      <c r="K259" s="346" t="n"/>
      <c r="L259" s="30" t="n"/>
      <c r="M259" s="30" t="n"/>
      <c r="N259" s="30" t="n"/>
      <c r="O259" s="30" t="n"/>
      <c r="P259" s="30" t="n"/>
    </row>
    <row r="260">
      <c r="A260" s="27" t="n"/>
      <c r="B260" s="27" t="n"/>
      <c r="C260" s="352" t="n"/>
      <c r="D260" s="342" t="n"/>
      <c r="E260" s="343" t="n"/>
      <c r="F260" s="30" t="n"/>
      <c r="G260" s="30" t="n"/>
      <c r="H260" s="343" t="n"/>
      <c r="I260" s="343" t="n"/>
      <c r="J260" s="343" t="n"/>
      <c r="K260" s="346" t="n"/>
      <c r="L260" s="30" t="n"/>
      <c r="M260" s="30" t="n"/>
      <c r="N260" s="30" t="n"/>
      <c r="O260" s="30" t="n"/>
      <c r="P260" s="30" t="n"/>
    </row>
    <row r="261">
      <c r="A261" s="27" t="n"/>
      <c r="B261" s="27" t="n"/>
      <c r="C261" s="352" t="n"/>
      <c r="D261" s="342" t="n"/>
      <c r="E261" s="343" t="n"/>
      <c r="F261" s="30" t="n"/>
      <c r="G261" s="30" t="n"/>
      <c r="H261" s="343" t="n"/>
      <c r="I261" s="343" t="n"/>
      <c r="J261" s="343" t="n"/>
      <c r="K261" s="346" t="n"/>
      <c r="L261" s="30" t="n"/>
      <c r="M261" s="30" t="n"/>
      <c r="N261" s="30" t="n"/>
      <c r="O261" s="30" t="n"/>
      <c r="P261" s="30" t="n"/>
    </row>
    <row r="262">
      <c r="A262" s="27" t="n"/>
      <c r="B262" s="27" t="n"/>
      <c r="C262" s="352" t="n"/>
      <c r="D262" s="342" t="n"/>
      <c r="E262" s="343" t="n"/>
      <c r="F262" s="30" t="n"/>
      <c r="G262" s="30" t="n"/>
      <c r="H262" s="343" t="n"/>
      <c r="I262" s="343" t="n"/>
      <c r="J262" s="343" t="n"/>
      <c r="K262" s="346" t="n"/>
      <c r="L262" s="30" t="n"/>
      <c r="M262" s="30" t="n"/>
      <c r="N262" s="30" t="n"/>
      <c r="O262" s="30" t="n"/>
      <c r="P262" s="30" t="n"/>
    </row>
    <row r="263">
      <c r="A263" s="27" t="n"/>
      <c r="B263" s="27" t="n"/>
      <c r="C263" s="352" t="n"/>
      <c r="D263" s="342" t="n"/>
      <c r="E263" s="343" t="n"/>
      <c r="F263" s="30" t="n"/>
      <c r="G263" s="30" t="n"/>
      <c r="H263" s="343" t="n"/>
      <c r="I263" s="343" t="n"/>
      <c r="J263" s="343" t="n"/>
      <c r="K263" s="346" t="n"/>
      <c r="L263" s="30" t="n"/>
      <c r="M263" s="30" t="n"/>
      <c r="N263" s="30" t="n"/>
      <c r="O263" s="30" t="n"/>
      <c r="P263" s="30" t="n"/>
    </row>
    <row r="264">
      <c r="A264" s="27" t="n"/>
      <c r="B264" s="27" t="n"/>
      <c r="C264" s="352" t="n"/>
      <c r="D264" s="342" t="n"/>
      <c r="E264" s="343" t="n"/>
      <c r="F264" s="30" t="n"/>
      <c r="G264" s="30" t="n"/>
      <c r="H264" s="343" t="n"/>
      <c r="I264" s="343" t="n"/>
      <c r="J264" s="343" t="n"/>
      <c r="K264" s="346" t="n"/>
      <c r="L264" s="30" t="n"/>
      <c r="M264" s="30" t="n"/>
      <c r="N264" s="30" t="n"/>
      <c r="O264" s="30" t="n"/>
      <c r="P264" s="30" t="n"/>
    </row>
    <row r="265">
      <c r="A265" s="27" t="n"/>
      <c r="B265" s="27" t="n"/>
      <c r="C265" s="352" t="n"/>
      <c r="D265" s="342" t="n"/>
      <c r="E265" s="343" t="n"/>
      <c r="F265" s="30" t="n"/>
      <c r="G265" s="30" t="n"/>
      <c r="H265" s="343" t="n"/>
      <c r="I265" s="343" t="n"/>
      <c r="J265" s="343" t="n"/>
      <c r="K265" s="346" t="n"/>
      <c r="L265" s="30" t="n"/>
      <c r="M265" s="30" t="n"/>
      <c r="N265" s="30" t="n"/>
      <c r="O265" s="30" t="n"/>
      <c r="P265" s="30" t="n"/>
    </row>
    <row r="266">
      <c r="A266" s="27" t="n"/>
      <c r="B266" s="27" t="n"/>
      <c r="C266" s="352" t="n"/>
      <c r="D266" s="342" t="n"/>
      <c r="E266" s="343" t="n"/>
      <c r="F266" s="30" t="n"/>
      <c r="G266" s="30" t="n"/>
      <c r="H266" s="343" t="n"/>
      <c r="I266" s="343" t="n"/>
      <c r="J266" s="343" t="n"/>
      <c r="K266" s="346" t="n"/>
      <c r="L266" s="30" t="n"/>
      <c r="M266" s="30" t="n"/>
      <c r="N266" s="30" t="n"/>
      <c r="O266" s="30" t="n"/>
      <c r="P266" s="30" t="n"/>
    </row>
    <row r="267">
      <c r="A267" s="27" t="n"/>
      <c r="B267" s="27" t="n"/>
      <c r="C267" s="352" t="n"/>
      <c r="D267" s="342" t="n"/>
      <c r="E267" s="343" t="n"/>
      <c r="F267" s="30" t="n"/>
      <c r="G267" s="30" t="n"/>
      <c r="H267" s="343" t="n"/>
      <c r="I267" s="343" t="n"/>
      <c r="J267" s="343" t="n"/>
      <c r="K267" s="346" t="n"/>
      <c r="L267" s="30" t="n"/>
      <c r="M267" s="30" t="n"/>
      <c r="N267" s="30" t="n"/>
      <c r="O267" s="30" t="n"/>
      <c r="P267" s="30" t="n"/>
    </row>
    <row r="268">
      <c r="A268" s="27" t="n"/>
      <c r="B268" s="27" t="n"/>
      <c r="C268" s="352" t="n"/>
      <c r="D268" s="342" t="n"/>
      <c r="E268" s="343" t="n"/>
      <c r="F268" s="30" t="n"/>
      <c r="G268" s="30" t="n"/>
      <c r="H268" s="343" t="n"/>
      <c r="I268" s="343" t="n"/>
      <c r="J268" s="343" t="n"/>
      <c r="K268" s="346" t="n"/>
      <c r="L268" s="30" t="n"/>
      <c r="M268" s="30" t="n"/>
      <c r="N268" s="30" t="n"/>
      <c r="O268" s="30" t="n"/>
      <c r="P268" s="30" t="n"/>
    </row>
    <row r="269">
      <c r="A269" s="27" t="n"/>
      <c r="B269" s="27" t="n"/>
      <c r="C269" s="352" t="n"/>
      <c r="D269" s="342" t="n"/>
      <c r="E269" s="343" t="n"/>
      <c r="F269" s="30" t="n"/>
      <c r="G269" s="30" t="n"/>
      <c r="H269" s="343" t="n"/>
      <c r="I269" s="343" t="n"/>
      <c r="J269" s="343" t="n"/>
      <c r="K269" s="346" t="n"/>
      <c r="L269" s="30" t="n"/>
      <c r="M269" s="30" t="n"/>
      <c r="N269" s="30" t="n"/>
      <c r="O269" s="30" t="n"/>
      <c r="P269" s="30" t="n"/>
    </row>
    <row r="270">
      <c r="A270" s="27" t="n"/>
      <c r="B270" s="27" t="n"/>
      <c r="C270" s="352" t="n"/>
      <c r="D270" s="342" t="n"/>
      <c r="E270" s="343" t="n"/>
      <c r="F270" s="30" t="n"/>
      <c r="G270" s="30" t="n"/>
      <c r="H270" s="343" t="n"/>
      <c r="I270" s="343" t="n"/>
      <c r="J270" s="343" t="n"/>
      <c r="K270" s="346" t="n"/>
      <c r="L270" s="30" t="n"/>
      <c r="M270" s="30" t="n"/>
      <c r="N270" s="30" t="n"/>
      <c r="O270" s="30" t="n"/>
      <c r="P270" s="30" t="n"/>
    </row>
    <row r="271">
      <c r="A271" s="27" t="n"/>
      <c r="B271" s="27" t="n"/>
      <c r="C271" s="352" t="n"/>
      <c r="D271" s="342" t="n"/>
      <c r="E271" s="343" t="n"/>
      <c r="F271" s="30" t="n"/>
      <c r="G271" s="30" t="n"/>
      <c r="H271" s="343" t="n"/>
      <c r="I271" s="343" t="n"/>
      <c r="J271" s="343" t="n"/>
      <c r="K271" s="346" t="n"/>
      <c r="L271" s="30" t="n"/>
      <c r="M271" s="30" t="n"/>
      <c r="N271" s="30" t="n"/>
      <c r="O271" s="30" t="n"/>
      <c r="P271" s="30" t="n"/>
    </row>
    <row r="272">
      <c r="A272" s="27" t="n"/>
      <c r="B272" s="27" t="n"/>
      <c r="C272" s="352" t="n"/>
      <c r="D272" s="342" t="n"/>
      <c r="E272" s="343" t="n"/>
      <c r="F272" s="30" t="n"/>
      <c r="G272" s="30" t="n"/>
      <c r="H272" s="343" t="n"/>
      <c r="I272" s="343" t="n"/>
      <c r="J272" s="343" t="n"/>
      <c r="K272" s="346" t="n"/>
      <c r="L272" s="30" t="n"/>
      <c r="M272" s="30" t="n"/>
      <c r="N272" s="30" t="n"/>
      <c r="O272" s="30" t="n"/>
      <c r="P272" s="30" t="n"/>
    </row>
    <row r="273">
      <c r="A273" s="27" t="n"/>
      <c r="B273" s="27" t="n"/>
      <c r="C273" s="352" t="n"/>
      <c r="D273" s="342" t="n"/>
      <c r="E273" s="343" t="n"/>
      <c r="F273" s="30" t="n"/>
      <c r="G273" s="30" t="n"/>
      <c r="H273" s="343" t="n"/>
      <c r="I273" s="343" t="n"/>
      <c r="J273" s="343" t="n"/>
      <c r="K273" s="346" t="n"/>
      <c r="L273" s="30" t="n"/>
      <c r="M273" s="30" t="n"/>
      <c r="N273" s="30" t="n"/>
      <c r="O273" s="30" t="n"/>
      <c r="P273" s="30" t="n"/>
    </row>
    <row r="274">
      <c r="A274" s="27" t="n"/>
      <c r="B274" s="27" t="n"/>
      <c r="C274" s="352" t="n"/>
      <c r="D274" s="342" t="n"/>
      <c r="E274" s="343" t="n"/>
      <c r="F274" s="30" t="n"/>
      <c r="G274" s="30" t="n"/>
      <c r="H274" s="343" t="n"/>
      <c r="I274" s="343" t="n"/>
      <c r="J274" s="343" t="n"/>
      <c r="K274" s="346" t="n"/>
      <c r="L274" s="30" t="n"/>
      <c r="M274" s="30" t="n"/>
      <c r="N274" s="30" t="n"/>
      <c r="O274" s="30" t="n"/>
      <c r="P274" s="30" t="n"/>
    </row>
    <row r="275">
      <c r="A275" s="27" t="n"/>
      <c r="B275" s="27" t="n"/>
      <c r="C275" s="352" t="n"/>
      <c r="D275" s="342" t="n"/>
      <c r="E275" s="343" t="n"/>
      <c r="F275" s="30" t="n"/>
      <c r="G275" s="30" t="n"/>
      <c r="H275" s="343" t="n"/>
      <c r="I275" s="343" t="n"/>
      <c r="J275" s="343" t="n"/>
      <c r="K275" s="346" t="n"/>
      <c r="L275" s="30" t="n"/>
      <c r="M275" s="30" t="n"/>
      <c r="N275" s="30" t="n"/>
      <c r="O275" s="30" t="n"/>
      <c r="P275" s="30" t="n"/>
    </row>
    <row r="276">
      <c r="A276" s="27" t="n"/>
      <c r="B276" s="27" t="n"/>
      <c r="C276" s="352" t="n"/>
      <c r="D276" s="342" t="n"/>
      <c r="E276" s="343" t="n"/>
      <c r="F276" s="30" t="n"/>
      <c r="G276" s="30" t="n"/>
      <c r="H276" s="343" t="n"/>
      <c r="I276" s="343" t="n"/>
      <c r="J276" s="343" t="n"/>
      <c r="K276" s="346" t="n"/>
      <c r="L276" s="30" t="n"/>
      <c r="M276" s="30" t="n"/>
      <c r="N276" s="30" t="n"/>
      <c r="O276" s="30" t="n"/>
      <c r="P276" s="30" t="n"/>
    </row>
    <row r="277">
      <c r="A277" s="27" t="n"/>
      <c r="B277" s="27" t="n"/>
      <c r="C277" s="352" t="n"/>
      <c r="D277" s="342" t="n"/>
      <c r="E277" s="343" t="n"/>
      <c r="F277" s="30" t="n"/>
      <c r="G277" s="30" t="n"/>
      <c r="H277" s="343" t="n"/>
      <c r="I277" s="343" t="n"/>
      <c r="J277" s="343" t="n"/>
      <c r="K277" s="346" t="n"/>
      <c r="L277" s="30" t="n"/>
      <c r="M277" s="30" t="n"/>
      <c r="N277" s="30" t="n"/>
      <c r="O277" s="30" t="n"/>
      <c r="P277" s="30" t="n"/>
    </row>
    <row r="278">
      <c r="A278" s="27" t="n"/>
      <c r="B278" s="27" t="n"/>
      <c r="C278" s="352" t="n"/>
      <c r="D278" s="342" t="n"/>
      <c r="E278" s="343" t="n"/>
      <c r="F278" s="30" t="n"/>
      <c r="G278" s="30" t="n"/>
      <c r="H278" s="343" t="n"/>
      <c r="I278" s="343" t="n"/>
      <c r="J278" s="343" t="n"/>
      <c r="K278" s="346" t="n"/>
      <c r="L278" s="30" t="n"/>
      <c r="M278" s="30" t="n"/>
      <c r="N278" s="30" t="n"/>
      <c r="O278" s="30" t="n"/>
      <c r="P278" s="30" t="n"/>
    </row>
    <row r="279">
      <c r="A279" s="27" t="n"/>
      <c r="B279" s="27" t="n"/>
      <c r="C279" s="352" t="n"/>
      <c r="D279" s="342" t="n"/>
      <c r="E279" s="343" t="n"/>
      <c r="F279" s="30" t="n"/>
      <c r="G279" s="30" t="n"/>
      <c r="H279" s="343" t="n"/>
      <c r="I279" s="343" t="n"/>
      <c r="J279" s="343" t="n"/>
      <c r="K279" s="346" t="n"/>
      <c r="L279" s="30" t="n"/>
      <c r="M279" s="30" t="n"/>
      <c r="N279" s="30" t="n"/>
      <c r="O279" s="30" t="n"/>
      <c r="P279" s="30" t="n"/>
    </row>
    <row r="280">
      <c r="A280" s="27" t="n"/>
      <c r="B280" s="27" t="n"/>
      <c r="C280" s="352" t="n"/>
      <c r="D280" s="342" t="n"/>
      <c r="E280" s="343" t="n"/>
      <c r="F280" s="30" t="n"/>
      <c r="G280" s="30" t="n"/>
      <c r="H280" s="343" t="n"/>
      <c r="I280" s="343" t="n"/>
      <c r="J280" s="343" t="n"/>
      <c r="K280" s="346" t="n"/>
      <c r="L280" s="30" t="n"/>
      <c r="M280" s="30" t="n"/>
      <c r="N280" s="30" t="n"/>
      <c r="O280" s="30" t="n"/>
      <c r="P280" s="30" t="n"/>
    </row>
    <row r="281">
      <c r="A281" s="27" t="n"/>
      <c r="B281" s="27" t="n"/>
      <c r="C281" s="352" t="n"/>
      <c r="D281" s="342" t="n"/>
      <c r="E281" s="343" t="n"/>
      <c r="F281" s="30" t="n"/>
      <c r="G281" s="30" t="n"/>
      <c r="H281" s="343" t="n"/>
      <c r="I281" s="343" t="n"/>
      <c r="J281" s="343" t="n"/>
      <c r="K281" s="346" t="n"/>
      <c r="L281" s="30" t="n"/>
      <c r="M281" s="30" t="n"/>
      <c r="N281" s="30" t="n"/>
      <c r="O281" s="30" t="n"/>
      <c r="P281" s="30" t="n"/>
    </row>
    <row r="282">
      <c r="A282" s="27" t="n"/>
      <c r="B282" s="27" t="n"/>
      <c r="C282" s="352" t="n"/>
      <c r="D282" s="342" t="n"/>
      <c r="E282" s="343" t="n"/>
      <c r="F282" s="30" t="n"/>
      <c r="G282" s="30" t="n"/>
      <c r="H282" s="343" t="n"/>
      <c r="I282" s="343" t="n"/>
      <c r="J282" s="343" t="n"/>
      <c r="K282" s="346" t="n"/>
      <c r="L282" s="30" t="n"/>
      <c r="M282" s="30" t="n"/>
      <c r="N282" s="30" t="n"/>
      <c r="O282" s="30" t="n"/>
      <c r="P282" s="30" t="n"/>
    </row>
    <row r="283">
      <c r="A283" s="27" t="n"/>
      <c r="B283" s="27" t="n"/>
      <c r="C283" s="352" t="n"/>
      <c r="D283" s="342" t="n"/>
      <c r="E283" s="343" t="n"/>
      <c r="F283" s="30" t="n"/>
      <c r="G283" s="30" t="n"/>
      <c r="H283" s="343" t="n"/>
      <c r="I283" s="343" t="n"/>
      <c r="J283" s="343" t="n"/>
      <c r="K283" s="346" t="n"/>
      <c r="L283" s="30" t="n"/>
      <c r="M283" s="30" t="n"/>
      <c r="N283" s="30" t="n"/>
      <c r="O283" s="30" t="n"/>
      <c r="P283" s="30" t="n"/>
    </row>
    <row r="284">
      <c r="A284" s="27" t="n"/>
      <c r="B284" s="27" t="n"/>
      <c r="C284" s="352" t="n"/>
      <c r="D284" s="342" t="n"/>
      <c r="E284" s="343" t="n"/>
      <c r="F284" s="30" t="n"/>
      <c r="G284" s="30" t="n"/>
      <c r="H284" s="343" t="n"/>
      <c r="I284" s="343" t="n"/>
      <c r="J284" s="343" t="n"/>
      <c r="K284" s="346" t="n"/>
      <c r="L284" s="30" t="n"/>
      <c r="M284" s="30" t="n"/>
      <c r="N284" s="30" t="n"/>
      <c r="O284" s="30" t="n"/>
      <c r="P284" s="30" t="n"/>
    </row>
    <row r="285">
      <c r="A285" s="27" t="n"/>
      <c r="B285" s="27" t="n"/>
      <c r="C285" s="352" t="n"/>
      <c r="D285" s="342" t="n"/>
      <c r="E285" s="343" t="n"/>
      <c r="F285" s="30" t="n"/>
      <c r="G285" s="30" t="n"/>
      <c r="H285" s="343" t="n"/>
      <c r="I285" s="343" t="n"/>
      <c r="J285" s="343" t="n"/>
      <c r="K285" s="346" t="n"/>
      <c r="L285" s="30" t="n"/>
      <c r="M285" s="30" t="n"/>
      <c r="N285" s="30" t="n"/>
      <c r="O285" s="30" t="n"/>
      <c r="P285" s="30" t="n"/>
    </row>
    <row r="286">
      <c r="A286" s="27" t="n"/>
      <c r="B286" s="27" t="n"/>
      <c r="C286" s="352" t="n"/>
      <c r="D286" s="342" t="n"/>
      <c r="E286" s="343" t="n"/>
      <c r="F286" s="30" t="n"/>
      <c r="G286" s="30" t="n"/>
      <c r="H286" s="343" t="n"/>
      <c r="I286" s="343" t="n"/>
      <c r="J286" s="343" t="n"/>
      <c r="K286" s="346" t="n"/>
      <c r="L286" s="30" t="n"/>
      <c r="M286" s="30" t="n"/>
      <c r="N286" s="30" t="n"/>
      <c r="O286" s="30" t="n"/>
      <c r="P286" s="30" t="n"/>
    </row>
    <row r="287">
      <c r="A287" s="27" t="n"/>
      <c r="B287" s="27" t="n"/>
      <c r="C287" s="352" t="n"/>
      <c r="D287" s="342" t="n"/>
      <c r="E287" s="343" t="n"/>
      <c r="F287" s="30" t="n"/>
      <c r="G287" s="30" t="n"/>
      <c r="H287" s="343" t="n"/>
      <c r="I287" s="343" t="n"/>
      <c r="J287" s="343" t="n"/>
      <c r="K287" s="346" t="n"/>
      <c r="L287" s="30" t="n"/>
      <c r="M287" s="30" t="n"/>
      <c r="N287" s="30" t="n"/>
      <c r="O287" s="30" t="n"/>
      <c r="P287" s="30" t="n"/>
    </row>
    <row r="288">
      <c r="A288" s="27" t="n"/>
      <c r="B288" s="27" t="n"/>
      <c r="C288" s="352" t="n"/>
      <c r="D288" s="342" t="n"/>
      <c r="E288" s="343" t="n"/>
      <c r="F288" s="30" t="n"/>
      <c r="G288" s="30" t="n"/>
      <c r="H288" s="343" t="n"/>
      <c r="I288" s="343" t="n"/>
      <c r="J288" s="343" t="n"/>
      <c r="K288" s="346" t="n"/>
      <c r="L288" s="30" t="n"/>
      <c r="M288" s="30" t="n"/>
      <c r="N288" s="30" t="n"/>
      <c r="O288" s="30" t="n"/>
      <c r="P288" s="30" t="n"/>
    </row>
    <row r="289">
      <c r="A289" s="27" t="n"/>
      <c r="B289" s="27" t="n"/>
      <c r="C289" s="352" t="n"/>
      <c r="D289" s="342" t="n"/>
      <c r="E289" s="343" t="n"/>
      <c r="F289" s="30" t="n"/>
      <c r="G289" s="30" t="n"/>
      <c r="H289" s="343" t="n"/>
      <c r="I289" s="343" t="n"/>
      <c r="J289" s="343" t="n"/>
      <c r="K289" s="346" t="n"/>
      <c r="L289" s="30" t="n"/>
      <c r="M289" s="30" t="n"/>
      <c r="N289" s="30" t="n"/>
      <c r="O289" s="30" t="n"/>
      <c r="P289" s="30" t="n"/>
    </row>
    <row r="290">
      <c r="A290" s="27" t="n"/>
      <c r="B290" s="27" t="n"/>
      <c r="C290" s="352" t="n"/>
      <c r="D290" s="342" t="n"/>
      <c r="E290" s="343" t="n"/>
      <c r="F290" s="30" t="n"/>
      <c r="G290" s="30" t="n"/>
      <c r="H290" s="343" t="n"/>
      <c r="I290" s="343" t="n"/>
      <c r="J290" s="343" t="n"/>
      <c r="K290" s="346" t="n"/>
      <c r="L290" s="30" t="n"/>
      <c r="M290" s="30" t="n"/>
      <c r="N290" s="30" t="n"/>
      <c r="O290" s="30" t="n"/>
      <c r="P290" s="30" t="n"/>
    </row>
    <row r="291">
      <c r="A291" s="27" t="n"/>
      <c r="B291" s="27" t="n"/>
      <c r="C291" s="352" t="n"/>
      <c r="D291" s="342" t="n"/>
      <c r="E291" s="343" t="n"/>
      <c r="F291" s="30" t="n"/>
      <c r="G291" s="30" t="n"/>
      <c r="H291" s="343" t="n"/>
      <c r="I291" s="343" t="n"/>
      <c r="J291" s="343" t="n"/>
      <c r="K291" s="346" t="n"/>
      <c r="L291" s="30" t="n"/>
      <c r="M291" s="30" t="n"/>
      <c r="N291" s="30" t="n"/>
      <c r="O291" s="30" t="n"/>
      <c r="P291" s="30" t="n"/>
    </row>
    <row r="292">
      <c r="A292" s="27" t="n"/>
      <c r="B292" s="27" t="n"/>
      <c r="C292" s="352" t="n"/>
      <c r="D292" s="342" t="n"/>
      <c r="E292" s="343" t="n"/>
      <c r="F292" s="30" t="n"/>
      <c r="G292" s="30" t="n"/>
      <c r="H292" s="343" t="n"/>
      <c r="I292" s="343" t="n"/>
      <c r="J292" s="343" t="n"/>
      <c r="K292" s="346" t="n"/>
      <c r="L292" s="30" t="n"/>
      <c r="M292" s="30" t="n"/>
      <c r="N292" s="30" t="n"/>
      <c r="O292" s="30" t="n"/>
      <c r="P292" s="30" t="n"/>
    </row>
    <row r="293">
      <c r="A293" s="27" t="n"/>
      <c r="B293" s="27" t="n"/>
      <c r="C293" s="352" t="n"/>
      <c r="D293" s="342" t="n"/>
      <c r="E293" s="343" t="n"/>
      <c r="F293" s="30" t="n"/>
      <c r="G293" s="30" t="n"/>
      <c r="H293" s="343" t="n"/>
      <c r="I293" s="343" t="n"/>
      <c r="J293" s="343" t="n"/>
      <c r="K293" s="346" t="n"/>
      <c r="L293" s="30" t="n"/>
      <c r="M293" s="30" t="n"/>
      <c r="N293" s="30" t="n"/>
      <c r="O293" s="30" t="n"/>
      <c r="P293" s="30" t="n"/>
    </row>
    <row r="294">
      <c r="A294" s="27" t="n"/>
      <c r="B294" s="27" t="n"/>
      <c r="C294" s="352" t="n"/>
      <c r="D294" s="342" t="n"/>
      <c r="E294" s="343" t="n"/>
      <c r="F294" s="30" t="n"/>
      <c r="G294" s="30" t="n"/>
      <c r="H294" s="343" t="n"/>
      <c r="I294" s="343" t="n"/>
      <c r="J294" s="343" t="n"/>
      <c r="K294" s="346" t="n"/>
      <c r="L294" s="30" t="n"/>
      <c r="M294" s="30" t="n"/>
      <c r="N294" s="30" t="n"/>
      <c r="O294" s="30" t="n"/>
      <c r="P294" s="30" t="n"/>
    </row>
    <row r="295">
      <c r="A295" s="27" t="n"/>
      <c r="B295" s="27" t="n"/>
      <c r="C295" s="352" t="n"/>
      <c r="D295" s="342" t="n"/>
      <c r="E295" s="343" t="n"/>
      <c r="F295" s="30" t="n"/>
      <c r="G295" s="30" t="n"/>
      <c r="H295" s="343" t="n"/>
      <c r="I295" s="343" t="n"/>
      <c r="J295" s="343" t="n"/>
      <c r="K295" s="346" t="n"/>
      <c r="L295" s="30" t="n"/>
      <c r="M295" s="30" t="n"/>
      <c r="N295" s="30" t="n"/>
      <c r="O295" s="30" t="n"/>
      <c r="P295" s="30" t="n"/>
    </row>
    <row r="296">
      <c r="A296" s="27" t="n"/>
      <c r="B296" s="27" t="n"/>
      <c r="C296" s="352" t="n"/>
      <c r="D296" s="342" t="n"/>
      <c r="E296" s="343" t="n"/>
      <c r="F296" s="30" t="n"/>
      <c r="G296" s="30" t="n"/>
      <c r="H296" s="343" t="n"/>
      <c r="I296" s="343" t="n"/>
      <c r="J296" s="343" t="n"/>
      <c r="K296" s="346" t="n"/>
      <c r="L296" s="30" t="n"/>
      <c r="M296" s="30" t="n"/>
      <c r="N296" s="30" t="n"/>
      <c r="O296" s="30" t="n"/>
      <c r="P296" s="30" t="n"/>
    </row>
    <row r="297">
      <c r="A297" s="27" t="n"/>
      <c r="B297" s="27" t="n"/>
      <c r="C297" s="352" t="n"/>
      <c r="D297" s="342" t="n"/>
      <c r="E297" s="343" t="n"/>
      <c r="F297" s="30" t="n"/>
      <c r="G297" s="30" t="n"/>
      <c r="H297" s="343" t="n"/>
      <c r="I297" s="343" t="n"/>
      <c r="J297" s="343" t="n"/>
      <c r="K297" s="346" t="n"/>
      <c r="L297" s="30" t="n"/>
      <c r="M297" s="30" t="n"/>
      <c r="N297" s="30" t="n"/>
      <c r="O297" s="30" t="n"/>
      <c r="P297" s="30" t="n"/>
    </row>
    <row r="298">
      <c r="A298" s="27" t="n"/>
      <c r="B298" s="27" t="n"/>
      <c r="C298" s="352" t="n"/>
      <c r="D298" s="342" t="n"/>
      <c r="E298" s="343" t="n"/>
      <c r="F298" s="30" t="n"/>
      <c r="G298" s="30" t="n"/>
      <c r="H298" s="343" t="n"/>
      <c r="I298" s="343" t="n"/>
      <c r="J298" s="343" t="n"/>
      <c r="K298" s="346" t="n"/>
      <c r="L298" s="30" t="n"/>
      <c r="M298" s="30" t="n"/>
      <c r="N298" s="30" t="n"/>
      <c r="O298" s="30" t="n"/>
      <c r="P298" s="30" t="n"/>
    </row>
    <row r="299">
      <c r="A299" s="27" t="n"/>
      <c r="B299" s="27" t="n"/>
      <c r="C299" s="352" t="n"/>
      <c r="D299" s="342" t="n"/>
      <c r="E299" s="343" t="n"/>
      <c r="F299" s="30" t="n"/>
      <c r="G299" s="30" t="n"/>
      <c r="H299" s="343" t="n"/>
      <c r="I299" s="343" t="n"/>
      <c r="J299" s="343" t="n"/>
      <c r="K299" s="346" t="n"/>
      <c r="L299" s="30" t="n"/>
      <c r="M299" s="30" t="n"/>
      <c r="N299" s="30" t="n"/>
      <c r="O299" s="30" t="n"/>
      <c r="P299" s="30" t="n"/>
    </row>
    <row r="300">
      <c r="A300" s="27" t="n"/>
      <c r="B300" s="27" t="n"/>
      <c r="C300" s="352" t="n"/>
      <c r="D300" s="342" t="n"/>
      <c r="E300" s="343" t="n"/>
      <c r="F300" s="30" t="n"/>
      <c r="G300" s="30" t="n"/>
      <c r="H300" s="343" t="n"/>
      <c r="I300" s="343" t="n"/>
      <c r="J300" s="343" t="n"/>
      <c r="K300" s="346" t="n"/>
      <c r="L300" s="30" t="n"/>
      <c r="M300" s="30" t="n"/>
      <c r="N300" s="30" t="n"/>
      <c r="O300" s="30" t="n"/>
      <c r="P300" s="30" t="n"/>
    </row>
    <row r="301">
      <c r="A301" s="27" t="n"/>
      <c r="B301" s="27" t="n"/>
      <c r="C301" s="352" t="n"/>
      <c r="D301" s="342" t="n"/>
      <c r="E301" s="343" t="n"/>
      <c r="F301" s="30" t="n"/>
      <c r="G301" s="30" t="n"/>
      <c r="H301" s="343" t="n"/>
      <c r="I301" s="343" t="n"/>
      <c r="J301" s="343" t="n"/>
      <c r="K301" s="346" t="n"/>
      <c r="L301" s="30" t="n"/>
      <c r="M301" s="30" t="n"/>
      <c r="N301" s="30" t="n"/>
      <c r="O301" s="30" t="n"/>
      <c r="P301" s="30" t="n"/>
    </row>
    <row r="302">
      <c r="A302" s="27" t="n"/>
      <c r="B302" s="27" t="n"/>
      <c r="C302" s="352" t="n"/>
      <c r="D302" s="342" t="n"/>
      <c r="E302" s="343" t="n"/>
      <c r="F302" s="30" t="n"/>
      <c r="G302" s="30" t="n"/>
      <c r="H302" s="343" t="n"/>
      <c r="I302" s="343" t="n"/>
      <c r="J302" s="343" t="n"/>
      <c r="K302" s="346" t="n"/>
      <c r="L302" s="30" t="n"/>
      <c r="M302" s="30" t="n"/>
      <c r="N302" s="30" t="n"/>
      <c r="O302" s="30" t="n"/>
      <c r="P302" s="30" t="n"/>
    </row>
    <row r="303">
      <c r="A303" s="27" t="n"/>
      <c r="B303" s="27" t="n"/>
      <c r="C303" s="352" t="n"/>
      <c r="D303" s="342" t="n"/>
      <c r="E303" s="343" t="n"/>
      <c r="F303" s="30" t="n"/>
      <c r="G303" s="30" t="n"/>
      <c r="H303" s="343" t="n"/>
      <c r="I303" s="343" t="n"/>
      <c r="J303" s="343" t="n"/>
      <c r="K303" s="346" t="n"/>
      <c r="L303" s="30" t="n"/>
      <c r="M303" s="30" t="n"/>
      <c r="N303" s="30" t="n"/>
      <c r="O303" s="30" t="n"/>
      <c r="P303" s="30" t="n"/>
    </row>
    <row r="304">
      <c r="A304" s="27" t="n"/>
      <c r="B304" s="27" t="n"/>
      <c r="C304" s="352" t="n"/>
      <c r="D304" s="342" t="n"/>
      <c r="E304" s="343" t="n"/>
      <c r="F304" s="30" t="n"/>
      <c r="G304" s="30" t="n"/>
      <c r="H304" s="343" t="n"/>
      <c r="I304" s="343" t="n"/>
      <c r="J304" s="343" t="n"/>
      <c r="K304" s="346" t="n"/>
      <c r="L304" s="30" t="n"/>
      <c r="M304" s="30" t="n"/>
      <c r="N304" s="30" t="n"/>
      <c r="O304" s="30" t="n"/>
      <c r="P304" s="30" t="n"/>
    </row>
    <row r="305">
      <c r="A305" s="27" t="n"/>
      <c r="B305" s="27" t="n"/>
      <c r="C305" s="352" t="n"/>
      <c r="D305" s="342" t="n"/>
      <c r="E305" s="343" t="n"/>
      <c r="F305" s="30" t="n"/>
      <c r="G305" s="30" t="n"/>
      <c r="H305" s="343" t="n"/>
      <c r="I305" s="343" t="n"/>
      <c r="J305" s="343" t="n"/>
      <c r="K305" s="346" t="n"/>
      <c r="L305" s="30" t="n"/>
      <c r="M305" s="30" t="n"/>
      <c r="N305" s="30" t="n"/>
      <c r="O305" s="30" t="n"/>
      <c r="P305" s="30" t="n"/>
    </row>
    <row r="306">
      <c r="A306" s="27" t="n"/>
      <c r="B306" s="27" t="n"/>
      <c r="C306" s="352" t="n"/>
      <c r="D306" s="342" t="n"/>
      <c r="E306" s="343" t="n"/>
      <c r="F306" s="30" t="n"/>
      <c r="G306" s="30" t="n"/>
      <c r="H306" s="343" t="n"/>
      <c r="I306" s="343" t="n"/>
      <c r="J306" s="343" t="n"/>
      <c r="K306" s="346" t="n"/>
      <c r="L306" s="30" t="n"/>
      <c r="M306" s="30" t="n"/>
      <c r="N306" s="30" t="n"/>
      <c r="O306" s="30" t="n"/>
      <c r="P306" s="30" t="n"/>
    </row>
    <row r="307">
      <c r="A307" s="27" t="n"/>
      <c r="B307" s="27" t="n"/>
      <c r="C307" s="352" t="n"/>
      <c r="D307" s="342" t="n"/>
      <c r="E307" s="343" t="n"/>
      <c r="F307" s="30" t="n"/>
      <c r="G307" s="30" t="n"/>
      <c r="H307" s="343" t="n"/>
      <c r="I307" s="343" t="n"/>
      <c r="J307" s="343" t="n"/>
      <c r="K307" s="346" t="n"/>
      <c r="L307" s="30" t="n"/>
      <c r="M307" s="30" t="n"/>
      <c r="N307" s="30" t="n"/>
      <c r="O307" s="30" t="n"/>
      <c r="P307" s="30" t="n"/>
    </row>
    <row r="308">
      <c r="A308" s="27" t="n"/>
      <c r="B308" s="27" t="n"/>
      <c r="C308" s="352" t="n"/>
      <c r="D308" s="342" t="n"/>
      <c r="E308" s="343" t="n"/>
      <c r="F308" s="30" t="n"/>
      <c r="G308" s="30" t="n"/>
      <c r="H308" s="343" t="n"/>
      <c r="I308" s="343" t="n"/>
      <c r="J308" s="343" t="n"/>
      <c r="K308" s="346" t="n"/>
      <c r="L308" s="30" t="n"/>
      <c r="M308" s="30" t="n"/>
      <c r="N308" s="30" t="n"/>
      <c r="O308" s="30" t="n"/>
      <c r="P308" s="30" t="n"/>
    </row>
    <row r="309">
      <c r="A309" s="27" t="n"/>
      <c r="B309" s="27" t="n"/>
      <c r="C309" s="352" t="n"/>
      <c r="D309" s="342" t="n"/>
      <c r="E309" s="343" t="n"/>
      <c r="F309" s="30" t="n"/>
      <c r="G309" s="30" t="n"/>
      <c r="H309" s="343" t="n"/>
      <c r="I309" s="343" t="n"/>
      <c r="J309" s="343" t="n"/>
      <c r="K309" s="346" t="n"/>
      <c r="L309" s="30" t="n"/>
      <c r="M309" s="30" t="n"/>
      <c r="N309" s="30" t="n"/>
      <c r="O309" s="30" t="n"/>
      <c r="P309" s="30" t="n"/>
    </row>
    <row r="310">
      <c r="A310" s="27" t="n"/>
      <c r="B310" s="27" t="n"/>
      <c r="C310" s="352" t="n"/>
      <c r="D310" s="342" t="n"/>
      <c r="E310" s="343" t="n"/>
      <c r="F310" s="30" t="n"/>
      <c r="G310" s="30" t="n"/>
      <c r="H310" s="343" t="n"/>
      <c r="I310" s="343" t="n"/>
      <c r="J310" s="343" t="n"/>
      <c r="K310" s="346" t="n"/>
      <c r="L310" s="30" t="n"/>
      <c r="M310" s="30" t="n"/>
      <c r="N310" s="30" t="n"/>
      <c r="O310" s="30" t="n"/>
      <c r="P310" s="30" t="n"/>
    </row>
    <row r="311">
      <c r="A311" s="27" t="n"/>
      <c r="B311" s="27" t="n"/>
      <c r="C311" s="352" t="n"/>
      <c r="D311" s="342" t="n"/>
      <c r="E311" s="343" t="n"/>
      <c r="F311" s="30" t="n"/>
      <c r="G311" s="30" t="n"/>
      <c r="H311" s="343" t="n"/>
      <c r="I311" s="343" t="n"/>
      <c r="J311" s="343" t="n"/>
      <c r="K311" s="346" t="n"/>
      <c r="L311" s="30" t="n"/>
      <c r="M311" s="30" t="n"/>
      <c r="N311" s="30" t="n"/>
      <c r="O311" s="30" t="n"/>
      <c r="P311" s="30" t="n"/>
    </row>
    <row r="312">
      <c r="A312" s="27" t="n"/>
      <c r="B312" s="27" t="n"/>
      <c r="C312" s="352" t="n"/>
      <c r="D312" s="342" t="n"/>
      <c r="E312" s="343" t="n"/>
      <c r="F312" s="30" t="n"/>
      <c r="G312" s="30" t="n"/>
      <c r="H312" s="343" t="n"/>
      <c r="I312" s="343" t="n"/>
      <c r="J312" s="343" t="n"/>
      <c r="K312" s="346" t="n"/>
      <c r="L312" s="30" t="n"/>
      <c r="M312" s="30" t="n"/>
      <c r="N312" s="30" t="n"/>
      <c r="O312" s="30" t="n"/>
      <c r="P312" s="30" t="n"/>
    </row>
    <row r="313">
      <c r="A313" s="27" t="n"/>
      <c r="B313" s="27" t="n"/>
      <c r="C313" s="352" t="n"/>
      <c r="D313" s="342" t="n"/>
      <c r="E313" s="343" t="n"/>
      <c r="F313" s="30" t="n"/>
      <c r="G313" s="30" t="n"/>
      <c r="H313" s="343" t="n"/>
      <c r="I313" s="343" t="n"/>
      <c r="J313" s="343" t="n"/>
      <c r="K313" s="346" t="n"/>
      <c r="L313" s="30" t="n"/>
      <c r="M313" s="30" t="n"/>
      <c r="N313" s="30" t="n"/>
      <c r="O313" s="30" t="n"/>
      <c r="P313" s="30" t="n"/>
    </row>
    <row r="314">
      <c r="A314" s="27" t="n"/>
      <c r="B314" s="27" t="n"/>
      <c r="C314" s="352" t="n"/>
      <c r="D314" s="342" t="n"/>
      <c r="E314" s="343" t="n"/>
      <c r="F314" s="30" t="n"/>
      <c r="G314" s="30" t="n"/>
      <c r="H314" s="343" t="n"/>
      <c r="I314" s="343" t="n"/>
      <c r="J314" s="343" t="n"/>
      <c r="K314" s="346" t="n"/>
      <c r="L314" s="30" t="n"/>
      <c r="M314" s="30" t="n"/>
      <c r="N314" s="30" t="n"/>
      <c r="O314" s="30" t="n"/>
      <c r="P314" s="30" t="n"/>
    </row>
    <row r="315">
      <c r="A315" s="27" t="n"/>
      <c r="B315" s="27" t="n"/>
      <c r="C315" s="352" t="n"/>
      <c r="D315" s="342" t="n"/>
      <c r="E315" s="343" t="n"/>
      <c r="F315" s="30" t="n"/>
      <c r="G315" s="30" t="n"/>
      <c r="H315" s="343" t="n"/>
      <c r="I315" s="343" t="n"/>
      <c r="J315" s="343" t="n"/>
      <c r="K315" s="346" t="n"/>
      <c r="L315" s="30" t="n"/>
      <c r="M315" s="30" t="n"/>
      <c r="N315" s="30" t="n"/>
      <c r="O315" s="30" t="n"/>
      <c r="P315" s="30" t="n"/>
    </row>
    <row r="316">
      <c r="A316" s="27" t="n"/>
      <c r="B316" s="27" t="n"/>
      <c r="C316" s="352" t="n"/>
      <c r="D316" s="342" t="n"/>
      <c r="E316" s="343" t="n"/>
      <c r="F316" s="30" t="n"/>
      <c r="G316" s="30" t="n"/>
      <c r="H316" s="343" t="n"/>
      <c r="I316" s="343" t="n"/>
      <c r="J316" s="343" t="n"/>
      <c r="K316" s="346" t="n"/>
      <c r="L316" s="30" t="n"/>
      <c r="M316" s="30" t="n"/>
      <c r="N316" s="30" t="n"/>
      <c r="O316" s="30" t="n"/>
      <c r="P316" s="30" t="n"/>
    </row>
    <row r="317">
      <c r="A317" s="27" t="n"/>
      <c r="B317" s="27" t="n"/>
      <c r="C317" s="352" t="n"/>
      <c r="D317" s="342" t="n"/>
      <c r="E317" s="343" t="n"/>
      <c r="F317" s="30" t="n"/>
      <c r="G317" s="30" t="n"/>
      <c r="H317" s="343" t="n"/>
      <c r="I317" s="343" t="n"/>
      <c r="J317" s="343" t="n"/>
      <c r="K317" s="346" t="n"/>
      <c r="L317" s="30" t="n"/>
      <c r="M317" s="30" t="n"/>
      <c r="N317" s="30" t="n"/>
      <c r="O317" s="30" t="n"/>
      <c r="P317" s="30" t="n"/>
    </row>
    <row r="318">
      <c r="A318" s="27" t="n"/>
      <c r="B318" s="27" t="n"/>
      <c r="C318" s="352" t="n"/>
      <c r="D318" s="342" t="n"/>
      <c r="E318" s="343" t="n"/>
      <c r="F318" s="30" t="n"/>
      <c r="G318" s="30" t="n"/>
      <c r="H318" s="343" t="n"/>
      <c r="I318" s="343" t="n"/>
      <c r="J318" s="343" t="n"/>
      <c r="K318" s="346" t="n"/>
      <c r="L318" s="30" t="n"/>
      <c r="M318" s="30" t="n"/>
      <c r="N318" s="30" t="n"/>
      <c r="O318" s="30" t="n"/>
      <c r="P318" s="30" t="n"/>
    </row>
    <row r="319">
      <c r="A319" s="27" t="n"/>
      <c r="B319" s="27" t="n"/>
      <c r="C319" s="352" t="n"/>
      <c r="D319" s="342" t="n"/>
      <c r="E319" s="343" t="n"/>
      <c r="F319" s="30" t="n"/>
      <c r="G319" s="30" t="n"/>
      <c r="H319" s="343" t="n"/>
      <c r="I319" s="343" t="n"/>
      <c r="J319" s="343" t="n"/>
      <c r="K319" s="346" t="n"/>
      <c r="L319" s="30" t="n"/>
      <c r="M319" s="30" t="n"/>
      <c r="N319" s="30" t="n"/>
      <c r="O319" s="30" t="n"/>
      <c r="P319" s="30" t="n"/>
    </row>
    <row r="320">
      <c r="A320" s="27" t="n"/>
      <c r="B320" s="27" t="n"/>
      <c r="C320" s="352" t="n"/>
      <c r="D320" s="342" t="n"/>
      <c r="E320" s="343" t="n"/>
      <c r="F320" s="30" t="n"/>
      <c r="G320" s="30" t="n"/>
      <c r="H320" s="343" t="n"/>
      <c r="I320" s="343" t="n"/>
      <c r="J320" s="343" t="n"/>
      <c r="K320" s="346" t="n"/>
      <c r="L320" s="30" t="n"/>
      <c r="M320" s="30" t="n"/>
      <c r="N320" s="30" t="n"/>
      <c r="O320" s="30" t="n"/>
      <c r="P320" s="30" t="n"/>
    </row>
    <row r="321">
      <c r="A321" s="27" t="n"/>
      <c r="B321" s="27" t="n"/>
      <c r="C321" s="352" t="n"/>
      <c r="D321" s="342" t="n"/>
      <c r="E321" s="343" t="n"/>
      <c r="F321" s="30" t="n"/>
      <c r="G321" s="30" t="n"/>
      <c r="H321" s="343" t="n"/>
      <c r="I321" s="343" t="n"/>
      <c r="J321" s="343" t="n"/>
      <c r="K321" s="346" t="n"/>
      <c r="L321" s="30" t="n"/>
      <c r="M321" s="30" t="n"/>
      <c r="N321" s="30" t="n"/>
      <c r="O321" s="30" t="n"/>
      <c r="P321" s="30" t="n"/>
    </row>
    <row r="322">
      <c r="A322" s="27" t="n"/>
      <c r="B322" s="27" t="n"/>
      <c r="C322" s="352" t="n"/>
      <c r="D322" s="342" t="n"/>
      <c r="E322" s="343" t="n"/>
      <c r="F322" s="30" t="n"/>
      <c r="G322" s="30" t="n"/>
      <c r="H322" s="343" t="n"/>
      <c r="I322" s="343" t="n"/>
      <c r="J322" s="343" t="n"/>
      <c r="K322" s="346" t="n"/>
      <c r="L322" s="30" t="n"/>
      <c r="M322" s="30" t="n"/>
      <c r="N322" s="30" t="n"/>
      <c r="O322" s="30" t="n"/>
      <c r="P322" s="30" t="n"/>
    </row>
    <row r="323">
      <c r="A323" s="27" t="n"/>
      <c r="B323" s="27" t="n"/>
      <c r="C323" s="352" t="n"/>
      <c r="D323" s="342" t="n"/>
      <c r="E323" s="343" t="n"/>
      <c r="F323" s="30" t="n"/>
      <c r="G323" s="30" t="n"/>
      <c r="H323" s="343" t="n"/>
      <c r="I323" s="343" t="n"/>
      <c r="J323" s="343" t="n"/>
      <c r="K323" s="346" t="n"/>
      <c r="L323" s="30" t="n"/>
      <c r="M323" s="30" t="n"/>
      <c r="N323" s="30" t="n"/>
      <c r="O323" s="30" t="n"/>
      <c r="P323" s="30" t="n"/>
    </row>
    <row r="324">
      <c r="A324" s="27" t="n"/>
      <c r="B324" s="27" t="n"/>
      <c r="C324" s="352" t="n"/>
      <c r="D324" s="342" t="n"/>
      <c r="E324" s="343" t="n"/>
      <c r="F324" s="30" t="n"/>
      <c r="G324" s="30" t="n"/>
      <c r="H324" s="343" t="n"/>
      <c r="I324" s="343" t="n"/>
      <c r="J324" s="343" t="n"/>
      <c r="K324" s="346" t="n"/>
      <c r="L324" s="30" t="n"/>
      <c r="M324" s="30" t="n"/>
      <c r="N324" s="30" t="n"/>
      <c r="O324" s="30" t="n"/>
      <c r="P324" s="30" t="n"/>
    </row>
    <row r="325">
      <c r="A325" s="27" t="n"/>
      <c r="B325" s="27" t="n"/>
      <c r="C325" s="352" t="n"/>
      <c r="D325" s="342" t="n"/>
      <c r="E325" s="343" t="n"/>
      <c r="F325" s="30" t="n"/>
      <c r="G325" s="30" t="n"/>
      <c r="H325" s="343" t="n"/>
      <c r="I325" s="343" t="n"/>
      <c r="J325" s="343" t="n"/>
      <c r="K325" s="346" t="n"/>
      <c r="L325" s="30" t="n"/>
      <c r="M325" s="30" t="n"/>
      <c r="N325" s="30" t="n"/>
      <c r="O325" s="30" t="n"/>
      <c r="P325" s="30" t="n"/>
    </row>
    <row r="326">
      <c r="A326" s="27" t="n"/>
      <c r="B326" s="27" t="n"/>
      <c r="C326" s="352" t="n"/>
      <c r="D326" s="342" t="n"/>
      <c r="E326" s="343" t="n"/>
      <c r="F326" s="30" t="n"/>
      <c r="G326" s="30" t="n"/>
      <c r="H326" s="343" t="n"/>
      <c r="I326" s="343" t="n"/>
      <c r="J326" s="343" t="n"/>
      <c r="K326" s="346" t="n"/>
      <c r="L326" s="30" t="n"/>
      <c r="M326" s="30" t="n"/>
      <c r="N326" s="30" t="n"/>
      <c r="O326" s="30" t="n"/>
      <c r="P326" s="30" t="n"/>
    </row>
    <row r="327">
      <c r="A327" s="27" t="n"/>
      <c r="B327" s="27" t="n"/>
      <c r="C327" s="352" t="n"/>
      <c r="D327" s="342" t="n"/>
      <c r="E327" s="343" t="n"/>
      <c r="F327" s="30" t="n"/>
      <c r="G327" s="30" t="n"/>
      <c r="H327" s="343" t="n"/>
      <c r="I327" s="343" t="n"/>
      <c r="J327" s="343" t="n"/>
      <c r="K327" s="346" t="n"/>
      <c r="L327" s="30" t="n"/>
      <c r="M327" s="30" t="n"/>
      <c r="N327" s="30" t="n"/>
      <c r="O327" s="30" t="n"/>
      <c r="P327" s="30" t="n"/>
    </row>
    <row r="328">
      <c r="A328" s="27" t="n"/>
      <c r="B328" s="27" t="n"/>
      <c r="C328" s="352" t="n"/>
      <c r="D328" s="342" t="n"/>
      <c r="E328" s="343" t="n"/>
      <c r="F328" s="30" t="n"/>
      <c r="G328" s="30" t="n"/>
      <c r="H328" s="343" t="n"/>
      <c r="I328" s="343" t="n"/>
      <c r="J328" s="343" t="n"/>
      <c r="K328" s="346" t="n"/>
      <c r="L328" s="30" t="n"/>
      <c r="M328" s="30" t="n"/>
      <c r="N328" s="30" t="n"/>
      <c r="O328" s="30" t="n"/>
      <c r="P328" s="30" t="n"/>
    </row>
    <row r="329">
      <c r="A329" s="27" t="n"/>
      <c r="B329" s="27" t="n"/>
      <c r="C329" s="352" t="n"/>
      <c r="D329" s="342" t="n"/>
      <c r="E329" s="343" t="n"/>
      <c r="F329" s="30" t="n"/>
      <c r="G329" s="30" t="n"/>
      <c r="H329" s="343" t="n"/>
      <c r="I329" s="343" t="n"/>
      <c r="J329" s="343" t="n"/>
      <c r="K329" s="346" t="n"/>
      <c r="L329" s="30" t="n"/>
      <c r="M329" s="30" t="n"/>
      <c r="N329" s="30" t="n"/>
      <c r="O329" s="30" t="n"/>
      <c r="P329" s="30" t="n"/>
    </row>
    <row r="330">
      <c r="A330" s="27" t="n"/>
      <c r="B330" s="27" t="n"/>
      <c r="C330" s="352" t="n"/>
      <c r="D330" s="342" t="n"/>
      <c r="E330" s="343" t="n"/>
      <c r="F330" s="30" t="n"/>
      <c r="G330" s="30" t="n"/>
      <c r="H330" s="343" t="n"/>
      <c r="I330" s="343" t="n"/>
      <c r="J330" s="343" t="n"/>
      <c r="K330" s="346" t="n"/>
      <c r="L330" s="30" t="n"/>
      <c r="M330" s="30" t="n"/>
      <c r="N330" s="30" t="n"/>
      <c r="O330" s="30" t="n"/>
      <c r="P330" s="30" t="n"/>
    </row>
    <row r="331">
      <c r="A331" s="27" t="n"/>
      <c r="B331" s="27" t="n"/>
      <c r="C331" s="352" t="n"/>
      <c r="D331" s="342" t="n"/>
      <c r="E331" s="343" t="n"/>
      <c r="F331" s="30" t="n"/>
      <c r="G331" s="30" t="n"/>
      <c r="H331" s="343" t="n"/>
      <c r="I331" s="343" t="n"/>
      <c r="J331" s="343" t="n"/>
      <c r="K331" s="346" t="n"/>
      <c r="L331" s="30" t="n"/>
      <c r="M331" s="30" t="n"/>
      <c r="N331" s="30" t="n"/>
      <c r="O331" s="30" t="n"/>
      <c r="P331" s="30" t="n"/>
    </row>
    <row r="332">
      <c r="A332" s="27" t="n"/>
      <c r="B332" s="27" t="n"/>
      <c r="C332" s="352" t="n"/>
      <c r="D332" s="342" t="n"/>
      <c r="E332" s="343" t="n"/>
      <c r="F332" s="30" t="n"/>
      <c r="G332" s="30" t="n"/>
      <c r="H332" s="343" t="n"/>
      <c r="I332" s="343" t="n"/>
      <c r="J332" s="343" t="n"/>
      <c r="K332" s="346" t="n"/>
      <c r="L332" s="30" t="n"/>
      <c r="M332" s="30" t="n"/>
      <c r="N332" s="30" t="n"/>
      <c r="O332" s="30" t="n"/>
      <c r="P332" s="30" t="n"/>
    </row>
    <row r="333">
      <c r="A333" s="27" t="n"/>
      <c r="B333" s="27" t="n"/>
      <c r="C333" s="352" t="n"/>
      <c r="D333" s="342" t="n"/>
      <c r="E333" s="343" t="n"/>
      <c r="F333" s="30" t="n"/>
      <c r="G333" s="30" t="n"/>
      <c r="H333" s="343" t="n"/>
      <c r="I333" s="343" t="n"/>
      <c r="J333" s="343" t="n"/>
      <c r="K333" s="346" t="n"/>
      <c r="L333" s="30" t="n"/>
      <c r="M333" s="30" t="n"/>
      <c r="N333" s="30" t="n"/>
      <c r="O333" s="30" t="n"/>
      <c r="P333" s="30" t="n"/>
    </row>
    <row r="334">
      <c r="A334" s="27" t="n"/>
      <c r="B334" s="27" t="n"/>
      <c r="C334" s="352" t="n"/>
      <c r="D334" s="342" t="n"/>
      <c r="E334" s="343" t="n"/>
      <c r="F334" s="30" t="n"/>
      <c r="G334" s="30" t="n"/>
      <c r="H334" s="343" t="n"/>
      <c r="I334" s="343" t="n"/>
      <c r="J334" s="343" t="n"/>
      <c r="K334" s="346" t="n"/>
      <c r="L334" s="30" t="n"/>
      <c r="M334" s="30" t="n"/>
      <c r="N334" s="30" t="n"/>
      <c r="O334" s="30" t="n"/>
      <c r="P334" s="30" t="n"/>
    </row>
    <row r="335">
      <c r="A335" s="27" t="n"/>
      <c r="B335" s="27" t="n"/>
      <c r="C335" s="352" t="n"/>
      <c r="D335" s="342" t="n"/>
      <c r="E335" s="343" t="n"/>
      <c r="F335" s="30" t="n"/>
      <c r="G335" s="30" t="n"/>
      <c r="H335" s="343" t="n"/>
      <c r="I335" s="343" t="n"/>
      <c r="J335" s="343" t="n"/>
      <c r="K335" s="346" t="n"/>
      <c r="L335" s="30" t="n"/>
      <c r="M335" s="30" t="n"/>
      <c r="N335" s="30" t="n"/>
      <c r="O335" s="30" t="n"/>
      <c r="P335" s="30" t="n"/>
    </row>
    <row r="336">
      <c r="A336" s="27" t="n"/>
      <c r="B336" s="27" t="n"/>
      <c r="C336" s="352" t="n"/>
      <c r="D336" s="342" t="n"/>
      <c r="E336" s="343" t="n"/>
      <c r="F336" s="30" t="n"/>
      <c r="G336" s="30" t="n"/>
      <c r="H336" s="343" t="n"/>
      <c r="I336" s="343" t="n"/>
      <c r="J336" s="343" t="n"/>
      <c r="K336" s="346" t="n"/>
      <c r="L336" s="30" t="n"/>
      <c r="M336" s="30" t="n"/>
      <c r="N336" s="30" t="n"/>
      <c r="O336" s="30" t="n"/>
      <c r="P336" s="30" t="n"/>
    </row>
    <row r="337">
      <c r="A337" s="27" t="n"/>
      <c r="B337" s="27" t="n"/>
      <c r="C337" s="352" t="n"/>
      <c r="D337" s="342" t="n"/>
      <c r="E337" s="343" t="n"/>
      <c r="F337" s="30" t="n"/>
      <c r="G337" s="30" t="n"/>
      <c r="H337" s="343" t="n"/>
      <c r="I337" s="343" t="n"/>
      <c r="J337" s="343" t="n"/>
      <c r="K337" s="346" t="n"/>
      <c r="L337" s="30" t="n"/>
      <c r="M337" s="30" t="n"/>
      <c r="N337" s="30" t="n"/>
      <c r="O337" s="30" t="n"/>
      <c r="P337" s="30" t="n"/>
    </row>
    <row r="338">
      <c r="A338" s="27" t="n"/>
      <c r="B338" s="27" t="n"/>
      <c r="C338" s="352" t="n"/>
      <c r="D338" s="342" t="n"/>
      <c r="E338" s="343" t="n"/>
      <c r="F338" s="30" t="n"/>
      <c r="G338" s="30" t="n"/>
      <c r="H338" s="343" t="n"/>
      <c r="I338" s="343" t="n"/>
      <c r="J338" s="343" t="n"/>
      <c r="K338" s="346" t="n"/>
      <c r="L338" s="30" t="n"/>
      <c r="M338" s="30" t="n"/>
      <c r="N338" s="30" t="n"/>
      <c r="O338" s="30" t="n"/>
      <c r="P338" s="30" t="n"/>
    </row>
    <row r="339">
      <c r="A339" s="27" t="n"/>
      <c r="B339" s="27" t="n"/>
      <c r="C339" s="352" t="n"/>
      <c r="D339" s="342" t="n"/>
      <c r="E339" s="343" t="n"/>
      <c r="F339" s="30" t="n"/>
      <c r="G339" s="30" t="n"/>
      <c r="H339" s="343" t="n"/>
      <c r="I339" s="343" t="n"/>
      <c r="J339" s="343" t="n"/>
      <c r="K339" s="346" t="n"/>
      <c r="L339" s="30" t="n"/>
      <c r="M339" s="30" t="n"/>
      <c r="N339" s="30" t="n"/>
      <c r="O339" s="30" t="n"/>
      <c r="P339" s="30" t="n"/>
    </row>
    <row r="340">
      <c r="A340" s="27" t="n"/>
      <c r="B340" s="27" t="n"/>
      <c r="C340" s="352" t="n"/>
      <c r="D340" s="342" t="n"/>
      <c r="E340" s="343" t="n"/>
      <c r="F340" s="30" t="n"/>
      <c r="G340" s="30" t="n"/>
      <c r="H340" s="343" t="n"/>
      <c r="I340" s="343" t="n"/>
      <c r="J340" s="343" t="n"/>
      <c r="K340" s="346" t="n"/>
      <c r="L340" s="30" t="n"/>
      <c r="M340" s="30" t="n"/>
      <c r="N340" s="30" t="n"/>
      <c r="O340" s="30" t="n"/>
      <c r="P340" s="30" t="n"/>
    </row>
    <row r="341">
      <c r="A341" s="27" t="n"/>
      <c r="B341" s="27" t="n"/>
      <c r="C341" s="352" t="n"/>
      <c r="D341" s="342" t="n"/>
      <c r="E341" s="343" t="n"/>
      <c r="F341" s="30" t="n"/>
      <c r="G341" s="30" t="n"/>
      <c r="H341" s="343" t="n"/>
      <c r="I341" s="343" t="n"/>
      <c r="J341" s="343" t="n"/>
      <c r="K341" s="346" t="n"/>
      <c r="L341" s="30" t="n"/>
      <c r="M341" s="30" t="n"/>
      <c r="N341" s="30" t="n"/>
      <c r="O341" s="30" t="n"/>
      <c r="P341" s="30" t="n"/>
    </row>
    <row r="342">
      <c r="A342" s="27" t="n"/>
      <c r="B342" s="27" t="n"/>
      <c r="C342" s="352" t="n"/>
      <c r="D342" s="342" t="n"/>
      <c r="E342" s="343" t="n"/>
      <c r="F342" s="30" t="n"/>
      <c r="G342" s="30" t="n"/>
      <c r="H342" s="343" t="n"/>
      <c r="I342" s="343" t="n"/>
      <c r="J342" s="343" t="n"/>
      <c r="K342" s="346" t="n"/>
      <c r="L342" s="30" t="n"/>
      <c r="M342" s="30" t="n"/>
      <c r="N342" s="30" t="n"/>
      <c r="O342" s="30" t="n"/>
      <c r="P342" s="30" t="n"/>
    </row>
    <row r="343">
      <c r="A343" s="27" t="n"/>
      <c r="B343" s="27" t="n"/>
      <c r="C343" s="352" t="n"/>
      <c r="D343" s="342" t="n"/>
      <c r="E343" s="343" t="n"/>
      <c r="F343" s="30" t="n"/>
      <c r="G343" s="30" t="n"/>
      <c r="H343" s="343" t="n"/>
      <c r="I343" s="343" t="n"/>
      <c r="J343" s="343" t="n"/>
      <c r="K343" s="346" t="n"/>
      <c r="L343" s="30" t="n"/>
      <c r="M343" s="30" t="n"/>
      <c r="N343" s="30" t="n"/>
      <c r="O343" s="30" t="n"/>
      <c r="P343" s="30" t="n"/>
    </row>
    <row r="344">
      <c r="A344" s="27" t="n"/>
      <c r="B344" s="27" t="n"/>
      <c r="C344" s="352" t="n"/>
      <c r="D344" s="342" t="n"/>
      <c r="E344" s="343" t="n"/>
      <c r="F344" s="30" t="n"/>
      <c r="G344" s="30" t="n"/>
      <c r="H344" s="343" t="n"/>
      <c r="I344" s="343" t="n"/>
      <c r="J344" s="343" t="n"/>
      <c r="K344" s="346" t="n"/>
      <c r="L344" s="30" t="n"/>
      <c r="M344" s="30" t="n"/>
      <c r="N344" s="30" t="n"/>
      <c r="O344" s="30" t="n"/>
      <c r="P344" s="30" t="n"/>
    </row>
    <row r="345">
      <c r="A345" s="27" t="n"/>
      <c r="B345" s="27" t="n"/>
      <c r="C345" s="352" t="n"/>
      <c r="D345" s="342" t="n"/>
      <c r="E345" s="343" t="n"/>
      <c r="F345" s="30" t="n"/>
      <c r="G345" s="30" t="n"/>
      <c r="H345" s="343" t="n"/>
      <c r="I345" s="343" t="n"/>
      <c r="J345" s="343" t="n"/>
      <c r="K345" s="346" t="n"/>
      <c r="L345" s="30" t="n"/>
      <c r="M345" s="30" t="n"/>
      <c r="N345" s="30" t="n"/>
      <c r="O345" s="30" t="n"/>
      <c r="P345" s="30" t="n"/>
    </row>
    <row r="346">
      <c r="A346" s="27" t="n"/>
      <c r="B346" s="27" t="n"/>
      <c r="C346" s="352" t="n"/>
      <c r="D346" s="342" t="n"/>
      <c r="E346" s="343" t="n"/>
      <c r="F346" s="30" t="n"/>
      <c r="G346" s="30" t="n"/>
      <c r="H346" s="343" t="n"/>
      <c r="I346" s="343" t="n"/>
      <c r="J346" s="343" t="n"/>
      <c r="K346" s="346" t="n"/>
      <c r="L346" s="30" t="n"/>
      <c r="M346" s="30" t="n"/>
      <c r="N346" s="30" t="n"/>
      <c r="O346" s="30" t="n"/>
      <c r="P346" s="30" t="n"/>
    </row>
    <row r="347">
      <c r="A347" s="27" t="n"/>
      <c r="B347" s="27" t="n"/>
      <c r="C347" s="352" t="n"/>
      <c r="D347" s="342" t="n"/>
      <c r="E347" s="343" t="n"/>
      <c r="F347" s="30" t="n"/>
      <c r="G347" s="30" t="n"/>
      <c r="H347" s="343" t="n"/>
      <c r="I347" s="343" t="n"/>
      <c r="J347" s="343" t="n"/>
      <c r="K347" s="346" t="n"/>
      <c r="L347" s="30" t="n"/>
      <c r="M347" s="30" t="n"/>
      <c r="N347" s="30" t="n"/>
      <c r="O347" s="30" t="n"/>
      <c r="P347" s="30" t="n"/>
    </row>
    <row r="348">
      <c r="A348" s="27" t="n"/>
      <c r="B348" s="27" t="n"/>
      <c r="C348" s="352" t="n"/>
      <c r="D348" s="342" t="n"/>
      <c r="E348" s="343" t="n"/>
      <c r="F348" s="30" t="n"/>
      <c r="G348" s="30" t="n"/>
      <c r="H348" s="343" t="n"/>
      <c r="I348" s="343" t="n"/>
      <c r="J348" s="343" t="n"/>
      <c r="K348" s="346" t="n"/>
      <c r="L348" s="30" t="n"/>
      <c r="M348" s="30" t="n"/>
      <c r="N348" s="30" t="n"/>
      <c r="O348" s="30" t="n"/>
      <c r="P348" s="30" t="n"/>
    </row>
    <row r="349">
      <c r="A349" s="27" t="n"/>
      <c r="B349" s="27" t="n"/>
      <c r="C349" s="352" t="n"/>
      <c r="D349" s="342" t="n"/>
      <c r="E349" s="343" t="n"/>
      <c r="F349" s="30" t="n"/>
      <c r="G349" s="30" t="n"/>
      <c r="H349" s="343" t="n"/>
      <c r="I349" s="343" t="n"/>
      <c r="J349" s="343" t="n"/>
      <c r="K349" s="346" t="n"/>
      <c r="L349" s="30" t="n"/>
      <c r="M349" s="30" t="n"/>
      <c r="N349" s="30" t="n"/>
      <c r="O349" s="30" t="n"/>
      <c r="P349" s="30" t="n"/>
    </row>
    <row r="350">
      <c r="A350" s="27" t="n"/>
      <c r="B350" s="27" t="n"/>
      <c r="C350" s="352" t="n"/>
      <c r="D350" s="342" t="n"/>
      <c r="E350" s="343" t="n"/>
      <c r="F350" s="30" t="n"/>
      <c r="G350" s="30" t="n"/>
      <c r="H350" s="343" t="n"/>
      <c r="I350" s="343" t="n"/>
      <c r="J350" s="343" t="n"/>
      <c r="K350" s="346" t="n"/>
      <c r="L350" s="30" t="n"/>
      <c r="M350" s="30" t="n"/>
      <c r="N350" s="30" t="n"/>
      <c r="O350" s="30" t="n"/>
      <c r="P350" s="30" t="n"/>
    </row>
    <row r="351">
      <c r="A351" s="27" t="n"/>
      <c r="B351" s="27" t="n"/>
      <c r="C351" s="352" t="n"/>
      <c r="D351" s="342" t="n"/>
      <c r="E351" s="343" t="n"/>
      <c r="F351" s="30" t="n"/>
      <c r="G351" s="30" t="n"/>
      <c r="H351" s="343" t="n"/>
      <c r="I351" s="343" t="n"/>
      <c r="J351" s="343" t="n"/>
      <c r="K351" s="346" t="n"/>
      <c r="L351" s="30" t="n"/>
      <c r="M351" s="30" t="n"/>
      <c r="N351" s="30" t="n"/>
      <c r="O351" s="30" t="n"/>
      <c r="P351" s="30" t="n"/>
    </row>
    <row r="352">
      <c r="A352" s="27" t="n"/>
      <c r="B352" s="27" t="n"/>
      <c r="C352" s="352" t="n"/>
      <c r="D352" s="342" t="n"/>
      <c r="E352" s="343" t="n"/>
      <c r="F352" s="30" t="n"/>
      <c r="G352" s="30" t="n"/>
      <c r="H352" s="343" t="n"/>
      <c r="I352" s="343" t="n"/>
      <c r="J352" s="343" t="n"/>
      <c r="K352" s="346" t="n"/>
      <c r="L352" s="30" t="n"/>
      <c r="M352" s="30" t="n"/>
      <c r="N352" s="30" t="n"/>
      <c r="O352" s="30" t="n"/>
      <c r="P352" s="30" t="n"/>
    </row>
    <row r="353">
      <c r="A353" s="27" t="n"/>
      <c r="B353" s="27" t="n"/>
      <c r="C353" s="352" t="n"/>
      <c r="D353" s="342" t="n"/>
      <c r="E353" s="343" t="n"/>
      <c r="F353" s="30" t="n"/>
      <c r="G353" s="30" t="n"/>
      <c r="H353" s="343" t="n"/>
      <c r="I353" s="343" t="n"/>
      <c r="J353" s="343" t="n"/>
      <c r="K353" s="346" t="n"/>
      <c r="L353" s="30" t="n"/>
      <c r="M353" s="30" t="n"/>
      <c r="N353" s="30" t="n"/>
      <c r="O353" s="30" t="n"/>
      <c r="P353" s="30" t="n"/>
    </row>
    <row r="354">
      <c r="A354" s="27" t="n"/>
      <c r="B354" s="27" t="n"/>
      <c r="C354" s="352" t="n"/>
      <c r="D354" s="342" t="n"/>
      <c r="E354" s="343" t="n"/>
      <c r="F354" s="30" t="n"/>
      <c r="G354" s="30" t="n"/>
      <c r="H354" s="343" t="n"/>
      <c r="I354" s="343" t="n"/>
      <c r="J354" s="343" t="n"/>
      <c r="K354" s="346" t="n"/>
      <c r="L354" s="30" t="n"/>
      <c r="M354" s="30" t="n"/>
      <c r="N354" s="30" t="n"/>
      <c r="O354" s="30" t="n"/>
      <c r="P354" s="30" t="n"/>
    </row>
    <row r="355">
      <c r="A355" s="27" t="n"/>
      <c r="B355" s="27" t="n"/>
      <c r="C355" s="352" t="n"/>
      <c r="D355" s="342" t="n"/>
      <c r="E355" s="343" t="n"/>
      <c r="F355" s="30" t="n"/>
      <c r="G355" s="30" t="n"/>
      <c r="H355" s="343" t="n"/>
      <c r="I355" s="343" t="n"/>
      <c r="J355" s="343" t="n"/>
      <c r="K355" s="346" t="n"/>
      <c r="L355" s="30" t="n"/>
      <c r="M355" s="30" t="n"/>
      <c r="N355" s="30" t="n"/>
      <c r="O355" s="30" t="n"/>
      <c r="P355" s="30" t="n"/>
    </row>
    <row r="356">
      <c r="A356" s="27" t="n"/>
      <c r="B356" s="27" t="n"/>
      <c r="C356" s="352" t="n"/>
      <c r="D356" s="342" t="n"/>
      <c r="E356" s="343" t="n"/>
      <c r="F356" s="30" t="n"/>
      <c r="G356" s="30" t="n"/>
      <c r="H356" s="343" t="n"/>
      <c r="I356" s="343" t="n"/>
      <c r="J356" s="343" t="n"/>
      <c r="K356" s="346" t="n"/>
      <c r="L356" s="30" t="n"/>
      <c r="M356" s="30" t="n"/>
      <c r="N356" s="30" t="n"/>
      <c r="O356" s="30" t="n"/>
      <c r="P356" s="30" t="n"/>
    </row>
    <row r="357">
      <c r="A357" s="27" t="n"/>
      <c r="B357" s="27" t="n"/>
      <c r="C357" s="352" t="n"/>
      <c r="D357" s="342" t="n"/>
      <c r="E357" s="343" t="n"/>
      <c r="F357" s="30" t="n"/>
      <c r="G357" s="30" t="n"/>
      <c r="H357" s="343" t="n"/>
      <c r="I357" s="343" t="n"/>
      <c r="J357" s="343" t="n"/>
      <c r="K357" s="346" t="n"/>
      <c r="L357" s="30" t="n"/>
      <c r="M357" s="30" t="n"/>
      <c r="N357" s="30" t="n"/>
      <c r="O357" s="30" t="n"/>
      <c r="P357" s="30" t="n"/>
    </row>
    <row r="358">
      <c r="A358" s="27" t="n"/>
      <c r="B358" s="27" t="n"/>
      <c r="C358" s="352" t="n"/>
      <c r="D358" s="342" t="n"/>
      <c r="E358" s="343" t="n"/>
      <c r="F358" s="30" t="n"/>
      <c r="G358" s="30" t="n"/>
      <c r="H358" s="343" t="n"/>
      <c r="I358" s="343" t="n"/>
      <c r="J358" s="343" t="n"/>
      <c r="K358" s="346" t="n"/>
      <c r="L358" s="30" t="n"/>
      <c r="M358" s="30" t="n"/>
      <c r="N358" s="30" t="n"/>
      <c r="O358" s="30" t="n"/>
      <c r="P358" s="30" t="n"/>
    </row>
    <row r="359">
      <c r="A359" s="27" t="n"/>
      <c r="B359" s="27" t="n"/>
      <c r="C359" s="352" t="n"/>
      <c r="D359" s="342" t="n"/>
      <c r="E359" s="343" t="n"/>
      <c r="F359" s="30" t="n"/>
      <c r="G359" s="30" t="n"/>
      <c r="H359" s="343" t="n"/>
      <c r="I359" s="343" t="n"/>
      <c r="J359" s="343" t="n"/>
      <c r="K359" s="346" t="n"/>
      <c r="L359" s="30" t="n"/>
      <c r="M359" s="30" t="n"/>
      <c r="N359" s="30" t="n"/>
      <c r="O359" s="30" t="n"/>
      <c r="P359" s="30" t="n"/>
    </row>
    <row r="360">
      <c r="A360" s="27" t="n"/>
      <c r="B360" s="27" t="n"/>
      <c r="C360" s="352" t="n"/>
      <c r="D360" s="342" t="n"/>
      <c r="E360" s="343" t="n"/>
      <c r="F360" s="30" t="n"/>
      <c r="G360" s="30" t="n"/>
      <c r="H360" s="343" t="n"/>
      <c r="I360" s="343" t="n"/>
      <c r="J360" s="343" t="n"/>
      <c r="K360" s="346" t="n"/>
      <c r="L360" s="30" t="n"/>
      <c r="M360" s="30" t="n"/>
      <c r="N360" s="30" t="n"/>
      <c r="O360" s="30" t="n"/>
      <c r="P360" s="30" t="n"/>
    </row>
    <row r="361">
      <c r="A361" s="27" t="n"/>
      <c r="B361" s="27" t="n"/>
      <c r="C361" s="352" t="n"/>
      <c r="D361" s="342" t="n"/>
      <c r="E361" s="343" t="n"/>
      <c r="F361" s="30" t="n"/>
      <c r="G361" s="30" t="n"/>
      <c r="H361" s="343" t="n"/>
      <c r="I361" s="343" t="n"/>
      <c r="J361" s="343" t="n"/>
      <c r="K361" s="346" t="n"/>
      <c r="L361" s="30" t="n"/>
      <c r="M361" s="30" t="n"/>
      <c r="N361" s="30" t="n"/>
      <c r="O361" s="30" t="n"/>
      <c r="P361" s="30" t="n"/>
    </row>
    <row r="362">
      <c r="A362" s="27" t="n"/>
      <c r="B362" s="27" t="n"/>
      <c r="C362" s="352" t="n"/>
      <c r="D362" s="342" t="n"/>
      <c r="E362" s="343" t="n"/>
      <c r="F362" s="30" t="n"/>
      <c r="G362" s="30" t="n"/>
      <c r="H362" s="343" t="n"/>
      <c r="I362" s="343" t="n"/>
      <c r="J362" s="343" t="n"/>
      <c r="K362" s="346" t="n"/>
      <c r="L362" s="30" t="n"/>
      <c r="M362" s="30" t="n"/>
      <c r="N362" s="30" t="n"/>
      <c r="O362" s="30" t="n"/>
      <c r="P362" s="30" t="n"/>
    </row>
    <row r="363">
      <c r="A363" s="27" t="n"/>
      <c r="B363" s="27" t="n"/>
      <c r="C363" s="352" t="n"/>
      <c r="D363" s="342" t="n"/>
      <c r="E363" s="343" t="n"/>
      <c r="F363" s="30" t="n"/>
      <c r="G363" s="30" t="n"/>
      <c r="H363" s="343" t="n"/>
      <c r="I363" s="343" t="n"/>
      <c r="J363" s="343" t="n"/>
      <c r="K363" s="346" t="n"/>
      <c r="L363" s="30" t="n"/>
      <c r="M363" s="30" t="n"/>
      <c r="N363" s="30" t="n"/>
      <c r="O363" s="30" t="n"/>
      <c r="P363" s="30" t="n"/>
    </row>
    <row r="364">
      <c r="A364" s="27" t="n"/>
      <c r="B364" s="27" t="n"/>
      <c r="C364" s="352" t="n"/>
      <c r="D364" s="342" t="n"/>
      <c r="E364" s="343" t="n"/>
      <c r="F364" s="30" t="n"/>
      <c r="G364" s="30" t="n"/>
      <c r="H364" s="343" t="n"/>
      <c r="I364" s="343" t="n"/>
      <c r="J364" s="343" t="n"/>
      <c r="K364" s="346" t="n"/>
      <c r="L364" s="30" t="n"/>
      <c r="M364" s="30" t="n"/>
      <c r="N364" s="30" t="n"/>
      <c r="O364" s="30" t="n"/>
      <c r="P364" s="30" t="n"/>
    </row>
    <row r="365">
      <c r="A365" s="27" t="n"/>
      <c r="B365" s="27" t="n"/>
      <c r="C365" s="352" t="n"/>
      <c r="D365" s="342" t="n"/>
      <c r="E365" s="343" t="n"/>
      <c r="F365" s="30" t="n"/>
      <c r="G365" s="30" t="n"/>
      <c r="H365" s="343" t="n"/>
      <c r="I365" s="343" t="n"/>
      <c r="J365" s="343" t="n"/>
      <c r="K365" s="346" t="n"/>
      <c r="L365" s="30" t="n"/>
      <c r="M365" s="30" t="n"/>
      <c r="N365" s="30" t="n"/>
      <c r="O365" s="30" t="n"/>
      <c r="P365" s="30" t="n"/>
    </row>
    <row r="366">
      <c r="A366" s="27" t="n"/>
      <c r="B366" s="27" t="n"/>
      <c r="C366" s="352" t="n"/>
      <c r="D366" s="342" t="n"/>
      <c r="E366" s="343" t="n"/>
      <c r="F366" s="30" t="n"/>
      <c r="G366" s="30" t="n"/>
      <c r="H366" s="343" t="n"/>
      <c r="I366" s="343" t="n"/>
      <c r="J366" s="343" t="n"/>
      <c r="K366" s="346" t="n"/>
      <c r="L366" s="30" t="n"/>
      <c r="M366" s="30" t="n"/>
      <c r="N366" s="30" t="n"/>
      <c r="O366" s="30" t="n"/>
      <c r="P366" s="30" t="n"/>
    </row>
    <row r="367">
      <c r="A367" s="27" t="n"/>
      <c r="B367" s="27" t="n"/>
      <c r="C367" s="352" t="n"/>
      <c r="D367" s="342" t="n"/>
      <c r="E367" s="343" t="n"/>
      <c r="F367" s="30" t="n"/>
      <c r="G367" s="30" t="n"/>
      <c r="H367" s="343" t="n"/>
      <c r="I367" s="343" t="n"/>
      <c r="J367" s="343" t="n"/>
      <c r="K367" s="346" t="n"/>
      <c r="L367" s="30" t="n"/>
      <c r="M367" s="30" t="n"/>
      <c r="N367" s="30" t="n"/>
      <c r="O367" s="30" t="n"/>
      <c r="P367" s="30" t="n"/>
    </row>
    <row r="368">
      <c r="A368" s="27" t="n"/>
      <c r="B368" s="27" t="n"/>
      <c r="C368" s="352" t="n"/>
      <c r="D368" s="342" t="n"/>
      <c r="E368" s="343" t="n"/>
      <c r="F368" s="30" t="n"/>
      <c r="G368" s="30" t="n"/>
      <c r="H368" s="343" t="n"/>
      <c r="I368" s="343" t="n"/>
      <c r="J368" s="343" t="n"/>
      <c r="K368" s="346" t="n"/>
      <c r="L368" s="30" t="n"/>
      <c r="M368" s="30" t="n"/>
      <c r="N368" s="30" t="n"/>
      <c r="O368" s="30" t="n"/>
      <c r="P368" s="30" t="n"/>
    </row>
    <row r="369">
      <c r="A369" s="27" t="n"/>
      <c r="B369" s="27" t="n"/>
      <c r="C369" s="352" t="n"/>
      <c r="D369" s="342" t="n"/>
      <c r="E369" s="343" t="n"/>
      <c r="F369" s="30" t="n"/>
      <c r="G369" s="30" t="n"/>
      <c r="H369" s="343" t="n"/>
      <c r="I369" s="343" t="n"/>
      <c r="J369" s="343" t="n"/>
      <c r="K369" s="346" t="n"/>
      <c r="L369" s="30" t="n"/>
      <c r="M369" s="30" t="n"/>
      <c r="N369" s="30" t="n"/>
      <c r="O369" s="30" t="n"/>
      <c r="P369" s="30" t="n"/>
    </row>
    <row r="370">
      <c r="A370" s="27" t="n"/>
      <c r="B370" s="27" t="n"/>
      <c r="C370" s="352" t="n"/>
      <c r="D370" s="342" t="n"/>
      <c r="E370" s="343" t="n"/>
      <c r="F370" s="30" t="n"/>
      <c r="G370" s="30" t="n"/>
      <c r="H370" s="343" t="n"/>
      <c r="I370" s="343" t="n"/>
      <c r="J370" s="343" t="n"/>
      <c r="K370" s="346" t="n"/>
      <c r="L370" s="30" t="n"/>
      <c r="M370" s="30" t="n"/>
      <c r="N370" s="30" t="n"/>
      <c r="O370" s="30" t="n"/>
      <c r="P370" s="30" t="n"/>
    </row>
    <row r="371">
      <c r="A371" s="27" t="n"/>
      <c r="B371" s="27" t="n"/>
      <c r="C371" s="352" t="n"/>
      <c r="D371" s="342" t="n"/>
      <c r="E371" s="343" t="n"/>
      <c r="F371" s="30" t="n"/>
      <c r="G371" s="30" t="n"/>
      <c r="H371" s="343" t="n"/>
      <c r="I371" s="343" t="n"/>
      <c r="J371" s="343" t="n"/>
      <c r="K371" s="346" t="n"/>
      <c r="L371" s="30" t="n"/>
      <c r="M371" s="30" t="n"/>
      <c r="N371" s="30" t="n"/>
      <c r="O371" s="30" t="n"/>
      <c r="P371" s="30" t="n"/>
    </row>
    <row r="372">
      <c r="A372" s="27" t="n"/>
      <c r="B372" s="27" t="n"/>
      <c r="C372" s="352" t="n"/>
      <c r="D372" s="342" t="n"/>
      <c r="E372" s="343" t="n"/>
      <c r="F372" s="30" t="n"/>
      <c r="G372" s="30" t="n"/>
      <c r="H372" s="343" t="n"/>
      <c r="I372" s="343" t="n"/>
      <c r="J372" s="343" t="n"/>
      <c r="K372" s="346" t="n"/>
      <c r="L372" s="30" t="n"/>
      <c r="M372" s="30" t="n"/>
      <c r="N372" s="30" t="n"/>
      <c r="O372" s="30" t="n"/>
      <c r="P372" s="30" t="n"/>
    </row>
    <row r="373">
      <c r="A373" s="27" t="n"/>
      <c r="B373" s="27" t="n"/>
      <c r="C373" s="352" t="n"/>
      <c r="D373" s="342" t="n"/>
      <c r="E373" s="343" t="n"/>
      <c r="F373" s="30" t="n"/>
      <c r="G373" s="30" t="n"/>
      <c r="H373" s="343" t="n"/>
      <c r="I373" s="343" t="n"/>
      <c r="J373" s="343" t="n"/>
      <c r="K373" s="346" t="n"/>
      <c r="L373" s="30" t="n"/>
      <c r="M373" s="30" t="n"/>
      <c r="N373" s="30" t="n"/>
      <c r="O373" s="30" t="n"/>
      <c r="P373" s="30" t="n"/>
    </row>
    <row r="374">
      <c r="A374" s="27" t="n"/>
      <c r="B374" s="27" t="n"/>
      <c r="C374" s="352" t="n"/>
      <c r="D374" s="342" t="n"/>
      <c r="E374" s="343" t="n"/>
      <c r="F374" s="30" t="n"/>
      <c r="G374" s="30" t="n"/>
      <c r="H374" s="343" t="n"/>
      <c r="I374" s="343" t="n"/>
      <c r="J374" s="343" t="n"/>
      <c r="K374" s="346" t="n"/>
      <c r="L374" s="30" t="n"/>
      <c r="M374" s="30" t="n"/>
      <c r="N374" s="30" t="n"/>
      <c r="O374" s="30" t="n"/>
      <c r="P374" s="30" t="n"/>
    </row>
    <row r="375">
      <c r="A375" s="27" t="n"/>
      <c r="B375" s="27" t="n"/>
      <c r="C375" s="352" t="n"/>
      <c r="D375" s="342" t="n"/>
      <c r="E375" s="343" t="n"/>
      <c r="F375" s="30" t="n"/>
      <c r="G375" s="30" t="n"/>
      <c r="H375" s="343" t="n"/>
      <c r="I375" s="343" t="n"/>
      <c r="J375" s="343" t="n"/>
      <c r="K375" s="346" t="n"/>
      <c r="L375" s="30" t="n"/>
      <c r="M375" s="30" t="n"/>
      <c r="N375" s="30" t="n"/>
      <c r="O375" s="30" t="n"/>
      <c r="P375" s="30" t="n"/>
    </row>
    <row r="376">
      <c r="A376" s="27" t="n"/>
      <c r="B376" s="27" t="n"/>
      <c r="C376" s="352" t="n"/>
      <c r="D376" s="342" t="n"/>
      <c r="E376" s="343" t="n"/>
      <c r="F376" s="30" t="n"/>
      <c r="G376" s="30" t="n"/>
      <c r="H376" s="343" t="n"/>
      <c r="I376" s="343" t="n"/>
      <c r="J376" s="343" t="n"/>
      <c r="K376" s="346" t="n"/>
      <c r="L376" s="30" t="n"/>
      <c r="M376" s="30" t="n"/>
      <c r="N376" s="30" t="n"/>
      <c r="O376" s="30" t="n"/>
      <c r="P376" s="30" t="n"/>
    </row>
    <row r="377">
      <c r="A377" s="27" t="n"/>
      <c r="B377" s="27" t="n"/>
      <c r="C377" s="352" t="n"/>
      <c r="D377" s="342" t="n"/>
      <c r="E377" s="343" t="n"/>
      <c r="F377" s="30" t="n"/>
      <c r="G377" s="30" t="n"/>
      <c r="H377" s="343" t="n"/>
      <c r="I377" s="343" t="n"/>
      <c r="J377" s="343" t="n"/>
      <c r="K377" s="346" t="n"/>
      <c r="L377" s="30" t="n"/>
      <c r="M377" s="30" t="n"/>
      <c r="N377" s="30" t="n"/>
      <c r="O377" s="30" t="n"/>
      <c r="P377" s="30" t="n"/>
    </row>
    <row r="378">
      <c r="A378" s="27" t="n"/>
      <c r="B378" s="27" t="n"/>
      <c r="C378" s="352" t="n"/>
      <c r="D378" s="342" t="n"/>
      <c r="E378" s="343" t="n"/>
      <c r="F378" s="30" t="n"/>
      <c r="G378" s="30" t="n"/>
      <c r="H378" s="343" t="n"/>
      <c r="I378" s="343" t="n"/>
      <c r="J378" s="343" t="n"/>
      <c r="K378" s="346" t="n"/>
      <c r="L378" s="30" t="n"/>
      <c r="M378" s="30" t="n"/>
      <c r="N378" s="30" t="n"/>
      <c r="O378" s="30" t="n"/>
      <c r="P378" s="30" t="n"/>
    </row>
    <row r="379">
      <c r="A379" s="27" t="n"/>
      <c r="B379" s="27" t="n"/>
      <c r="C379" s="352" t="n"/>
      <c r="D379" s="342" t="n"/>
      <c r="E379" s="343" t="n"/>
      <c r="F379" s="30" t="n"/>
      <c r="G379" s="30" t="n"/>
      <c r="H379" s="343" t="n"/>
      <c r="I379" s="343" t="n"/>
      <c r="J379" s="343" t="n"/>
      <c r="K379" s="346" t="n"/>
      <c r="L379" s="30" t="n"/>
      <c r="M379" s="30" t="n"/>
      <c r="N379" s="30" t="n"/>
      <c r="O379" s="30" t="n"/>
      <c r="P379" s="30" t="n"/>
    </row>
    <row r="380">
      <c r="A380" s="27" t="n"/>
      <c r="B380" s="27" t="n"/>
      <c r="C380" s="352" t="n"/>
      <c r="D380" s="342" t="n"/>
      <c r="E380" s="343" t="n"/>
      <c r="F380" s="30" t="n"/>
      <c r="G380" s="30" t="n"/>
      <c r="H380" s="343" t="n"/>
      <c r="I380" s="343" t="n"/>
      <c r="J380" s="343" t="n"/>
      <c r="K380" s="346" t="n"/>
      <c r="L380" s="30" t="n"/>
      <c r="M380" s="30" t="n"/>
      <c r="N380" s="30" t="n"/>
      <c r="O380" s="30" t="n"/>
      <c r="P380" s="30" t="n"/>
    </row>
    <row r="381">
      <c r="A381" s="27" t="n"/>
      <c r="B381" s="27" t="n"/>
      <c r="C381" s="352" t="n"/>
      <c r="D381" s="342" t="n"/>
      <c r="E381" s="343" t="n"/>
      <c r="F381" s="30" t="n"/>
      <c r="G381" s="30" t="n"/>
      <c r="H381" s="343" t="n"/>
      <c r="I381" s="343" t="n"/>
      <c r="J381" s="343" t="n"/>
      <c r="K381" s="346" t="n"/>
      <c r="L381" s="30" t="n"/>
      <c r="M381" s="30" t="n"/>
      <c r="N381" s="30" t="n"/>
      <c r="O381" s="30" t="n"/>
      <c r="P381" s="30" t="n"/>
    </row>
    <row r="382">
      <c r="A382" s="27" t="n"/>
      <c r="B382" s="27" t="n"/>
      <c r="C382" s="352" t="n"/>
      <c r="D382" s="342" t="n"/>
      <c r="E382" s="343" t="n"/>
      <c r="F382" s="30" t="n"/>
      <c r="G382" s="30" t="n"/>
      <c r="H382" s="343" t="n"/>
      <c r="I382" s="343" t="n"/>
      <c r="J382" s="343" t="n"/>
      <c r="K382" s="346" t="n"/>
      <c r="L382" s="30" t="n"/>
      <c r="M382" s="30" t="n"/>
      <c r="N382" s="30" t="n"/>
      <c r="O382" s="30" t="n"/>
      <c r="P382" s="30" t="n"/>
    </row>
    <row r="383">
      <c r="A383" s="27" t="n"/>
      <c r="B383" s="27" t="n"/>
      <c r="C383" s="352" t="n"/>
      <c r="D383" s="342" t="n"/>
      <c r="E383" s="343" t="n"/>
      <c r="F383" s="30" t="n"/>
      <c r="G383" s="30" t="n"/>
      <c r="H383" s="343" t="n"/>
      <c r="I383" s="343" t="n"/>
      <c r="J383" s="343" t="n"/>
      <c r="K383" s="346" t="n"/>
      <c r="L383" s="30" t="n"/>
      <c r="M383" s="30" t="n"/>
      <c r="N383" s="30" t="n"/>
      <c r="O383" s="30" t="n"/>
      <c r="P383" s="30" t="n"/>
    </row>
    <row r="384">
      <c r="A384" s="27" t="n"/>
      <c r="B384" s="27" t="n"/>
      <c r="C384" s="352" t="n"/>
      <c r="D384" s="342" t="n"/>
      <c r="E384" s="343" t="n"/>
      <c r="F384" s="30" t="n"/>
      <c r="G384" s="30" t="n"/>
      <c r="H384" s="343" t="n"/>
      <c r="I384" s="343" t="n"/>
      <c r="J384" s="343" t="n"/>
      <c r="K384" s="346" t="n"/>
      <c r="L384" s="30" t="n"/>
      <c r="M384" s="30" t="n"/>
      <c r="N384" s="30" t="n"/>
      <c r="O384" s="30" t="n"/>
      <c r="P384" s="30" t="n"/>
    </row>
    <row r="385">
      <c r="A385" s="27" t="n"/>
      <c r="B385" s="27" t="n"/>
      <c r="C385" s="352" t="n"/>
      <c r="D385" s="342" t="n"/>
      <c r="E385" s="343" t="n"/>
      <c r="F385" s="30" t="n"/>
      <c r="G385" s="30" t="n"/>
      <c r="H385" s="343" t="n"/>
      <c r="I385" s="343" t="n"/>
      <c r="J385" s="343" t="n"/>
      <c r="K385" s="346" t="n"/>
      <c r="L385" s="30" t="n"/>
      <c r="M385" s="30" t="n"/>
      <c r="N385" s="30" t="n"/>
      <c r="O385" s="30" t="n"/>
      <c r="P385" s="30" t="n"/>
    </row>
    <row r="386">
      <c r="A386" s="27" t="n"/>
      <c r="B386" s="27" t="n"/>
      <c r="C386" s="352" t="n"/>
      <c r="D386" s="342" t="n"/>
      <c r="E386" s="343" t="n"/>
      <c r="F386" s="30" t="n"/>
      <c r="G386" s="30" t="n"/>
      <c r="H386" s="343" t="n"/>
      <c r="I386" s="343" t="n"/>
      <c r="J386" s="343" t="n"/>
      <c r="K386" s="346" t="n"/>
      <c r="L386" s="30" t="n"/>
      <c r="M386" s="30" t="n"/>
      <c r="N386" s="30" t="n"/>
      <c r="O386" s="30" t="n"/>
      <c r="P386" s="30" t="n"/>
    </row>
    <row r="387">
      <c r="A387" s="27" t="n"/>
      <c r="B387" s="27" t="n"/>
      <c r="C387" s="352" t="n"/>
      <c r="D387" s="342" t="n"/>
      <c r="E387" s="343" t="n"/>
      <c r="F387" s="30" t="n"/>
      <c r="G387" s="30" t="n"/>
      <c r="H387" s="343" t="n"/>
      <c r="I387" s="343" t="n"/>
      <c r="J387" s="343" t="n"/>
      <c r="K387" s="346" t="n"/>
      <c r="L387" s="30" t="n"/>
      <c r="M387" s="30" t="n"/>
      <c r="N387" s="30" t="n"/>
      <c r="O387" s="30" t="n"/>
      <c r="P387" s="30" t="n"/>
    </row>
    <row r="388">
      <c r="A388" s="27" t="n"/>
      <c r="B388" s="27" t="n"/>
      <c r="C388" s="352" t="n"/>
      <c r="D388" s="342" t="n"/>
      <c r="E388" s="343" t="n"/>
      <c r="F388" s="30" t="n"/>
      <c r="G388" s="30" t="n"/>
      <c r="H388" s="343" t="n"/>
      <c r="I388" s="343" t="n"/>
      <c r="J388" s="343" t="n"/>
      <c r="K388" s="346" t="n"/>
      <c r="L388" s="30" t="n"/>
      <c r="M388" s="30" t="n"/>
      <c r="N388" s="30" t="n"/>
      <c r="O388" s="30" t="n"/>
      <c r="P388" s="30" t="n"/>
    </row>
    <row r="389">
      <c r="A389" s="27" t="n"/>
      <c r="B389" s="27" t="n"/>
      <c r="C389" s="352" t="n"/>
      <c r="D389" s="342" t="n"/>
      <c r="E389" s="343" t="n"/>
      <c r="F389" s="30" t="n"/>
      <c r="G389" s="30" t="n"/>
      <c r="H389" s="343" t="n"/>
      <c r="I389" s="343" t="n"/>
      <c r="J389" s="343" t="n"/>
      <c r="K389" s="346" t="n"/>
      <c r="L389" s="30" t="n"/>
      <c r="M389" s="30" t="n"/>
      <c r="N389" s="30" t="n"/>
      <c r="O389" s="30" t="n"/>
      <c r="P389" s="30" t="n"/>
    </row>
    <row r="390">
      <c r="A390" s="27" t="n"/>
      <c r="B390" s="27" t="n"/>
      <c r="C390" s="352" t="n"/>
      <c r="D390" s="342" t="n"/>
      <c r="E390" s="343" t="n"/>
      <c r="F390" s="30" t="n"/>
      <c r="G390" s="30" t="n"/>
      <c r="H390" s="343" t="n"/>
      <c r="I390" s="343" t="n"/>
      <c r="J390" s="343" t="n"/>
      <c r="K390" s="346" t="n"/>
      <c r="L390" s="30" t="n"/>
      <c r="M390" s="30" t="n"/>
      <c r="N390" s="30" t="n"/>
      <c r="O390" s="30" t="n"/>
      <c r="P390" s="30" t="n"/>
    </row>
    <row r="391">
      <c r="A391" s="27" t="n"/>
      <c r="B391" s="27" t="n"/>
      <c r="C391" s="352" t="n"/>
      <c r="D391" s="342" t="n"/>
      <c r="E391" s="343" t="n"/>
      <c r="F391" s="30" t="n"/>
      <c r="G391" s="30" t="n"/>
      <c r="H391" s="343" t="n"/>
      <c r="I391" s="343" t="n"/>
      <c r="J391" s="343" t="n"/>
      <c r="K391" s="346" t="n"/>
      <c r="L391" s="30" t="n"/>
      <c r="M391" s="30" t="n"/>
      <c r="N391" s="30" t="n"/>
      <c r="O391" s="30" t="n"/>
      <c r="P391" s="30" t="n"/>
    </row>
    <row r="392">
      <c r="A392" s="27" t="n"/>
      <c r="B392" s="27" t="n"/>
      <c r="C392" s="352" t="n"/>
      <c r="D392" s="342" t="n"/>
      <c r="E392" s="343" t="n"/>
      <c r="F392" s="30" t="n"/>
      <c r="G392" s="30" t="n"/>
      <c r="H392" s="343" t="n"/>
      <c r="I392" s="343" t="n"/>
      <c r="J392" s="343" t="n"/>
      <c r="K392" s="346" t="n"/>
      <c r="L392" s="30" t="n"/>
      <c r="M392" s="30" t="n"/>
      <c r="N392" s="30" t="n"/>
      <c r="O392" s="30" t="n"/>
      <c r="P392" s="30" t="n"/>
    </row>
    <row r="393">
      <c r="A393" s="27" t="n"/>
      <c r="B393" s="27" t="n"/>
      <c r="C393" s="352" t="n"/>
      <c r="D393" s="342" t="n"/>
      <c r="E393" s="343" t="n"/>
      <c r="F393" s="30" t="n"/>
      <c r="G393" s="30" t="n"/>
      <c r="H393" s="343" t="n"/>
      <c r="I393" s="343" t="n"/>
      <c r="J393" s="343" t="n"/>
      <c r="K393" s="346" t="n"/>
      <c r="L393" s="30" t="n"/>
      <c r="M393" s="30" t="n"/>
      <c r="N393" s="30" t="n"/>
      <c r="O393" s="30" t="n"/>
      <c r="P393" s="30" t="n"/>
    </row>
    <row r="394">
      <c r="A394" s="27" t="n"/>
      <c r="B394" s="27" t="n"/>
      <c r="C394" s="352" t="n"/>
      <c r="D394" s="342" t="n"/>
      <c r="E394" s="343" t="n"/>
      <c r="F394" s="30" t="n"/>
      <c r="G394" s="30" t="n"/>
      <c r="H394" s="343" t="n"/>
      <c r="I394" s="343" t="n"/>
      <c r="J394" s="343" t="n"/>
      <c r="K394" s="346" t="n"/>
      <c r="L394" s="30" t="n"/>
      <c r="M394" s="30" t="n"/>
      <c r="N394" s="30" t="n"/>
      <c r="O394" s="30" t="n"/>
      <c r="P394" s="30" t="n"/>
    </row>
    <row r="395">
      <c r="A395" s="27" t="n"/>
      <c r="B395" s="27" t="n"/>
      <c r="C395" s="352" t="n"/>
      <c r="D395" s="342" t="n"/>
      <c r="E395" s="343" t="n"/>
      <c r="F395" s="30" t="n"/>
      <c r="G395" s="30" t="n"/>
      <c r="H395" s="343" t="n"/>
      <c r="I395" s="343" t="n"/>
      <c r="J395" s="343" t="n"/>
      <c r="K395" s="346" t="n"/>
      <c r="L395" s="30" t="n"/>
      <c r="M395" s="30" t="n"/>
      <c r="N395" s="30" t="n"/>
      <c r="O395" s="30" t="n"/>
      <c r="P395" s="30" t="n"/>
    </row>
    <row r="396">
      <c r="A396" s="27" t="n"/>
      <c r="B396" s="27" t="n"/>
      <c r="C396" s="352" t="n"/>
      <c r="D396" s="342" t="n"/>
      <c r="E396" s="343" t="n"/>
      <c r="F396" s="30" t="n"/>
      <c r="G396" s="30" t="n"/>
      <c r="H396" s="343" t="n"/>
      <c r="I396" s="343" t="n"/>
      <c r="J396" s="343" t="n"/>
      <c r="K396" s="346" t="n"/>
      <c r="L396" s="30" t="n"/>
      <c r="M396" s="30" t="n"/>
      <c r="N396" s="30" t="n"/>
      <c r="O396" s="30" t="n"/>
      <c r="P396" s="30" t="n"/>
    </row>
    <row r="397">
      <c r="A397" s="27" t="n"/>
      <c r="B397" s="27" t="n"/>
      <c r="C397" s="352" t="n"/>
      <c r="D397" s="342" t="n"/>
      <c r="E397" s="343" t="n"/>
      <c r="F397" s="30" t="n"/>
      <c r="G397" s="30" t="n"/>
      <c r="H397" s="343" t="n"/>
      <c r="I397" s="343" t="n"/>
      <c r="J397" s="343" t="n"/>
      <c r="K397" s="346" t="n"/>
      <c r="L397" s="30" t="n"/>
      <c r="M397" s="30" t="n"/>
      <c r="N397" s="30" t="n"/>
      <c r="O397" s="30" t="n"/>
      <c r="P397" s="30" t="n"/>
    </row>
    <row r="398">
      <c r="A398" s="27" t="n"/>
      <c r="B398" s="27" t="n"/>
      <c r="C398" s="352" t="n"/>
      <c r="D398" s="342" t="n"/>
      <c r="E398" s="343" t="n"/>
      <c r="F398" s="30" t="n"/>
      <c r="G398" s="30" t="n"/>
      <c r="H398" s="343" t="n"/>
      <c r="I398" s="343" t="n"/>
      <c r="J398" s="343" t="n"/>
      <c r="K398" s="346" t="n"/>
      <c r="L398" s="30" t="n"/>
      <c r="M398" s="30" t="n"/>
      <c r="N398" s="30" t="n"/>
      <c r="O398" s="30" t="n"/>
      <c r="P398" s="30" t="n"/>
    </row>
    <row r="399">
      <c r="A399" s="27" t="n"/>
      <c r="B399" s="27" t="n"/>
      <c r="C399" s="352" t="n"/>
      <c r="D399" s="342" t="n"/>
      <c r="E399" s="343" t="n"/>
      <c r="F399" s="30" t="n"/>
      <c r="G399" s="30" t="n"/>
      <c r="H399" s="343" t="n"/>
      <c r="I399" s="343" t="n"/>
      <c r="J399" s="343" t="n"/>
      <c r="K399" s="346" t="n"/>
      <c r="L399" s="30" t="n"/>
      <c r="M399" s="30" t="n"/>
      <c r="N399" s="30" t="n"/>
      <c r="O399" s="30" t="n"/>
      <c r="P399" s="30" t="n"/>
    </row>
    <row r="400">
      <c r="A400" s="27" t="n"/>
      <c r="B400" s="27" t="n"/>
      <c r="C400" s="352" t="n"/>
      <c r="D400" s="342" t="n"/>
      <c r="E400" s="343" t="n"/>
      <c r="F400" s="30" t="n"/>
      <c r="G400" s="30" t="n"/>
      <c r="H400" s="343" t="n"/>
      <c r="I400" s="343" t="n"/>
      <c r="J400" s="343" t="n"/>
      <c r="K400" s="346" t="n"/>
      <c r="L400" s="30" t="n"/>
      <c r="M400" s="30" t="n"/>
      <c r="N400" s="30" t="n"/>
      <c r="O400" s="30" t="n"/>
      <c r="P400" s="30" t="n"/>
    </row>
    <row r="401">
      <c r="A401" s="27" t="n"/>
      <c r="B401" s="27" t="n"/>
      <c r="C401" s="352" t="n"/>
      <c r="D401" s="342" t="n"/>
      <c r="E401" s="343" t="n"/>
      <c r="F401" s="30" t="n"/>
      <c r="G401" s="30" t="n"/>
      <c r="H401" s="343" t="n"/>
      <c r="I401" s="343" t="n"/>
      <c r="J401" s="343" t="n"/>
      <c r="K401" s="346" t="n"/>
      <c r="L401" s="30" t="n"/>
      <c r="M401" s="30" t="n"/>
      <c r="N401" s="30" t="n"/>
      <c r="O401" s="30" t="n"/>
      <c r="P401" s="30" t="n"/>
    </row>
    <row r="402">
      <c r="A402" s="27" t="n"/>
      <c r="B402" s="27" t="n"/>
      <c r="C402" s="352" t="n"/>
      <c r="D402" s="342" t="n"/>
      <c r="E402" s="343" t="n"/>
      <c r="F402" s="30" t="n"/>
      <c r="G402" s="30" t="n"/>
      <c r="H402" s="343" t="n"/>
      <c r="I402" s="343" t="n"/>
      <c r="J402" s="343" t="n"/>
      <c r="K402" s="346" t="n"/>
      <c r="L402" s="30" t="n"/>
      <c r="M402" s="30" t="n"/>
      <c r="N402" s="30" t="n"/>
      <c r="O402" s="30" t="n"/>
      <c r="P402" s="30" t="n"/>
    </row>
    <row r="403">
      <c r="A403" s="27" t="n"/>
      <c r="B403" s="27" t="n"/>
      <c r="C403" s="352" t="n"/>
      <c r="D403" s="342" t="n"/>
      <c r="E403" s="343" t="n"/>
      <c r="F403" s="30" t="n"/>
      <c r="G403" s="30" t="n"/>
      <c r="H403" s="343" t="n"/>
      <c r="I403" s="343" t="n"/>
      <c r="J403" s="343" t="n"/>
      <c r="K403" s="346" t="n"/>
      <c r="L403" s="30" t="n"/>
      <c r="M403" s="30" t="n"/>
      <c r="N403" s="30" t="n"/>
      <c r="O403" s="30" t="n"/>
      <c r="P403" s="30" t="n"/>
    </row>
    <row r="404">
      <c r="A404" s="27" t="n"/>
      <c r="B404" s="27" t="n"/>
      <c r="C404" s="352" t="n"/>
      <c r="D404" s="342" t="n"/>
      <c r="E404" s="343" t="n"/>
      <c r="F404" s="30" t="n"/>
      <c r="G404" s="30" t="n"/>
      <c r="H404" s="343" t="n"/>
      <c r="I404" s="343" t="n"/>
      <c r="J404" s="343" t="n"/>
      <c r="K404" s="346" t="n"/>
      <c r="L404" s="30" t="n"/>
      <c r="M404" s="30" t="n"/>
      <c r="N404" s="30" t="n"/>
      <c r="O404" s="30" t="n"/>
      <c r="P404" s="30" t="n"/>
    </row>
    <row r="405">
      <c r="A405" s="27" t="n"/>
      <c r="B405" s="27" t="n"/>
      <c r="C405" s="352" t="n"/>
      <c r="D405" s="342" t="n"/>
      <c r="E405" s="343" t="n"/>
      <c r="F405" s="30" t="n"/>
      <c r="G405" s="30" t="n"/>
      <c r="H405" s="343" t="n"/>
      <c r="I405" s="343" t="n"/>
      <c r="J405" s="343" t="n"/>
      <c r="K405" s="346" t="n"/>
      <c r="L405" s="30" t="n"/>
      <c r="M405" s="30" t="n"/>
      <c r="N405" s="30" t="n"/>
      <c r="O405" s="30" t="n"/>
      <c r="P405" s="30" t="n"/>
    </row>
    <row r="406">
      <c r="A406" s="27" t="n"/>
      <c r="B406" s="27" t="n"/>
      <c r="C406" s="352" t="n"/>
      <c r="D406" s="342" t="n"/>
      <c r="E406" s="343" t="n"/>
      <c r="F406" s="30" t="n"/>
      <c r="G406" s="30" t="n"/>
      <c r="H406" s="343" t="n"/>
      <c r="I406" s="343" t="n"/>
      <c r="J406" s="343" t="n"/>
      <c r="K406" s="346" t="n"/>
      <c r="L406" s="30" t="n"/>
      <c r="M406" s="30" t="n"/>
      <c r="N406" s="30" t="n"/>
      <c r="O406" s="30" t="n"/>
      <c r="P406" s="30" t="n"/>
    </row>
    <row r="407">
      <c r="A407" s="27" t="n"/>
      <c r="B407" s="27" t="n"/>
      <c r="C407" s="352" t="n"/>
      <c r="D407" s="342" t="n"/>
      <c r="E407" s="343" t="n"/>
      <c r="F407" s="30" t="n"/>
      <c r="G407" s="30" t="n"/>
      <c r="H407" s="343" t="n"/>
      <c r="I407" s="343" t="n"/>
      <c r="J407" s="343" t="n"/>
      <c r="K407" s="346" t="n"/>
      <c r="L407" s="30" t="n"/>
      <c r="M407" s="30" t="n"/>
      <c r="N407" s="30" t="n"/>
      <c r="O407" s="30" t="n"/>
      <c r="P407" s="30" t="n"/>
    </row>
    <row r="408">
      <c r="A408" s="27" t="n"/>
      <c r="B408" s="27" t="n"/>
      <c r="C408" s="352" t="n"/>
      <c r="D408" s="342" t="n"/>
      <c r="E408" s="343" t="n"/>
      <c r="F408" s="30" t="n"/>
      <c r="G408" s="30" t="n"/>
      <c r="H408" s="343" t="n"/>
      <c r="I408" s="343" t="n"/>
      <c r="J408" s="343" t="n"/>
      <c r="K408" s="346" t="n"/>
      <c r="L408" s="30" t="n"/>
      <c r="M408" s="30" t="n"/>
      <c r="N408" s="30" t="n"/>
      <c r="O408" s="30" t="n"/>
      <c r="P408" s="30" t="n"/>
    </row>
    <row r="409">
      <c r="A409" s="27" t="n"/>
      <c r="B409" s="27" t="n"/>
      <c r="C409" s="352" t="n"/>
      <c r="D409" s="342" t="n"/>
      <c r="E409" s="343" t="n"/>
      <c r="F409" s="30" t="n"/>
      <c r="G409" s="30" t="n"/>
      <c r="H409" s="343" t="n"/>
      <c r="I409" s="343" t="n"/>
      <c r="J409" s="343" t="n"/>
      <c r="K409" s="346" t="n"/>
      <c r="L409" s="30" t="n"/>
      <c r="M409" s="30" t="n"/>
      <c r="N409" s="30" t="n"/>
      <c r="O409" s="30" t="n"/>
      <c r="P409" s="30" t="n"/>
    </row>
    <row r="410">
      <c r="A410" s="27" t="n"/>
      <c r="B410" s="27" t="n"/>
      <c r="C410" s="352" t="n"/>
      <c r="D410" s="342" t="n"/>
      <c r="E410" s="343" t="n"/>
      <c r="F410" s="30" t="n"/>
      <c r="G410" s="30" t="n"/>
      <c r="H410" s="343" t="n"/>
      <c r="I410" s="343" t="n"/>
      <c r="J410" s="343" t="n"/>
      <c r="K410" s="346" t="n"/>
      <c r="L410" s="30" t="n"/>
      <c r="M410" s="30" t="n"/>
      <c r="N410" s="30" t="n"/>
      <c r="O410" s="30" t="n"/>
      <c r="P410" s="30" t="n"/>
    </row>
    <row r="411">
      <c r="A411" s="27" t="n"/>
      <c r="B411" s="27" t="n"/>
      <c r="C411" s="352" t="n"/>
      <c r="D411" s="342" t="n"/>
      <c r="E411" s="343" t="n"/>
      <c r="F411" s="30" t="n"/>
      <c r="G411" s="30" t="n"/>
      <c r="H411" s="343" t="n"/>
      <c r="I411" s="343" t="n"/>
      <c r="J411" s="343" t="n"/>
      <c r="K411" s="346" t="n"/>
      <c r="L411" s="30" t="n"/>
      <c r="M411" s="30" t="n"/>
      <c r="N411" s="30" t="n"/>
      <c r="O411" s="30" t="n"/>
      <c r="P411" s="30" t="n"/>
    </row>
    <row r="412">
      <c r="A412" s="27" t="n"/>
      <c r="B412" s="27" t="n"/>
      <c r="C412" s="352" t="n"/>
      <c r="D412" s="342" t="n"/>
      <c r="E412" s="343" t="n"/>
      <c r="F412" s="30" t="n"/>
      <c r="G412" s="30" t="n"/>
      <c r="H412" s="343" t="n"/>
      <c r="I412" s="343" t="n"/>
      <c r="J412" s="343" t="n"/>
      <c r="K412" s="346" t="n"/>
      <c r="L412" s="30" t="n"/>
      <c r="M412" s="30" t="n"/>
      <c r="N412" s="30" t="n"/>
      <c r="O412" s="30" t="n"/>
      <c r="P412" s="30" t="n"/>
    </row>
    <row r="413">
      <c r="A413" s="27" t="n"/>
      <c r="B413" s="27" t="n"/>
      <c r="C413" s="352" t="n"/>
      <c r="D413" s="342" t="n"/>
      <c r="E413" s="343" t="n"/>
      <c r="F413" s="30" t="n"/>
      <c r="G413" s="30" t="n"/>
      <c r="H413" s="343" t="n"/>
      <c r="I413" s="343" t="n"/>
      <c r="J413" s="343" t="n"/>
      <c r="K413" s="346" t="n"/>
      <c r="L413" s="30" t="n"/>
      <c r="M413" s="30" t="n"/>
      <c r="N413" s="30" t="n"/>
      <c r="O413" s="30" t="n"/>
      <c r="P413" s="30" t="n"/>
    </row>
    <row r="414">
      <c r="A414" s="27" t="n"/>
      <c r="B414" s="27" t="n"/>
      <c r="C414" s="352" t="n"/>
      <c r="D414" s="342" t="n"/>
      <c r="E414" s="343" t="n"/>
      <c r="F414" s="30" t="n"/>
      <c r="G414" s="30" t="n"/>
      <c r="H414" s="343" t="n"/>
      <c r="I414" s="343" t="n"/>
      <c r="J414" s="343" t="n"/>
      <c r="K414" s="346" t="n"/>
      <c r="L414" s="30" t="n"/>
      <c r="M414" s="30" t="n"/>
      <c r="N414" s="30" t="n"/>
      <c r="O414" s="30" t="n"/>
      <c r="P414" s="30" t="n"/>
    </row>
    <row r="415">
      <c r="A415" s="27" t="n"/>
      <c r="B415" s="27" t="n"/>
      <c r="C415" s="352" t="n"/>
      <c r="D415" s="342" t="n"/>
      <c r="E415" s="343" t="n"/>
      <c r="F415" s="30" t="n"/>
      <c r="G415" s="30" t="n"/>
      <c r="H415" s="343" t="n"/>
      <c r="I415" s="343" t="n"/>
      <c r="J415" s="343" t="n"/>
      <c r="K415" s="346" t="n"/>
      <c r="L415" s="30" t="n"/>
      <c r="M415" s="30" t="n"/>
      <c r="N415" s="30" t="n"/>
      <c r="O415" s="30" t="n"/>
      <c r="P415" s="30" t="n"/>
    </row>
    <row r="416">
      <c r="A416" s="27" t="n"/>
      <c r="B416" s="27" t="n"/>
      <c r="C416" s="352" t="n"/>
      <c r="D416" s="342" t="n"/>
      <c r="E416" s="343" t="n"/>
      <c r="F416" s="30" t="n"/>
      <c r="G416" s="30" t="n"/>
      <c r="H416" s="343" t="n"/>
      <c r="I416" s="343" t="n"/>
      <c r="J416" s="343" t="n"/>
      <c r="K416" s="346" t="n"/>
      <c r="L416" s="30" t="n"/>
      <c r="M416" s="30" t="n"/>
      <c r="N416" s="30" t="n"/>
      <c r="O416" s="30" t="n"/>
      <c r="P416" s="30" t="n"/>
    </row>
    <row r="417">
      <c r="A417" s="27" t="n"/>
      <c r="B417" s="27" t="n"/>
      <c r="C417" s="352" t="n"/>
      <c r="D417" s="342" t="n"/>
      <c r="E417" s="343" t="n"/>
      <c r="F417" s="30" t="n"/>
      <c r="G417" s="30" t="n"/>
      <c r="H417" s="343" t="n"/>
      <c r="I417" s="343" t="n"/>
      <c r="J417" s="343" t="n"/>
      <c r="K417" s="346" t="n"/>
      <c r="L417" s="30" t="n"/>
      <c r="M417" s="30" t="n"/>
      <c r="N417" s="30" t="n"/>
      <c r="O417" s="30" t="n"/>
      <c r="P417" s="30" t="n"/>
    </row>
    <row r="418">
      <c r="A418" s="27" t="n"/>
      <c r="B418" s="27" t="n"/>
      <c r="C418" s="352" t="n"/>
      <c r="D418" s="342" t="n"/>
      <c r="E418" s="343" t="n"/>
      <c r="F418" s="30" t="n"/>
      <c r="G418" s="30" t="n"/>
      <c r="H418" s="343" t="n"/>
      <c r="I418" s="343" t="n"/>
      <c r="J418" s="343" t="n"/>
      <c r="K418" s="346" t="n"/>
      <c r="L418" s="30" t="n"/>
      <c r="M418" s="30" t="n"/>
      <c r="N418" s="30" t="n"/>
      <c r="O418" s="30" t="n"/>
      <c r="P418" s="30" t="n"/>
    </row>
    <row r="419">
      <c r="A419" s="27" t="n"/>
      <c r="B419" s="27" t="n"/>
      <c r="C419" s="352" t="n"/>
      <c r="D419" s="342" t="n"/>
      <c r="E419" s="343" t="n"/>
      <c r="F419" s="30" t="n"/>
      <c r="G419" s="30" t="n"/>
      <c r="H419" s="343" t="n"/>
      <c r="I419" s="343" t="n"/>
      <c r="J419" s="343" t="n"/>
      <c r="K419" s="346" t="n"/>
      <c r="L419" s="30" t="n"/>
      <c r="M419" s="30" t="n"/>
      <c r="N419" s="30" t="n"/>
      <c r="O419" s="30" t="n"/>
      <c r="P419" s="30" t="n"/>
    </row>
    <row r="420">
      <c r="A420" s="27" t="n"/>
      <c r="B420" s="27" t="n"/>
      <c r="C420" s="352" t="n"/>
      <c r="D420" s="342" t="n"/>
      <c r="E420" s="343" t="n"/>
      <c r="F420" s="30" t="n"/>
      <c r="G420" s="30" t="n"/>
      <c r="H420" s="343" t="n"/>
      <c r="I420" s="343" t="n"/>
      <c r="J420" s="343" t="n"/>
      <c r="K420" s="346" t="n"/>
      <c r="L420" s="30" t="n"/>
      <c r="M420" s="30" t="n"/>
      <c r="N420" s="30" t="n"/>
      <c r="O420" s="30" t="n"/>
      <c r="P420" s="30" t="n"/>
    </row>
    <row r="421">
      <c r="A421" s="27" t="n"/>
      <c r="B421" s="27" t="n"/>
      <c r="C421" s="352" t="n"/>
      <c r="D421" s="342" t="n"/>
      <c r="E421" s="343" t="n"/>
      <c r="F421" s="30" t="n"/>
      <c r="G421" s="30" t="n"/>
      <c r="H421" s="343" t="n"/>
      <c r="I421" s="343" t="n"/>
      <c r="J421" s="343" t="n"/>
      <c r="K421" s="346" t="n"/>
      <c r="L421" s="30" t="n"/>
      <c r="M421" s="30" t="n"/>
      <c r="N421" s="30" t="n"/>
      <c r="O421" s="30" t="n"/>
      <c r="P421" s="30" t="n"/>
    </row>
    <row r="422">
      <c r="A422" s="27" t="n"/>
      <c r="B422" s="27" t="n"/>
      <c r="C422" s="352" t="n"/>
      <c r="D422" s="342" t="n"/>
      <c r="E422" s="343" t="n"/>
      <c r="F422" s="30" t="n"/>
      <c r="G422" s="30" t="n"/>
      <c r="H422" s="343" t="n"/>
      <c r="I422" s="343" t="n"/>
      <c r="J422" s="343" t="n"/>
      <c r="K422" s="346" t="n"/>
      <c r="L422" s="30" t="n"/>
      <c r="M422" s="30" t="n"/>
      <c r="N422" s="30" t="n"/>
      <c r="O422" s="30" t="n"/>
      <c r="P422" s="30" t="n"/>
    </row>
    <row r="423">
      <c r="A423" s="27" t="n"/>
      <c r="B423" s="27" t="n"/>
      <c r="C423" s="352" t="n"/>
      <c r="D423" s="342" t="n"/>
      <c r="E423" s="343" t="n"/>
      <c r="F423" s="30" t="n"/>
      <c r="G423" s="30" t="n"/>
      <c r="H423" s="343" t="n"/>
      <c r="I423" s="343" t="n"/>
      <c r="J423" s="343" t="n"/>
      <c r="K423" s="346" t="n"/>
      <c r="L423" s="30" t="n"/>
      <c r="M423" s="30" t="n"/>
      <c r="N423" s="30" t="n"/>
      <c r="O423" s="30" t="n"/>
      <c r="P423" s="30" t="n"/>
    </row>
    <row r="424">
      <c r="A424" s="27" t="n"/>
      <c r="B424" s="27" t="n"/>
      <c r="C424" s="352" t="n"/>
      <c r="D424" s="342" t="n"/>
      <c r="E424" s="343" t="n"/>
      <c r="F424" s="30" t="n"/>
      <c r="G424" s="30" t="n"/>
      <c r="H424" s="343" t="n"/>
      <c r="I424" s="343" t="n"/>
      <c r="J424" s="343" t="n"/>
      <c r="K424" s="346" t="n"/>
      <c r="L424" s="30" t="n"/>
      <c r="M424" s="30" t="n"/>
      <c r="N424" s="30" t="n"/>
      <c r="O424" s="30" t="n"/>
      <c r="P424" s="30" t="n"/>
    </row>
    <row r="425">
      <c r="A425" s="27" t="n"/>
      <c r="B425" s="27" t="n"/>
      <c r="C425" s="352" t="n"/>
      <c r="D425" s="342" t="n"/>
      <c r="E425" s="343" t="n"/>
      <c r="F425" s="30" t="n"/>
      <c r="G425" s="30" t="n"/>
      <c r="H425" s="343" t="n"/>
      <c r="I425" s="343" t="n"/>
      <c r="J425" s="343" t="n"/>
      <c r="K425" s="346" t="n"/>
      <c r="L425" s="30" t="n"/>
      <c r="M425" s="30" t="n"/>
      <c r="N425" s="30" t="n"/>
      <c r="O425" s="30" t="n"/>
      <c r="P425" s="30" t="n"/>
    </row>
    <row r="426">
      <c r="A426" s="27" t="n"/>
      <c r="B426" s="27" t="n"/>
      <c r="C426" s="352" t="n"/>
      <c r="D426" s="342" t="n"/>
      <c r="E426" s="343" t="n"/>
      <c r="F426" s="30" t="n"/>
      <c r="G426" s="30" t="n"/>
      <c r="H426" s="343" t="n"/>
      <c r="I426" s="343" t="n"/>
      <c r="J426" s="343" t="n"/>
      <c r="K426" s="346" t="n"/>
      <c r="L426" s="30" t="n"/>
      <c r="M426" s="30" t="n"/>
      <c r="N426" s="30" t="n"/>
      <c r="O426" s="30" t="n"/>
      <c r="P426" s="30" t="n"/>
    </row>
    <row r="427">
      <c r="A427" s="27" t="n"/>
      <c r="B427" s="27" t="n"/>
      <c r="C427" s="352" t="n"/>
      <c r="D427" s="342" t="n"/>
      <c r="E427" s="343" t="n"/>
      <c r="F427" s="30" t="n"/>
      <c r="G427" s="30" t="n"/>
      <c r="H427" s="343" t="n"/>
      <c r="I427" s="343" t="n"/>
      <c r="J427" s="343" t="n"/>
      <c r="K427" s="346" t="n"/>
      <c r="L427" s="30" t="n"/>
      <c r="M427" s="30" t="n"/>
      <c r="N427" s="30" t="n"/>
      <c r="O427" s="30" t="n"/>
      <c r="P427" s="30" t="n"/>
    </row>
    <row r="428">
      <c r="A428" s="27" t="n"/>
      <c r="B428" s="27" t="n"/>
      <c r="C428" s="352" t="n"/>
      <c r="D428" s="342" t="n"/>
      <c r="E428" s="343" t="n"/>
      <c r="F428" s="30" t="n"/>
      <c r="G428" s="30" t="n"/>
      <c r="H428" s="343" t="n"/>
      <c r="I428" s="343" t="n"/>
      <c r="J428" s="343" t="n"/>
      <c r="K428" s="346" t="n"/>
      <c r="L428" s="30" t="n"/>
      <c r="M428" s="30" t="n"/>
      <c r="N428" s="30" t="n"/>
      <c r="O428" s="30" t="n"/>
      <c r="P428" s="30" t="n"/>
    </row>
    <row r="429">
      <c r="A429" s="27" t="n"/>
      <c r="B429" s="27" t="n"/>
      <c r="C429" s="352" t="n"/>
      <c r="D429" s="342" t="n"/>
      <c r="E429" s="343" t="n"/>
      <c r="F429" s="30" t="n"/>
      <c r="G429" s="30" t="n"/>
      <c r="H429" s="343" t="n"/>
      <c r="I429" s="343" t="n"/>
      <c r="J429" s="343" t="n"/>
      <c r="K429" s="346" t="n"/>
      <c r="L429" s="30" t="n"/>
      <c r="M429" s="30" t="n"/>
      <c r="N429" s="30" t="n"/>
      <c r="O429" s="30" t="n"/>
      <c r="P429" s="30" t="n"/>
    </row>
    <row r="430">
      <c r="A430" s="27" t="n"/>
      <c r="B430" s="27" t="n"/>
      <c r="C430" s="352" t="n"/>
      <c r="D430" s="342" t="n"/>
      <c r="E430" s="343" t="n"/>
      <c r="F430" s="30" t="n"/>
      <c r="G430" s="30" t="n"/>
      <c r="H430" s="343" t="n"/>
      <c r="I430" s="343" t="n"/>
      <c r="J430" s="343" t="n"/>
      <c r="K430" s="346" t="n"/>
      <c r="L430" s="30" t="n"/>
      <c r="M430" s="30" t="n"/>
      <c r="N430" s="30" t="n"/>
      <c r="O430" s="30" t="n"/>
      <c r="P430" s="30" t="n"/>
    </row>
    <row r="431">
      <c r="A431" s="27" t="n"/>
      <c r="B431" s="27" t="n"/>
      <c r="C431" s="352" t="n"/>
      <c r="D431" s="342" t="n"/>
      <c r="E431" s="343" t="n"/>
      <c r="F431" s="30" t="n"/>
      <c r="G431" s="30" t="n"/>
      <c r="H431" s="343" t="n"/>
      <c r="I431" s="343" t="n"/>
      <c r="J431" s="343" t="n"/>
      <c r="K431" s="346" t="n"/>
      <c r="L431" s="30" t="n"/>
      <c r="M431" s="30" t="n"/>
      <c r="N431" s="30" t="n"/>
      <c r="O431" s="30" t="n"/>
      <c r="P431" s="30" t="n"/>
    </row>
    <row r="432">
      <c r="A432" s="27" t="n"/>
      <c r="B432" s="27" t="n"/>
      <c r="C432" s="352" t="n"/>
      <c r="D432" s="342" t="n"/>
      <c r="E432" s="343" t="n"/>
      <c r="F432" s="30" t="n"/>
      <c r="G432" s="30" t="n"/>
      <c r="H432" s="343" t="n"/>
      <c r="I432" s="343" t="n"/>
      <c r="J432" s="343" t="n"/>
      <c r="K432" s="346" t="n"/>
      <c r="L432" s="30" t="n"/>
      <c r="M432" s="30" t="n"/>
      <c r="N432" s="30" t="n"/>
      <c r="O432" s="30" t="n"/>
      <c r="P432" s="30" t="n"/>
    </row>
    <row r="433">
      <c r="A433" s="27" t="n"/>
      <c r="B433" s="27" t="n"/>
      <c r="C433" s="352" t="n"/>
      <c r="D433" s="342" t="n"/>
      <c r="E433" s="343" t="n"/>
      <c r="F433" s="30" t="n"/>
      <c r="G433" s="30" t="n"/>
      <c r="H433" s="343" t="n"/>
      <c r="I433" s="343" t="n"/>
      <c r="J433" s="343" t="n"/>
      <c r="K433" s="346" t="n"/>
      <c r="L433" s="30" t="n"/>
      <c r="M433" s="30" t="n"/>
      <c r="N433" s="30" t="n"/>
      <c r="O433" s="30" t="n"/>
      <c r="P433" s="30" t="n"/>
    </row>
    <row r="434">
      <c r="A434" s="27" t="n"/>
      <c r="B434" s="27" t="n"/>
      <c r="C434" s="352" t="n"/>
      <c r="D434" s="342" t="n"/>
      <c r="E434" s="343" t="n"/>
      <c r="F434" s="30" t="n"/>
      <c r="G434" s="30" t="n"/>
      <c r="H434" s="343" t="n"/>
      <c r="I434" s="343" t="n"/>
      <c r="J434" s="343" t="n"/>
      <c r="K434" s="346" t="n"/>
      <c r="L434" s="30" t="n"/>
      <c r="M434" s="30" t="n"/>
      <c r="N434" s="30" t="n"/>
      <c r="O434" s="30" t="n"/>
      <c r="P434" s="30" t="n"/>
    </row>
    <row r="435">
      <c r="A435" s="27" t="n"/>
      <c r="B435" s="27" t="n"/>
      <c r="C435" s="352" t="n"/>
      <c r="D435" s="342" t="n"/>
      <c r="E435" s="343" t="n"/>
      <c r="F435" s="30" t="n"/>
      <c r="G435" s="30" t="n"/>
      <c r="H435" s="343" t="n"/>
      <c r="I435" s="343" t="n"/>
      <c r="J435" s="343" t="n"/>
      <c r="K435" s="346" t="n"/>
      <c r="L435" s="30" t="n"/>
      <c r="M435" s="30" t="n"/>
      <c r="N435" s="30" t="n"/>
      <c r="O435" s="30" t="n"/>
      <c r="P435" s="30" t="n"/>
    </row>
    <row r="436">
      <c r="A436" s="27" t="n"/>
      <c r="B436" s="27" t="n"/>
      <c r="C436" s="352" t="n"/>
      <c r="D436" s="342" t="n"/>
      <c r="E436" s="343" t="n"/>
      <c r="F436" s="30" t="n"/>
      <c r="G436" s="30" t="n"/>
      <c r="H436" s="343" t="n"/>
      <c r="I436" s="343" t="n"/>
      <c r="J436" s="343" t="n"/>
      <c r="K436" s="346" t="n"/>
      <c r="L436" s="30" t="n"/>
      <c r="M436" s="30" t="n"/>
      <c r="N436" s="30" t="n"/>
      <c r="O436" s="30" t="n"/>
      <c r="P436" s="30" t="n"/>
    </row>
    <row r="437">
      <c r="A437" s="27" t="n"/>
      <c r="B437" s="27" t="n"/>
      <c r="C437" s="352" t="n"/>
      <c r="D437" s="342" t="n"/>
      <c r="E437" s="343" t="n"/>
      <c r="F437" s="30" t="n"/>
      <c r="G437" s="30" t="n"/>
      <c r="H437" s="343" t="n"/>
      <c r="I437" s="343" t="n"/>
      <c r="J437" s="343" t="n"/>
      <c r="K437" s="346" t="n"/>
      <c r="L437" s="30" t="n"/>
      <c r="M437" s="30" t="n"/>
      <c r="N437" s="30" t="n"/>
      <c r="O437" s="30" t="n"/>
      <c r="P437" s="30" t="n"/>
    </row>
    <row r="438">
      <c r="A438" s="27" t="n"/>
      <c r="B438" s="27" t="n"/>
      <c r="C438" s="352" t="n"/>
      <c r="D438" s="342" t="n"/>
      <c r="E438" s="343" t="n"/>
      <c r="F438" s="30" t="n"/>
      <c r="G438" s="30" t="n"/>
      <c r="H438" s="343" t="n"/>
      <c r="I438" s="343" t="n"/>
      <c r="J438" s="343" t="n"/>
      <c r="K438" s="346" t="n"/>
      <c r="L438" s="30" t="n"/>
      <c r="M438" s="30" t="n"/>
      <c r="N438" s="30" t="n"/>
      <c r="O438" s="30" t="n"/>
      <c r="P438" s="30" t="n"/>
    </row>
    <row r="439">
      <c r="A439" s="27" t="n"/>
      <c r="B439" s="27" t="n"/>
      <c r="C439" s="352" t="n"/>
      <c r="D439" s="342" t="n"/>
      <c r="E439" s="343" t="n"/>
      <c r="F439" s="30" t="n"/>
      <c r="G439" s="30" t="n"/>
      <c r="H439" s="343" t="n"/>
      <c r="I439" s="343" t="n"/>
      <c r="J439" s="343" t="n"/>
      <c r="K439" s="346" t="n"/>
      <c r="L439" s="30" t="n"/>
      <c r="M439" s="30" t="n"/>
      <c r="N439" s="30" t="n"/>
      <c r="O439" s="30" t="n"/>
      <c r="P439" s="30" t="n"/>
    </row>
    <row r="440">
      <c r="A440" s="27" t="n"/>
      <c r="B440" s="27" t="n"/>
      <c r="C440" s="352" t="n"/>
      <c r="D440" s="342" t="n"/>
      <c r="E440" s="343" t="n"/>
      <c r="F440" s="30" t="n"/>
      <c r="G440" s="30" t="n"/>
      <c r="H440" s="343" t="n"/>
      <c r="I440" s="343" t="n"/>
      <c r="J440" s="343" t="n"/>
      <c r="K440" s="346" t="n"/>
      <c r="L440" s="30" t="n"/>
      <c r="M440" s="30" t="n"/>
      <c r="N440" s="30" t="n"/>
      <c r="O440" s="30" t="n"/>
      <c r="P440" s="30" t="n"/>
    </row>
    <row r="441">
      <c r="A441" s="27" t="n"/>
      <c r="B441" s="27" t="n"/>
      <c r="C441" s="352" t="n"/>
      <c r="D441" s="342" t="n"/>
      <c r="E441" s="343" t="n"/>
      <c r="F441" s="30" t="n"/>
      <c r="G441" s="30" t="n"/>
      <c r="H441" s="343" t="n"/>
      <c r="I441" s="343" t="n"/>
      <c r="J441" s="343" t="n"/>
      <c r="K441" s="346" t="n"/>
      <c r="L441" s="30" t="n"/>
      <c r="M441" s="30" t="n"/>
      <c r="N441" s="30" t="n"/>
      <c r="O441" s="30" t="n"/>
      <c r="P441" s="30" t="n"/>
    </row>
    <row r="442">
      <c r="A442" s="27" t="n"/>
      <c r="B442" s="27" t="n"/>
      <c r="C442" s="352" t="n"/>
      <c r="D442" s="342" t="n"/>
      <c r="E442" s="343" t="n"/>
      <c r="F442" s="30" t="n"/>
      <c r="G442" s="30" t="n"/>
      <c r="H442" s="343" t="n"/>
      <c r="I442" s="343" t="n"/>
      <c r="J442" s="343" t="n"/>
      <c r="K442" s="346" t="n"/>
      <c r="L442" s="30" t="n"/>
      <c r="M442" s="30" t="n"/>
      <c r="N442" s="30" t="n"/>
      <c r="O442" s="30" t="n"/>
      <c r="P442" s="30" t="n"/>
    </row>
    <row r="443">
      <c r="A443" s="27" t="n"/>
      <c r="B443" s="27" t="n"/>
      <c r="C443" s="352" t="n"/>
      <c r="D443" s="342" t="n"/>
      <c r="E443" s="343" t="n"/>
      <c r="F443" s="30" t="n"/>
      <c r="G443" s="30" t="n"/>
      <c r="H443" s="343" t="n"/>
      <c r="I443" s="343" t="n"/>
      <c r="J443" s="343" t="n"/>
      <c r="K443" s="346" t="n"/>
      <c r="L443" s="30" t="n"/>
      <c r="M443" s="30" t="n"/>
      <c r="N443" s="30" t="n"/>
      <c r="O443" s="30" t="n"/>
      <c r="P443" s="30" t="n"/>
    </row>
    <row r="444">
      <c r="A444" s="27" t="n"/>
      <c r="B444" s="27" t="n"/>
      <c r="C444" s="352" t="n"/>
      <c r="D444" s="342" t="n"/>
      <c r="E444" s="343" t="n"/>
      <c r="F444" s="30" t="n"/>
      <c r="G444" s="30" t="n"/>
      <c r="H444" s="343" t="n"/>
      <c r="I444" s="343" t="n"/>
      <c r="J444" s="343" t="n"/>
      <c r="K444" s="346" t="n"/>
      <c r="L444" s="30" t="n"/>
      <c r="M444" s="30" t="n"/>
      <c r="N444" s="30" t="n"/>
      <c r="O444" s="30" t="n"/>
      <c r="P444" s="30" t="n"/>
    </row>
    <row r="445">
      <c r="A445" s="27" t="n"/>
      <c r="B445" s="27" t="n"/>
      <c r="C445" s="352" t="n"/>
      <c r="D445" s="342" t="n"/>
      <c r="E445" s="343" t="n"/>
      <c r="F445" s="30" t="n"/>
      <c r="G445" s="30" t="n"/>
      <c r="H445" s="343" t="n"/>
      <c r="I445" s="343" t="n"/>
      <c r="J445" s="343" t="n"/>
      <c r="K445" s="346" t="n"/>
      <c r="L445" s="30" t="n"/>
      <c r="M445" s="30" t="n"/>
      <c r="N445" s="30" t="n"/>
      <c r="O445" s="30" t="n"/>
      <c r="P445" s="30" t="n"/>
    </row>
    <row r="446">
      <c r="A446" s="27" t="n"/>
      <c r="B446" s="27" t="n"/>
      <c r="C446" s="352" t="n"/>
      <c r="D446" s="342" t="n"/>
      <c r="E446" s="343" t="n"/>
      <c r="F446" s="30" t="n"/>
      <c r="G446" s="30" t="n"/>
      <c r="H446" s="343" t="n"/>
      <c r="I446" s="343" t="n"/>
      <c r="J446" s="343" t="n"/>
      <c r="K446" s="346" t="n"/>
      <c r="L446" s="30" t="n"/>
      <c r="M446" s="30" t="n"/>
      <c r="N446" s="30" t="n"/>
      <c r="O446" s="30" t="n"/>
      <c r="P446" s="30" t="n"/>
    </row>
    <row r="447">
      <c r="A447" s="27" t="n"/>
      <c r="B447" s="27" t="n"/>
      <c r="C447" s="352" t="n"/>
      <c r="D447" s="342" t="n"/>
      <c r="E447" s="343" t="n"/>
      <c r="F447" s="30" t="n"/>
      <c r="G447" s="30" t="n"/>
      <c r="H447" s="343" t="n"/>
      <c r="I447" s="343" t="n"/>
      <c r="J447" s="343" t="n"/>
      <c r="K447" s="346" t="n"/>
      <c r="L447" s="30" t="n"/>
      <c r="M447" s="30" t="n"/>
      <c r="N447" s="30" t="n"/>
      <c r="O447" s="30" t="n"/>
      <c r="P447" s="30" t="n"/>
    </row>
    <row r="448">
      <c r="A448" s="27" t="n"/>
      <c r="B448" s="27" t="n"/>
      <c r="C448" s="352" t="n"/>
      <c r="D448" s="342" t="n"/>
      <c r="E448" s="343" t="n"/>
      <c r="F448" s="30" t="n"/>
      <c r="G448" s="30" t="n"/>
      <c r="H448" s="343" t="n"/>
      <c r="I448" s="343" t="n"/>
      <c r="J448" s="343" t="n"/>
      <c r="K448" s="346" t="n"/>
      <c r="L448" s="30" t="n"/>
      <c r="M448" s="30" t="n"/>
      <c r="N448" s="30" t="n"/>
      <c r="O448" s="30" t="n"/>
      <c r="P448" s="30" t="n"/>
    </row>
    <row r="449">
      <c r="A449" s="27" t="n"/>
      <c r="B449" s="27" t="n"/>
      <c r="C449" s="352" t="n"/>
      <c r="D449" s="342" t="n"/>
      <c r="E449" s="343" t="n"/>
      <c r="F449" s="30" t="n"/>
      <c r="G449" s="30" t="n"/>
      <c r="H449" s="343" t="n"/>
      <c r="I449" s="343" t="n"/>
      <c r="J449" s="343" t="n"/>
      <c r="K449" s="346" t="n"/>
      <c r="L449" s="30" t="n"/>
      <c r="M449" s="30" t="n"/>
      <c r="N449" s="30" t="n"/>
      <c r="O449" s="30" t="n"/>
      <c r="P449" s="30" t="n"/>
    </row>
    <row r="450">
      <c r="A450" s="27" t="n"/>
      <c r="B450" s="27" t="n"/>
      <c r="C450" s="352" t="n"/>
      <c r="D450" s="342" t="n"/>
      <c r="E450" s="343" t="n"/>
      <c r="F450" s="30" t="n"/>
      <c r="G450" s="30" t="n"/>
      <c r="H450" s="343" t="n"/>
      <c r="I450" s="343" t="n"/>
      <c r="J450" s="343" t="n"/>
      <c r="K450" s="346" t="n"/>
      <c r="L450" s="30" t="n"/>
      <c r="M450" s="30" t="n"/>
      <c r="N450" s="30" t="n"/>
      <c r="O450" s="30" t="n"/>
      <c r="P450" s="30" t="n"/>
    </row>
    <row r="451">
      <c r="A451" s="27" t="n"/>
      <c r="B451" s="27" t="n"/>
      <c r="C451" s="352" t="n"/>
      <c r="D451" s="342" t="n"/>
      <c r="E451" s="343" t="n"/>
      <c r="F451" s="30" t="n"/>
      <c r="G451" s="30" t="n"/>
      <c r="H451" s="343" t="n"/>
      <c r="I451" s="343" t="n"/>
      <c r="J451" s="343" t="n"/>
      <c r="K451" s="346" t="n"/>
      <c r="L451" s="30" t="n"/>
      <c r="M451" s="30" t="n"/>
      <c r="N451" s="30" t="n"/>
      <c r="O451" s="30" t="n"/>
      <c r="P451" s="30" t="n"/>
    </row>
    <row r="452">
      <c r="A452" s="27" t="n"/>
      <c r="B452" s="27" t="n"/>
      <c r="C452" s="352" t="n"/>
      <c r="D452" s="342" t="n"/>
      <c r="E452" s="343" t="n"/>
      <c r="F452" s="30" t="n"/>
      <c r="G452" s="30" t="n"/>
      <c r="H452" s="343" t="n"/>
      <c r="I452" s="343" t="n"/>
      <c r="J452" s="343" t="n"/>
      <c r="K452" s="346" t="n"/>
      <c r="L452" s="30" t="n"/>
      <c r="M452" s="30" t="n"/>
      <c r="N452" s="30" t="n"/>
      <c r="O452" s="30" t="n"/>
      <c r="P452" s="30" t="n"/>
    </row>
    <row r="453">
      <c r="A453" s="27" t="n"/>
      <c r="B453" s="27" t="n"/>
      <c r="C453" s="352" t="n"/>
      <c r="D453" s="342" t="n"/>
      <c r="E453" s="343" t="n"/>
      <c r="F453" s="30" t="n"/>
      <c r="G453" s="30" t="n"/>
      <c r="H453" s="343" t="n"/>
      <c r="I453" s="343" t="n"/>
      <c r="J453" s="343" t="n"/>
      <c r="K453" s="346" t="n"/>
      <c r="L453" s="30" t="n"/>
      <c r="M453" s="30" t="n"/>
      <c r="N453" s="30" t="n"/>
      <c r="O453" s="30" t="n"/>
      <c r="P453" s="30" t="n"/>
    </row>
    <row r="454">
      <c r="A454" s="27" t="n"/>
      <c r="B454" s="27" t="n"/>
      <c r="C454" s="352" t="n"/>
      <c r="D454" s="342" t="n"/>
      <c r="E454" s="343" t="n"/>
      <c r="F454" s="30" t="n"/>
      <c r="G454" s="30" t="n"/>
      <c r="H454" s="343" t="n"/>
      <c r="I454" s="343" t="n"/>
      <c r="J454" s="343" t="n"/>
      <c r="K454" s="346" t="n"/>
      <c r="L454" s="30" t="n"/>
      <c r="M454" s="30" t="n"/>
      <c r="N454" s="30" t="n"/>
      <c r="O454" s="30" t="n"/>
      <c r="P454" s="30" t="n"/>
    </row>
    <row r="455">
      <c r="A455" s="27" t="n"/>
      <c r="B455" s="27" t="n"/>
      <c r="C455" s="352" t="n"/>
      <c r="D455" s="342" t="n"/>
      <c r="E455" s="343" t="n"/>
      <c r="F455" s="30" t="n"/>
      <c r="G455" s="30" t="n"/>
      <c r="H455" s="343" t="n"/>
      <c r="I455" s="343" t="n"/>
      <c r="J455" s="343" t="n"/>
      <c r="K455" s="346" t="n"/>
      <c r="L455" s="30" t="n"/>
      <c r="M455" s="30" t="n"/>
      <c r="N455" s="30" t="n"/>
      <c r="O455" s="30" t="n"/>
      <c r="P455" s="30" t="n"/>
    </row>
    <row r="456">
      <c r="A456" s="27" t="n"/>
      <c r="B456" s="27" t="n"/>
      <c r="C456" s="352" t="n"/>
      <c r="D456" s="342" t="n"/>
      <c r="E456" s="343" t="n"/>
      <c r="F456" s="30" t="n"/>
      <c r="G456" s="30" t="n"/>
      <c r="H456" s="343" t="n"/>
      <c r="I456" s="343" t="n"/>
      <c r="J456" s="343" t="n"/>
      <c r="K456" s="346" t="n"/>
      <c r="L456" s="30" t="n"/>
      <c r="M456" s="30" t="n"/>
      <c r="N456" s="30" t="n"/>
      <c r="O456" s="30" t="n"/>
      <c r="P456" s="30" t="n"/>
    </row>
    <row r="457">
      <c r="A457" s="27" t="n"/>
      <c r="B457" s="27" t="n"/>
      <c r="C457" s="352" t="n"/>
      <c r="D457" s="342" t="n"/>
      <c r="E457" s="343" t="n"/>
      <c r="F457" s="30" t="n"/>
      <c r="G457" s="30" t="n"/>
      <c r="H457" s="343" t="n"/>
      <c r="I457" s="343" t="n"/>
      <c r="J457" s="343" t="n"/>
      <c r="K457" s="346" t="n"/>
      <c r="L457" s="30" t="n"/>
      <c r="M457" s="30" t="n"/>
      <c r="N457" s="30" t="n"/>
      <c r="O457" s="30" t="n"/>
      <c r="P457" s="30" t="n"/>
    </row>
    <row r="458">
      <c r="A458" s="27" t="n"/>
      <c r="B458" s="27" t="n"/>
      <c r="C458" s="352" t="n"/>
      <c r="D458" s="342" t="n"/>
      <c r="E458" s="343" t="n"/>
      <c r="F458" s="30" t="n"/>
      <c r="G458" s="30" t="n"/>
      <c r="H458" s="343" t="n"/>
      <c r="I458" s="343" t="n"/>
      <c r="J458" s="343" t="n"/>
      <c r="K458" s="346" t="n"/>
      <c r="L458" s="30" t="n"/>
      <c r="M458" s="30" t="n"/>
      <c r="N458" s="30" t="n"/>
      <c r="O458" s="30" t="n"/>
      <c r="P458" s="30" t="n"/>
    </row>
    <row r="459">
      <c r="A459" s="27" t="n"/>
      <c r="B459" s="27" t="n"/>
      <c r="C459" s="352" t="n"/>
      <c r="D459" s="342" t="n"/>
      <c r="E459" s="343" t="n"/>
      <c r="F459" s="30" t="n"/>
      <c r="G459" s="30" t="n"/>
      <c r="H459" s="343" t="n"/>
      <c r="I459" s="343" t="n"/>
      <c r="J459" s="343" t="n"/>
      <c r="K459" s="346" t="n"/>
      <c r="L459" s="30" t="n"/>
      <c r="M459" s="30" t="n"/>
      <c r="N459" s="30" t="n"/>
      <c r="O459" s="30" t="n"/>
      <c r="P459" s="30" t="n"/>
    </row>
    <row r="460">
      <c r="A460" s="27" t="n"/>
      <c r="B460" s="27" t="n"/>
      <c r="C460" s="352" t="n"/>
      <c r="D460" s="342" t="n"/>
      <c r="E460" s="343" t="n"/>
      <c r="F460" s="30" t="n"/>
      <c r="G460" s="30" t="n"/>
      <c r="H460" s="343" t="n"/>
      <c r="I460" s="343" t="n"/>
      <c r="J460" s="343" t="n"/>
      <c r="K460" s="346" t="n"/>
      <c r="L460" s="30" t="n"/>
      <c r="M460" s="30" t="n"/>
      <c r="N460" s="30" t="n"/>
      <c r="O460" s="30" t="n"/>
      <c r="P460" s="30" t="n"/>
    </row>
    <row r="461">
      <c r="A461" s="27" t="n"/>
      <c r="B461" s="27" t="n"/>
      <c r="C461" s="352" t="n"/>
      <c r="D461" s="342" t="n"/>
      <c r="E461" s="343" t="n"/>
      <c r="F461" s="30" t="n"/>
      <c r="G461" s="30" t="n"/>
      <c r="H461" s="343" t="n"/>
      <c r="I461" s="343" t="n"/>
      <c r="J461" s="343" t="n"/>
      <c r="K461" s="346" t="n"/>
      <c r="L461" s="30" t="n"/>
      <c r="M461" s="30" t="n"/>
      <c r="N461" s="30" t="n"/>
      <c r="O461" s="30" t="n"/>
      <c r="P461" s="30" t="n"/>
    </row>
    <row r="462">
      <c r="A462" s="27" t="n"/>
      <c r="B462" s="27" t="n"/>
      <c r="C462" s="352" t="n"/>
      <c r="D462" s="342" t="n"/>
      <c r="E462" s="343" t="n"/>
      <c r="F462" s="30" t="n"/>
      <c r="G462" s="30" t="n"/>
      <c r="H462" s="343" t="n"/>
      <c r="I462" s="343" t="n"/>
      <c r="J462" s="343" t="n"/>
      <c r="K462" s="346" t="n"/>
      <c r="L462" s="30" t="n"/>
      <c r="M462" s="30" t="n"/>
      <c r="N462" s="30" t="n"/>
      <c r="O462" s="30" t="n"/>
      <c r="P462" s="30" t="n"/>
    </row>
    <row r="463">
      <c r="A463" s="27" t="n"/>
      <c r="B463" s="27" t="n"/>
      <c r="C463" s="352" t="n"/>
      <c r="D463" s="342" t="n"/>
      <c r="E463" s="343" t="n"/>
      <c r="F463" s="30" t="n"/>
      <c r="G463" s="30" t="n"/>
      <c r="H463" s="343" t="n"/>
      <c r="I463" s="343" t="n"/>
      <c r="J463" s="343" t="n"/>
      <c r="K463" s="346" t="n"/>
      <c r="L463" s="30" t="n"/>
      <c r="M463" s="30" t="n"/>
      <c r="N463" s="30" t="n"/>
      <c r="O463" s="30" t="n"/>
      <c r="P463" s="30" t="n"/>
    </row>
    <row r="464">
      <c r="A464" s="27" t="n"/>
      <c r="B464" s="27" t="n"/>
      <c r="C464" s="352" t="n"/>
      <c r="D464" s="342" t="n"/>
      <c r="E464" s="343" t="n"/>
      <c r="F464" s="30" t="n"/>
      <c r="G464" s="30" t="n"/>
      <c r="H464" s="343" t="n"/>
      <c r="I464" s="343" t="n"/>
      <c r="J464" s="343" t="n"/>
      <c r="K464" s="346" t="n"/>
      <c r="L464" s="30" t="n"/>
      <c r="M464" s="30" t="n"/>
      <c r="N464" s="30" t="n"/>
      <c r="O464" s="30" t="n"/>
      <c r="P464" s="30" t="n"/>
    </row>
    <row r="465">
      <c r="A465" s="27" t="n"/>
      <c r="B465" s="27" t="n"/>
      <c r="C465" s="352" t="n"/>
      <c r="D465" s="342" t="n"/>
      <c r="E465" s="343" t="n"/>
      <c r="F465" s="30" t="n"/>
      <c r="G465" s="30" t="n"/>
      <c r="H465" s="343" t="n"/>
      <c r="I465" s="343" t="n"/>
      <c r="J465" s="343" t="n"/>
      <c r="K465" s="346" t="n"/>
      <c r="L465" s="30" t="n"/>
      <c r="M465" s="30" t="n"/>
      <c r="N465" s="30" t="n"/>
      <c r="O465" s="30" t="n"/>
      <c r="P465" s="30" t="n"/>
    </row>
    <row r="466">
      <c r="A466" s="27" t="n"/>
      <c r="B466" s="27" t="n"/>
      <c r="C466" s="352" t="n"/>
      <c r="D466" s="342" t="n"/>
      <c r="E466" s="343" t="n"/>
      <c r="F466" s="30" t="n"/>
      <c r="G466" s="30" t="n"/>
      <c r="H466" s="343" t="n"/>
      <c r="I466" s="343" t="n"/>
      <c r="J466" s="343" t="n"/>
      <c r="K466" s="346" t="n"/>
      <c r="L466" s="30" t="n"/>
      <c r="M466" s="30" t="n"/>
      <c r="N466" s="30" t="n"/>
      <c r="O466" s="30" t="n"/>
      <c r="P466" s="30" t="n"/>
    </row>
    <row r="467">
      <c r="A467" s="27" t="n"/>
      <c r="B467" s="27" t="n"/>
      <c r="C467" s="352" t="n"/>
      <c r="D467" s="342" t="n"/>
      <c r="E467" s="343" t="n"/>
      <c r="F467" s="30" t="n"/>
      <c r="G467" s="30" t="n"/>
      <c r="H467" s="343" t="n"/>
      <c r="I467" s="343" t="n"/>
      <c r="J467" s="343" t="n"/>
      <c r="K467" s="346" t="n"/>
      <c r="L467" s="30" t="n"/>
      <c r="M467" s="30" t="n"/>
      <c r="N467" s="30" t="n"/>
      <c r="O467" s="30" t="n"/>
      <c r="P467" s="30" t="n"/>
    </row>
    <row r="468">
      <c r="A468" s="27" t="n"/>
      <c r="B468" s="27" t="n"/>
      <c r="C468" s="352" t="n"/>
      <c r="D468" s="342" t="n"/>
      <c r="E468" s="343" t="n"/>
      <c r="F468" s="30" t="n"/>
      <c r="G468" s="30" t="n"/>
      <c r="H468" s="343" t="n"/>
      <c r="I468" s="343" t="n"/>
      <c r="J468" s="343" t="n"/>
      <c r="K468" s="346" t="n"/>
      <c r="L468" s="30" t="n"/>
      <c r="M468" s="30" t="n"/>
      <c r="N468" s="30" t="n"/>
      <c r="O468" s="30" t="n"/>
      <c r="P468" s="30" t="n"/>
    </row>
    <row r="469">
      <c r="A469" s="27" t="n"/>
      <c r="B469" s="27" t="n"/>
      <c r="C469" s="352" t="n"/>
      <c r="D469" s="342" t="n"/>
      <c r="E469" s="343" t="n"/>
      <c r="F469" s="30" t="n"/>
      <c r="G469" s="30" t="n"/>
      <c r="H469" s="343" t="n"/>
      <c r="I469" s="343" t="n"/>
      <c r="J469" s="343" t="n"/>
      <c r="K469" s="346" t="n"/>
      <c r="L469" s="30" t="n"/>
      <c r="M469" s="30" t="n"/>
      <c r="N469" s="30" t="n"/>
      <c r="O469" s="30" t="n"/>
      <c r="P469" s="30" t="n"/>
    </row>
    <row r="470">
      <c r="A470" s="27" t="n"/>
      <c r="B470" s="27" t="n"/>
      <c r="C470" s="352" t="n"/>
      <c r="D470" s="342" t="n"/>
      <c r="E470" s="343" t="n"/>
      <c r="F470" s="30" t="n"/>
      <c r="G470" s="30" t="n"/>
      <c r="H470" s="343" t="n"/>
      <c r="I470" s="343" t="n"/>
      <c r="J470" s="343" t="n"/>
      <c r="K470" s="346" t="n"/>
      <c r="L470" s="30" t="n"/>
      <c r="M470" s="30" t="n"/>
      <c r="N470" s="30" t="n"/>
      <c r="O470" s="30" t="n"/>
      <c r="P470" s="30" t="n"/>
    </row>
    <row r="471">
      <c r="A471" s="27" t="n"/>
      <c r="B471" s="27" t="n"/>
      <c r="C471" s="352" t="n"/>
      <c r="D471" s="342" t="n"/>
      <c r="E471" s="343" t="n"/>
      <c r="F471" s="30" t="n"/>
      <c r="G471" s="30" t="n"/>
      <c r="H471" s="343" t="n"/>
      <c r="I471" s="343" t="n"/>
      <c r="J471" s="343" t="n"/>
      <c r="K471" s="346" t="n"/>
      <c r="L471" s="30" t="n"/>
      <c r="M471" s="30" t="n"/>
      <c r="N471" s="30" t="n"/>
      <c r="O471" s="30" t="n"/>
      <c r="P471" s="30" t="n"/>
    </row>
    <row r="472">
      <c r="A472" s="27" t="n"/>
      <c r="B472" s="27" t="n"/>
      <c r="C472" s="352" t="n"/>
      <c r="D472" s="342" t="n"/>
      <c r="E472" s="343" t="n"/>
      <c r="F472" s="30" t="n"/>
      <c r="G472" s="30" t="n"/>
      <c r="H472" s="343" t="n"/>
      <c r="I472" s="343" t="n"/>
      <c r="J472" s="343" t="n"/>
      <c r="K472" s="346" t="n"/>
      <c r="L472" s="30" t="n"/>
      <c r="M472" s="30" t="n"/>
      <c r="N472" s="30" t="n"/>
      <c r="O472" s="30" t="n"/>
      <c r="P472" s="30" t="n"/>
    </row>
    <row r="473">
      <c r="A473" s="27" t="n"/>
      <c r="B473" s="27" t="n"/>
      <c r="C473" s="352" t="n"/>
      <c r="D473" s="342" t="n"/>
      <c r="E473" s="343" t="n"/>
      <c r="F473" s="30" t="n"/>
      <c r="G473" s="30" t="n"/>
      <c r="H473" s="343" t="n"/>
      <c r="I473" s="343" t="n"/>
      <c r="J473" s="343" t="n"/>
      <c r="K473" s="346" t="n"/>
      <c r="L473" s="30" t="n"/>
      <c r="M473" s="30" t="n"/>
      <c r="N473" s="30" t="n"/>
      <c r="O473" s="30" t="n"/>
      <c r="P473" s="30" t="n"/>
    </row>
    <row r="474">
      <c r="A474" s="27" t="n"/>
      <c r="B474" s="27" t="n"/>
      <c r="C474" s="352" t="n"/>
      <c r="D474" s="342" t="n"/>
      <c r="E474" s="343" t="n"/>
      <c r="F474" s="30" t="n"/>
      <c r="G474" s="30" t="n"/>
      <c r="H474" s="343" t="n"/>
      <c r="I474" s="343" t="n"/>
      <c r="J474" s="343" t="n"/>
      <c r="K474" s="346" t="n"/>
      <c r="L474" s="30" t="n"/>
      <c r="M474" s="30" t="n"/>
      <c r="N474" s="30" t="n"/>
      <c r="O474" s="30" t="n"/>
      <c r="P474" s="30" t="n"/>
    </row>
    <row r="475">
      <c r="A475" s="27" t="n"/>
      <c r="B475" s="27" t="n"/>
      <c r="C475" s="352" t="n"/>
      <c r="D475" s="342" t="n"/>
      <c r="E475" s="343" t="n"/>
      <c r="F475" s="30" t="n"/>
      <c r="G475" s="30" t="n"/>
      <c r="H475" s="343" t="n"/>
      <c r="I475" s="343" t="n"/>
      <c r="J475" s="343" t="n"/>
      <c r="K475" s="346" t="n"/>
      <c r="L475" s="30" t="n"/>
      <c r="M475" s="30" t="n"/>
      <c r="N475" s="30" t="n"/>
      <c r="O475" s="30" t="n"/>
      <c r="P475" s="30" t="n"/>
    </row>
    <row r="476">
      <c r="A476" s="27" t="n"/>
      <c r="B476" s="27" t="n"/>
      <c r="C476" s="352" t="n"/>
      <c r="D476" s="342" t="n"/>
      <c r="E476" s="343" t="n"/>
      <c r="F476" s="30" t="n"/>
      <c r="G476" s="30" t="n"/>
      <c r="H476" s="343" t="n"/>
      <c r="I476" s="343" t="n"/>
      <c r="J476" s="343" t="n"/>
      <c r="K476" s="346" t="n"/>
      <c r="L476" s="30" t="n"/>
      <c r="M476" s="30" t="n"/>
      <c r="N476" s="30" t="n"/>
      <c r="O476" s="30" t="n"/>
      <c r="P476" s="30" t="n"/>
    </row>
    <row r="477">
      <c r="A477" s="27" t="n"/>
      <c r="B477" s="27" t="n"/>
      <c r="C477" s="352" t="n"/>
      <c r="D477" s="342" t="n"/>
      <c r="E477" s="343" t="n"/>
      <c r="F477" s="30" t="n"/>
      <c r="G477" s="30" t="n"/>
      <c r="H477" s="343" t="n"/>
      <c r="I477" s="343" t="n"/>
      <c r="J477" s="343" t="n"/>
      <c r="K477" s="346" t="n"/>
      <c r="L477" s="30" t="n"/>
      <c r="M477" s="30" t="n"/>
      <c r="N477" s="30" t="n"/>
      <c r="O477" s="30" t="n"/>
      <c r="P477" s="30" t="n"/>
    </row>
    <row r="478">
      <c r="A478" s="27" t="n"/>
      <c r="B478" s="27" t="n"/>
      <c r="C478" s="352" t="n"/>
      <c r="D478" s="342" t="n"/>
      <c r="E478" s="343" t="n"/>
      <c r="F478" s="30" t="n"/>
      <c r="G478" s="30" t="n"/>
      <c r="H478" s="343" t="n"/>
      <c r="I478" s="343" t="n"/>
      <c r="J478" s="343" t="n"/>
      <c r="K478" s="346" t="n"/>
      <c r="L478" s="30" t="n"/>
      <c r="M478" s="30" t="n"/>
      <c r="N478" s="30" t="n"/>
      <c r="O478" s="30" t="n"/>
      <c r="P478" s="30" t="n"/>
    </row>
    <row r="479">
      <c r="A479" s="27" t="n"/>
      <c r="B479" s="27" t="n"/>
      <c r="C479" s="352" t="n"/>
      <c r="D479" s="342" t="n"/>
      <c r="E479" s="343" t="n"/>
      <c r="F479" s="30" t="n"/>
      <c r="G479" s="30" t="n"/>
      <c r="H479" s="343" t="n"/>
      <c r="I479" s="343" t="n"/>
      <c r="J479" s="343" t="n"/>
      <c r="K479" s="346" t="n"/>
      <c r="L479" s="30" t="n"/>
      <c r="M479" s="30" t="n"/>
      <c r="N479" s="30" t="n"/>
      <c r="O479" s="30" t="n"/>
      <c r="P479" s="30" t="n"/>
    </row>
    <row r="480">
      <c r="A480" s="27" t="n"/>
      <c r="B480" s="27" t="n"/>
      <c r="C480" s="352" t="n"/>
      <c r="D480" s="342" t="n"/>
      <c r="E480" s="343" t="n"/>
      <c r="F480" s="30" t="n"/>
      <c r="G480" s="30" t="n"/>
      <c r="H480" s="343" t="n"/>
      <c r="I480" s="343" t="n"/>
      <c r="J480" s="343" t="n"/>
      <c r="K480" s="346" t="n"/>
      <c r="L480" s="30" t="n"/>
      <c r="M480" s="30" t="n"/>
      <c r="N480" s="30" t="n"/>
      <c r="O480" s="30" t="n"/>
      <c r="P480" s="30" t="n"/>
    </row>
    <row r="481">
      <c r="A481" s="27" t="n"/>
      <c r="B481" s="27" t="n"/>
      <c r="C481" s="352" t="n"/>
      <c r="D481" s="342" t="n"/>
      <c r="E481" s="343" t="n"/>
      <c r="F481" s="30" t="n"/>
      <c r="G481" s="30" t="n"/>
      <c r="H481" s="343" t="n"/>
      <c r="I481" s="343" t="n"/>
      <c r="J481" s="343" t="n"/>
      <c r="K481" s="346" t="n"/>
      <c r="L481" s="30" t="n"/>
      <c r="M481" s="30" t="n"/>
      <c r="N481" s="30" t="n"/>
      <c r="O481" s="30" t="n"/>
      <c r="P481" s="30" t="n"/>
    </row>
    <row r="482">
      <c r="A482" s="27" t="n"/>
      <c r="B482" s="27" t="n"/>
      <c r="C482" s="352" t="n"/>
      <c r="D482" s="342" t="n"/>
      <c r="E482" s="343" t="n"/>
      <c r="F482" s="30" t="n"/>
      <c r="G482" s="30" t="n"/>
      <c r="H482" s="343" t="n"/>
      <c r="I482" s="343" t="n"/>
      <c r="J482" s="343" t="n"/>
      <c r="K482" s="346" t="n"/>
      <c r="L482" s="30" t="n"/>
      <c r="M482" s="30" t="n"/>
      <c r="N482" s="30" t="n"/>
      <c r="O482" s="30" t="n"/>
      <c r="P482" s="30" t="n"/>
    </row>
    <row r="483">
      <c r="A483" s="27" t="n"/>
      <c r="B483" s="27" t="n"/>
      <c r="C483" s="352" t="n"/>
      <c r="D483" s="342" t="n"/>
      <c r="E483" s="343" t="n"/>
      <c r="F483" s="30" t="n"/>
      <c r="G483" s="30" t="n"/>
      <c r="H483" s="343" t="n"/>
      <c r="I483" s="343" t="n"/>
      <c r="J483" s="343" t="n"/>
      <c r="K483" s="346" t="n"/>
      <c r="L483" s="30" t="n"/>
      <c r="M483" s="30" t="n"/>
      <c r="N483" s="30" t="n"/>
      <c r="O483" s="30" t="n"/>
      <c r="P483" s="30" t="n"/>
    </row>
    <row r="484">
      <c r="A484" s="27" t="n"/>
      <c r="B484" s="27" t="n"/>
      <c r="C484" s="352" t="n"/>
      <c r="D484" s="342" t="n"/>
      <c r="E484" s="343" t="n"/>
      <c r="F484" s="30" t="n"/>
      <c r="G484" s="30" t="n"/>
      <c r="H484" s="343" t="n"/>
      <c r="I484" s="343" t="n"/>
      <c r="J484" s="343" t="n"/>
      <c r="K484" s="346" t="n"/>
      <c r="L484" s="30" t="n"/>
      <c r="M484" s="30" t="n"/>
      <c r="N484" s="30" t="n"/>
      <c r="O484" s="30" t="n"/>
      <c r="P484" s="30" t="n"/>
    </row>
    <row r="485">
      <c r="A485" s="27" t="n"/>
      <c r="B485" s="27" t="n"/>
      <c r="C485" s="352" t="n"/>
      <c r="D485" s="342" t="n"/>
      <c r="E485" s="343" t="n"/>
      <c r="F485" s="30" t="n"/>
      <c r="G485" s="30" t="n"/>
      <c r="H485" s="343" t="n"/>
      <c r="I485" s="343" t="n"/>
      <c r="J485" s="343" t="n"/>
      <c r="K485" s="346" t="n"/>
      <c r="L485" s="30" t="n"/>
      <c r="M485" s="30" t="n"/>
      <c r="N485" s="30" t="n"/>
      <c r="O485" s="30" t="n"/>
      <c r="P485" s="30" t="n"/>
    </row>
    <row r="486">
      <c r="A486" s="27" t="n"/>
      <c r="B486" s="27" t="n"/>
      <c r="C486" s="352" t="n"/>
      <c r="D486" s="342" t="n"/>
      <c r="E486" s="343" t="n"/>
      <c r="F486" s="30" t="n"/>
      <c r="G486" s="30" t="n"/>
      <c r="H486" s="343" t="n"/>
      <c r="I486" s="343" t="n"/>
      <c r="J486" s="343" t="n"/>
      <c r="K486" s="346" t="n"/>
      <c r="L486" s="30" t="n"/>
      <c r="M486" s="30" t="n"/>
      <c r="N486" s="30" t="n"/>
      <c r="O486" s="30" t="n"/>
      <c r="P486" s="30" t="n"/>
    </row>
    <row r="487">
      <c r="A487" s="27" t="n"/>
      <c r="B487" s="27" t="n"/>
      <c r="C487" s="352" t="n"/>
      <c r="D487" s="342" t="n"/>
      <c r="E487" s="343" t="n"/>
      <c r="F487" s="30" t="n"/>
      <c r="G487" s="30" t="n"/>
      <c r="H487" s="343" t="n"/>
      <c r="I487" s="343" t="n"/>
      <c r="J487" s="343" t="n"/>
      <c r="K487" s="346" t="n"/>
      <c r="L487" s="30" t="n"/>
      <c r="M487" s="30" t="n"/>
      <c r="N487" s="30" t="n"/>
      <c r="O487" s="30" t="n"/>
      <c r="P487" s="30" t="n"/>
    </row>
    <row r="488">
      <c r="A488" s="27" t="n"/>
      <c r="B488" s="27" t="n"/>
      <c r="C488" s="352" t="n"/>
      <c r="D488" s="342" t="n"/>
      <c r="E488" s="343" t="n"/>
      <c r="F488" s="30" t="n"/>
      <c r="G488" s="30" t="n"/>
      <c r="H488" s="343" t="n"/>
      <c r="I488" s="343" t="n"/>
      <c r="J488" s="343" t="n"/>
      <c r="K488" s="346" t="n"/>
      <c r="L488" s="30" t="n"/>
      <c r="M488" s="30" t="n"/>
      <c r="N488" s="30" t="n"/>
      <c r="O488" s="30" t="n"/>
      <c r="P488" s="30" t="n"/>
    </row>
    <row r="489">
      <c r="A489" s="27" t="n"/>
      <c r="B489" s="27" t="n"/>
      <c r="C489" s="352" t="n"/>
      <c r="D489" s="342" t="n"/>
      <c r="E489" s="343" t="n"/>
      <c r="F489" s="30" t="n"/>
      <c r="G489" s="30" t="n"/>
      <c r="H489" s="343" t="n"/>
      <c r="I489" s="343" t="n"/>
      <c r="J489" s="343" t="n"/>
      <c r="K489" s="346" t="n"/>
      <c r="L489" s="30" t="n"/>
      <c r="M489" s="30" t="n"/>
      <c r="N489" s="30" t="n"/>
      <c r="O489" s="30" t="n"/>
      <c r="P489" s="30" t="n"/>
    </row>
    <row r="490">
      <c r="A490" s="27" t="n"/>
      <c r="B490" s="27" t="n"/>
      <c r="C490" s="352" t="n"/>
      <c r="D490" s="342" t="n"/>
      <c r="E490" s="343" t="n"/>
      <c r="F490" s="30" t="n"/>
      <c r="G490" s="30" t="n"/>
      <c r="H490" s="343" t="n"/>
      <c r="I490" s="343" t="n"/>
      <c r="J490" s="343" t="n"/>
      <c r="K490" s="346" t="n"/>
      <c r="L490" s="30" t="n"/>
      <c r="M490" s="30" t="n"/>
      <c r="N490" s="30" t="n"/>
      <c r="O490" s="30" t="n"/>
      <c r="P490" s="30" t="n"/>
    </row>
    <row r="491">
      <c r="A491" s="27" t="n"/>
      <c r="B491" s="27" t="n"/>
      <c r="C491" s="352" t="n"/>
      <c r="D491" s="342" t="n"/>
      <c r="E491" s="343" t="n"/>
      <c r="F491" s="30" t="n"/>
      <c r="G491" s="30" t="n"/>
      <c r="H491" s="343" t="n"/>
      <c r="I491" s="343" t="n"/>
      <c r="J491" s="343" t="n"/>
      <c r="K491" s="346" t="n"/>
      <c r="L491" s="30" t="n"/>
      <c r="M491" s="30" t="n"/>
      <c r="N491" s="30" t="n"/>
      <c r="O491" s="30" t="n"/>
      <c r="P491" s="30" t="n"/>
    </row>
    <row r="492">
      <c r="A492" s="27" t="n"/>
      <c r="B492" s="27" t="n"/>
      <c r="C492" s="352" t="n"/>
      <c r="D492" s="342" t="n"/>
      <c r="E492" s="343" t="n"/>
      <c r="F492" s="30" t="n"/>
      <c r="G492" s="30" t="n"/>
      <c r="H492" s="343" t="n"/>
      <c r="I492" s="343" t="n"/>
      <c r="J492" s="343" t="n"/>
      <c r="K492" s="346" t="n"/>
      <c r="L492" s="30" t="n"/>
      <c r="M492" s="30" t="n"/>
      <c r="N492" s="30" t="n"/>
      <c r="O492" s="30" t="n"/>
      <c r="P492" s="30" t="n"/>
    </row>
    <row r="493">
      <c r="A493" s="27" t="n"/>
      <c r="B493" s="27" t="n"/>
      <c r="C493" s="352" t="n"/>
      <c r="D493" s="342" t="n"/>
      <c r="E493" s="343" t="n"/>
      <c r="F493" s="30" t="n"/>
      <c r="G493" s="30" t="n"/>
      <c r="H493" s="343" t="n"/>
      <c r="I493" s="343" t="n"/>
      <c r="J493" s="343" t="n"/>
      <c r="K493" s="346" t="n"/>
      <c r="L493" s="30" t="n"/>
      <c r="M493" s="30" t="n"/>
      <c r="N493" s="30" t="n"/>
      <c r="O493" s="30" t="n"/>
      <c r="P493" s="30" t="n"/>
    </row>
    <row r="494">
      <c r="A494" s="27" t="n"/>
      <c r="B494" s="27" t="n"/>
      <c r="C494" s="352" t="n"/>
      <c r="D494" s="342" t="n"/>
      <c r="E494" s="343" t="n"/>
      <c r="F494" s="30" t="n"/>
      <c r="G494" s="30" t="n"/>
      <c r="H494" s="343" t="n"/>
      <c r="I494" s="343" t="n"/>
      <c r="J494" s="343" t="n"/>
      <c r="K494" s="346" t="n"/>
      <c r="L494" s="30" t="n"/>
      <c r="M494" s="30" t="n"/>
      <c r="N494" s="30" t="n"/>
      <c r="O494" s="30" t="n"/>
      <c r="P494" s="30" t="n"/>
    </row>
    <row r="495">
      <c r="A495" s="27" t="n"/>
      <c r="B495" s="27" t="n"/>
      <c r="C495" s="352" t="n"/>
      <c r="D495" s="342" t="n"/>
      <c r="E495" s="343" t="n"/>
      <c r="F495" s="30" t="n"/>
      <c r="G495" s="30" t="n"/>
      <c r="H495" s="343" t="n"/>
      <c r="I495" s="343" t="n"/>
      <c r="J495" s="343" t="n"/>
      <c r="K495" s="346" t="n"/>
      <c r="L495" s="30" t="n"/>
      <c r="M495" s="30" t="n"/>
      <c r="N495" s="30" t="n"/>
      <c r="O495" s="30" t="n"/>
      <c r="P495" s="30" t="n"/>
    </row>
    <row r="496">
      <c r="A496" s="27" t="n"/>
      <c r="B496" s="27" t="n"/>
      <c r="C496" s="352" t="n"/>
      <c r="D496" s="342" t="n"/>
      <c r="E496" s="343" t="n"/>
      <c r="F496" s="30" t="n"/>
      <c r="G496" s="30" t="n"/>
      <c r="H496" s="343" t="n"/>
      <c r="I496" s="343" t="n"/>
      <c r="J496" s="343" t="n"/>
      <c r="K496" s="346" t="n"/>
      <c r="L496" s="30" t="n"/>
      <c r="M496" s="30" t="n"/>
      <c r="N496" s="30" t="n"/>
      <c r="O496" s="30" t="n"/>
      <c r="P496" s="30" t="n"/>
    </row>
    <row r="497">
      <c r="A497" s="27" t="n"/>
      <c r="B497" s="27" t="n"/>
      <c r="C497" s="352" t="n"/>
      <c r="D497" s="342" t="n"/>
      <c r="E497" s="343" t="n"/>
      <c r="F497" s="30" t="n"/>
      <c r="G497" s="30" t="n"/>
      <c r="H497" s="343" t="n"/>
      <c r="I497" s="343" t="n"/>
      <c r="J497" s="343" t="n"/>
      <c r="K497" s="346" t="n"/>
      <c r="L497" s="30" t="n"/>
      <c r="M497" s="30" t="n"/>
      <c r="N497" s="30" t="n"/>
      <c r="O497" s="30" t="n"/>
      <c r="P497" s="30" t="n"/>
    </row>
    <row r="498">
      <c r="A498" s="27" t="n"/>
      <c r="B498" s="27" t="n"/>
      <c r="C498" s="352" t="n"/>
      <c r="D498" s="342" t="n"/>
      <c r="E498" s="343" t="n"/>
      <c r="F498" s="30" t="n"/>
      <c r="G498" s="30" t="n"/>
      <c r="H498" s="343" t="n"/>
      <c r="I498" s="343" t="n"/>
      <c r="J498" s="343" t="n"/>
      <c r="K498" s="346" t="n"/>
      <c r="L498" s="30" t="n"/>
      <c r="M498" s="30" t="n"/>
      <c r="N498" s="30" t="n"/>
      <c r="O498" s="30" t="n"/>
      <c r="P498" s="30" t="n"/>
    </row>
    <row r="499">
      <c r="A499" s="27" t="n"/>
      <c r="B499" s="27" t="n"/>
      <c r="C499" s="352" t="n"/>
      <c r="D499" s="342" t="n"/>
      <c r="E499" s="343" t="n"/>
      <c r="F499" s="30" t="n"/>
      <c r="G499" s="30" t="n"/>
      <c r="H499" s="343" t="n"/>
      <c r="I499" s="343" t="n"/>
      <c r="J499" s="343" t="n"/>
      <c r="K499" s="346" t="n"/>
      <c r="L499" s="30" t="n"/>
      <c r="M499" s="30" t="n"/>
      <c r="N499" s="30" t="n"/>
      <c r="O499" s="30" t="n"/>
      <c r="P499" s="30" t="n"/>
    </row>
    <row r="500">
      <c r="A500" s="27" t="n"/>
      <c r="B500" s="27" t="n"/>
      <c r="C500" s="352" t="n"/>
      <c r="D500" s="342" t="n"/>
      <c r="E500" s="343" t="n"/>
      <c r="F500" s="30" t="n"/>
      <c r="G500" s="30" t="n"/>
      <c r="H500" s="343" t="n"/>
      <c r="I500" s="343" t="n"/>
      <c r="J500" s="343" t="n"/>
      <c r="K500" s="346" t="n"/>
      <c r="L500" s="30" t="n"/>
      <c r="M500" s="30" t="n"/>
      <c r="N500" s="30" t="n"/>
      <c r="O500" s="30" t="n"/>
      <c r="P500" s="30" t="n"/>
    </row>
    <row r="501">
      <c r="A501" s="27" t="n"/>
      <c r="B501" s="27" t="n"/>
      <c r="C501" s="352" t="n"/>
      <c r="D501" s="342" t="n"/>
      <c r="E501" s="343" t="n"/>
      <c r="F501" s="30" t="n"/>
      <c r="G501" s="30" t="n"/>
      <c r="H501" s="343" t="n"/>
      <c r="I501" s="343" t="n"/>
      <c r="J501" s="343" t="n"/>
      <c r="K501" s="346" t="n"/>
      <c r="L501" s="30" t="n"/>
      <c r="M501" s="30" t="n"/>
      <c r="N501" s="30" t="n"/>
      <c r="O501" s="30" t="n"/>
      <c r="P501" s="30" t="n"/>
    </row>
    <row r="502">
      <c r="A502" s="27" t="n"/>
      <c r="B502" s="27" t="n"/>
      <c r="C502" s="352" t="n"/>
      <c r="D502" s="342" t="n"/>
      <c r="E502" s="343" t="n"/>
      <c r="F502" s="30" t="n"/>
      <c r="G502" s="30" t="n"/>
      <c r="H502" s="343" t="n"/>
      <c r="I502" s="343" t="n"/>
      <c r="J502" s="343" t="n"/>
      <c r="K502" s="346" t="n"/>
      <c r="L502" s="30" t="n"/>
      <c r="M502" s="30" t="n"/>
      <c r="N502" s="30" t="n"/>
      <c r="O502" s="30" t="n"/>
      <c r="P502" s="30" t="n"/>
    </row>
    <row r="503">
      <c r="A503" s="27" t="n"/>
      <c r="B503" s="27" t="n"/>
      <c r="C503" s="352" t="n"/>
      <c r="D503" s="342" t="n"/>
      <c r="E503" s="343" t="n"/>
      <c r="F503" s="30" t="n"/>
      <c r="G503" s="30" t="n"/>
      <c r="H503" s="343" t="n"/>
      <c r="I503" s="343" t="n"/>
      <c r="J503" s="343" t="n"/>
      <c r="K503" s="346" t="n"/>
      <c r="L503" s="30" t="n"/>
      <c r="M503" s="30" t="n"/>
      <c r="N503" s="30" t="n"/>
      <c r="O503" s="30" t="n"/>
      <c r="P503" s="30" t="n"/>
    </row>
    <row r="504">
      <c r="A504" s="27" t="n"/>
      <c r="B504" s="27" t="n"/>
      <c r="C504" s="352" t="n"/>
      <c r="D504" s="342" t="n"/>
      <c r="E504" s="343" t="n"/>
      <c r="F504" s="30" t="n"/>
      <c r="G504" s="30" t="n"/>
      <c r="H504" s="343" t="n"/>
      <c r="I504" s="343" t="n"/>
      <c r="J504" s="343" t="n"/>
      <c r="K504" s="346" t="n"/>
      <c r="L504" s="30" t="n"/>
      <c r="M504" s="30" t="n"/>
      <c r="N504" s="30" t="n"/>
      <c r="O504" s="30" t="n"/>
      <c r="P504" s="30" t="n"/>
    </row>
    <row r="505">
      <c r="A505" s="27" t="n"/>
      <c r="B505" s="27" t="n"/>
      <c r="C505" s="352" t="n"/>
      <c r="D505" s="342" t="n"/>
      <c r="E505" s="343" t="n"/>
      <c r="F505" s="30" t="n"/>
      <c r="G505" s="30" t="n"/>
      <c r="H505" s="343" t="n"/>
      <c r="I505" s="343" t="n"/>
      <c r="J505" s="343" t="n"/>
      <c r="K505" s="346" t="n"/>
      <c r="L505" s="30" t="n"/>
      <c r="M505" s="30" t="n"/>
      <c r="N505" s="30" t="n"/>
      <c r="O505" s="30" t="n"/>
      <c r="P505" s="30" t="n"/>
    </row>
    <row r="506">
      <c r="A506" s="27" t="n"/>
      <c r="B506" s="27" t="n"/>
      <c r="C506" s="352" t="n"/>
      <c r="D506" s="342" t="n"/>
      <c r="E506" s="343" t="n"/>
      <c r="F506" s="30" t="n"/>
      <c r="G506" s="30" t="n"/>
      <c r="H506" s="343" t="n"/>
      <c r="I506" s="343" t="n"/>
      <c r="J506" s="343" t="n"/>
      <c r="K506" s="346" t="n"/>
      <c r="L506" s="30" t="n"/>
      <c r="M506" s="30" t="n"/>
      <c r="N506" s="30" t="n"/>
      <c r="O506" s="30" t="n"/>
      <c r="P506" s="30" t="n"/>
    </row>
    <row r="507">
      <c r="A507" s="27" t="n"/>
      <c r="B507" s="27" t="n"/>
      <c r="C507" s="352" t="n"/>
      <c r="D507" s="342" t="n"/>
      <c r="E507" s="343" t="n"/>
      <c r="F507" s="30" t="n"/>
      <c r="G507" s="30" t="n"/>
      <c r="H507" s="343" t="n"/>
      <c r="I507" s="343" t="n"/>
      <c r="J507" s="343" t="n"/>
      <c r="K507" s="346" t="n"/>
      <c r="L507" s="30" t="n"/>
      <c r="M507" s="30" t="n"/>
      <c r="N507" s="30" t="n"/>
      <c r="O507" s="30" t="n"/>
      <c r="P507" s="30" t="n"/>
    </row>
    <row r="508">
      <c r="A508" s="27" t="n"/>
      <c r="B508" s="27" t="n"/>
      <c r="C508" s="352" t="n"/>
      <c r="D508" s="342" t="n"/>
      <c r="E508" s="343" t="n"/>
      <c r="F508" s="30" t="n"/>
      <c r="G508" s="30" t="n"/>
      <c r="H508" s="343" t="n"/>
      <c r="I508" s="343" t="n"/>
      <c r="J508" s="343" t="n"/>
      <c r="K508" s="346" t="n"/>
      <c r="L508" s="30" t="n"/>
      <c r="M508" s="30" t="n"/>
      <c r="N508" s="30" t="n"/>
      <c r="O508" s="30" t="n"/>
      <c r="P508" s="30" t="n"/>
    </row>
  </sheetData>
  <mergeCells count="9">
    <mergeCell ref="O7:P7"/>
    <mergeCell ref="B5:D5"/>
    <mergeCell ref="C2:P2"/>
    <mergeCell ref="M6:P6"/>
    <mergeCell ref="C1:P1"/>
    <mergeCell ref="K7:N7"/>
    <mergeCell ref="A7:D7"/>
    <mergeCell ref="A1:B2"/>
    <mergeCell ref="E7:J7"/>
  </mergeCells>
  <conditionalFormatting sqref="O9:O508">
    <cfRule type="expression" priority="1" dxfId="0">
      <formula>$O9="REVIEW"</formula>
    </cfRule>
  </conditionalFormatting>
  <conditionalFormatting sqref="O9:O208">
    <cfRule type="expression" priority="2" dxfId="2">
      <formula>O9="OK"</formula>
    </cfRule>
    <cfRule type="expression" priority="3" dxfId="4">
      <formula>O9="REVIEW"</formula>
    </cfRule>
  </conditionalFormatting>
  <dataValidations count="6">
    <dataValidation sqref="A9:A508" showDropDown="0" showInputMessage="0" showErrorMessage="0" allowBlank="0" type="list">
      <formula1>Invoices!$A$9:$A$108</formula1>
    </dataValidation>
    <dataValidation sqref="B9:B508" showDropDown="0" showInputMessage="0" showErrorMessage="0" allowBlank="0" type="list">
      <formula1>Setup!$A$9:$A$30</formula1>
    </dataValidation>
    <dataValidation sqref="G5" showDropDown="0" showInputMessage="0" showErrorMessage="0" allowBlank="0" type="list">
      <formula1>Setup!$A$56:$A$66</formula1>
    </dataValidation>
    <dataValidation sqref="J5" showDropDown="0" showInputMessage="0" showErrorMessage="0" allowBlank="0" type="list">
      <formula1>"All,Seltzer,Midnight Drift,Organic Line,The Drip"</formula1>
    </dataValidation>
    <dataValidation sqref="M5" showDropDown="0" showInputMessage="0" showErrorMessage="0" allowBlank="0" type="list">
      <formula1>Setup!$A$9:$A$30</formula1>
    </dataValidation>
    <dataValidation sqref="P5" showDropDown="0" showInputMessage="0" showErrorMessage="0" allowBlank="0" type="list">
      <formula1>"All,OK,REVIEW"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style="78" min="1" max="1"/>
    <col width="26" customWidth="1" style="78" min="2" max="2"/>
    <col width="14" customWidth="1" style="78" min="3" max="3"/>
    <col width="12" customWidth="1" style="78" min="4" max="4"/>
    <col width="12" customWidth="1" style="78" min="5" max="5"/>
    <col width="13" customWidth="1" style="78" min="6" max="6"/>
    <col width="13" customWidth="1" style="78" min="7" max="7"/>
    <col width="13" customWidth="1" style="78" min="8" max="8"/>
    <col width="14" customWidth="1" style="78" min="9" max="9"/>
    <col width="11" customWidth="1" style="78" min="10" max="10"/>
    <col width="12" customWidth="1" style="78" min="11" max="11"/>
    <col width="17" customWidth="1" style="78" min="12" max="12"/>
    <col width="28" customWidth="1" style="78" min="13" max="13"/>
  </cols>
  <sheetData>
    <row r="1" ht="30" customHeight="1" s="78">
      <c r="A1" s="293" t="n"/>
      <c r="B1" s="293" t="n"/>
      <c r="C1" s="294" t="inlineStr">
        <is>
          <t>ACCOUNTS RECEIVABLE</t>
        </is>
      </c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5" t="n"/>
    </row>
    <row r="2" ht="24" customHeight="1" s="78">
      <c r="A2" s="293" t="n"/>
      <c r="B2" s="293" t="n"/>
      <c r="C2" s="296" t="inlineStr">
        <is>
          <t>Live collections view derived from Invoices. Correct source records in Invoices, not here.</t>
        </is>
      </c>
      <c r="D2" s="295" t="n"/>
      <c r="E2" s="295" t="n"/>
      <c r="F2" s="295" t="n"/>
      <c r="G2" s="295" t="n"/>
      <c r="H2" s="295" t="n"/>
      <c r="I2" s="295" t="n"/>
      <c r="J2" s="295" t="n"/>
      <c r="K2" s="295" t="n"/>
      <c r="L2" s="295" t="n"/>
      <c r="M2" s="295" t="n"/>
    </row>
    <row r="3" ht="8" customHeight="1" s="78">
      <c r="A3" s="249" t="n"/>
      <c r="B3" s="249" t="n"/>
      <c r="C3" s="249" t="n"/>
      <c r="D3" s="249" t="n"/>
      <c r="E3" s="249" t="n"/>
      <c r="F3" s="249" t="n"/>
      <c r="G3" s="249" t="n"/>
      <c r="H3" s="249" t="n"/>
      <c r="I3" s="249" t="n"/>
      <c r="J3" s="249" t="n"/>
      <c r="K3" s="249" t="n"/>
      <c r="L3" s="249" t="n"/>
      <c r="M3" s="249" t="n"/>
    </row>
    <row r="4">
      <c r="A4" s="249" t="n"/>
      <c r="B4" s="249" t="n"/>
      <c r="C4" s="249" t="n"/>
      <c r="D4" s="249" t="n"/>
      <c r="E4" s="249" t="n"/>
      <c r="F4" s="249" t="n"/>
      <c r="G4" s="249" t="n"/>
      <c r="H4" s="249" t="n"/>
      <c r="I4" s="249" t="n"/>
      <c r="J4" s="249" t="n"/>
      <c r="K4" s="249" t="n"/>
      <c r="L4" s="249" t="n"/>
      <c r="M4" s="249" t="n"/>
    </row>
    <row r="5" ht="30" customHeight="1" s="78">
      <c r="A5" s="190" t="inlineStr">
        <is>
          <t>SEARCH</t>
        </is>
      </c>
      <c r="B5" s="187" t="str"/>
      <c r="D5" s="1" t="n"/>
      <c r="E5" s="187" t="str"/>
      <c r="F5" s="191" t="inlineStr">
        <is>
          <t>AGING</t>
        </is>
      </c>
      <c r="G5" s="187" t="inlineStr">
        <is>
          <t>All</t>
        </is>
      </c>
      <c r="H5" s="187" t="str"/>
      <c r="I5" s="191" t="inlineStr">
        <is>
          <t>REP</t>
        </is>
      </c>
      <c r="J5" s="187" t="inlineStr">
        <is>
          <t>All</t>
        </is>
      </c>
      <c r="K5" s="187" t="n"/>
      <c r="L5" s="187" t="n"/>
      <c r="M5" s="189" t="n"/>
    </row>
    <row r="6">
      <c r="A6" s="195" t="inlineStr">
        <is>
          <t>OPEN AR</t>
        </is>
      </c>
      <c r="B6" s="196">
        <f>SUM(Invoices!$Q$9:$Q$108)</f>
        <v/>
      </c>
      <c r="C6" s="194" t="str"/>
      <c r="D6" s="195" t="inlineStr">
        <is>
          <t>OPEN INVOICES</t>
        </is>
      </c>
      <c r="E6" s="196">
        <f>COUNTIF(Invoices!$Q$9:$Q$108,"&gt;0")</f>
        <v/>
      </c>
      <c r="F6" s="194" t="str"/>
      <c r="G6" s="195" t="inlineStr">
        <is>
          <t>90+ EXPOSURE</t>
        </is>
      </c>
      <c r="H6" s="196">
        <f>SUMIF(Invoices!$U$9:$U$108,"90+",Invoices!$Q$9:$Q$108)</f>
        <v/>
      </c>
      <c r="I6" s="194" t="str"/>
      <c r="J6" s="229" t="inlineStr">
        <is>
          <t>Open balances only; urgency rises with aging</t>
        </is>
      </c>
      <c r="K6" s="229" t="n"/>
      <c r="L6" s="229" t="n"/>
      <c r="M6" s="229" t="n"/>
    </row>
    <row r="7" ht="22" customHeight="1" s="78">
      <c r="A7" s="302" t="inlineStr">
        <is>
          <t>COLLECTIONS LEDGER</t>
        </is>
      </c>
      <c r="B7" s="303" t="n"/>
      <c r="C7" s="303" t="n"/>
      <c r="D7" s="303" t="n"/>
      <c r="E7" s="303" t="n"/>
      <c r="F7" s="303" t="n"/>
      <c r="G7" s="303" t="n"/>
      <c r="H7" s="303" t="n"/>
      <c r="I7" s="303" t="n"/>
      <c r="J7" s="303" t="n"/>
      <c r="K7" s="303" t="n"/>
      <c r="L7" s="303" t="n"/>
      <c r="M7" s="303" t="n"/>
    </row>
    <row r="8" ht="28" customHeight="1" s="78">
      <c r="A8" s="149" t="inlineStr">
        <is>
          <t>Invoice #</t>
        </is>
      </c>
      <c r="B8" s="150" t="inlineStr">
        <is>
          <t>Account</t>
        </is>
      </c>
      <c r="C8" s="150" t="inlineStr">
        <is>
          <t>Sales Rep</t>
        </is>
      </c>
      <c r="D8" s="150" t="inlineStr">
        <is>
          <t>Invoice Date</t>
        </is>
      </c>
      <c r="E8" s="150" t="inlineStr">
        <is>
          <t>Due Date</t>
        </is>
      </c>
      <c r="F8" s="150" t="inlineStr">
        <is>
          <t>Invoice Total</t>
        </is>
      </c>
      <c r="G8" s="150" t="inlineStr">
        <is>
          <t>Amount Paid</t>
        </is>
      </c>
      <c r="H8" s="150" t="inlineStr">
        <is>
          <t>Balance Due</t>
        </is>
      </c>
      <c r="I8" s="150" t="inlineStr">
        <is>
          <t>Payment Status</t>
        </is>
      </c>
      <c r="J8" s="150" t="inlineStr">
        <is>
          <t>Days Past Due</t>
        </is>
      </c>
      <c r="K8" s="150" t="inlineStr">
        <is>
          <t>Aging</t>
        </is>
      </c>
      <c r="L8" s="150" t="inlineStr">
        <is>
          <t>Action</t>
        </is>
      </c>
      <c r="M8" s="151" t="inlineStr">
        <is>
          <t>Search Key</t>
        </is>
      </c>
    </row>
    <row r="9">
      <c r="A9" s="353">
        <f>IF(Invoices!$Q9&gt;0,Invoices!$A9,"")</f>
        <v/>
      </c>
      <c r="B9" s="325">
        <f>IF($A9="","",Invoices!$C9)</f>
        <v/>
      </c>
      <c r="C9" s="325">
        <f>IF($A9="","",Invoices!$D9)</f>
        <v/>
      </c>
      <c r="D9" s="329">
        <f>IF($A9="","",Invoices!$B9)</f>
        <v/>
      </c>
      <c r="E9" s="329">
        <f>IF($A9="","",Invoices!$R9)</f>
        <v/>
      </c>
      <c r="F9" s="326">
        <f>IF($A9="","",Invoices!$L9)</f>
        <v/>
      </c>
      <c r="G9" s="326">
        <f>IF($A9="","",Invoices!$G9)</f>
        <v/>
      </c>
      <c r="H9" s="326">
        <f>IF($A9="","",Invoices!$Q9)</f>
        <v/>
      </c>
      <c r="I9" s="325">
        <f>IF($A9="","",Invoices!$S9)</f>
        <v/>
      </c>
      <c r="J9" s="325">
        <f>IF($A9="","",Invoices!$T9)</f>
        <v/>
      </c>
      <c r="K9" s="325">
        <f>IF($A9="","",Invoices!$U9)</f>
        <v/>
      </c>
      <c r="L9" s="325">
        <f>IF($A9="","",IF($K9="Current","Monitor",IF($K9="1-30","Follow Up",IF($K9="31-60","Escalate",IF($K9="61-90","Urgent",IF($K9="90+","Immediate Action","Monitor"))))))</f>
        <v/>
      </c>
      <c r="M9" s="354">
        <f>IF($A9="","",LOWER($A9&amp;" "&amp;$B9&amp;" "&amp;$C9&amp;" "&amp;$K9&amp;" "&amp;$L9))</f>
        <v/>
      </c>
    </row>
    <row r="10">
      <c r="A10" s="353">
        <f>IF(Invoices!$Q10&gt;0,Invoices!$A10,"")</f>
        <v/>
      </c>
      <c r="B10" s="325">
        <f>IF($A10="","",Invoices!$C10)</f>
        <v/>
      </c>
      <c r="C10" s="325">
        <f>IF($A10="","",Invoices!$D10)</f>
        <v/>
      </c>
      <c r="D10" s="329">
        <f>IF($A10="","",Invoices!$B10)</f>
        <v/>
      </c>
      <c r="E10" s="329">
        <f>IF($A10="","",Invoices!$R10)</f>
        <v/>
      </c>
      <c r="F10" s="326">
        <f>IF($A10="","",Invoices!$L10)</f>
        <v/>
      </c>
      <c r="G10" s="326">
        <f>IF($A10="","",Invoices!$G10)</f>
        <v/>
      </c>
      <c r="H10" s="326">
        <f>IF($A10="","",Invoices!$Q10)</f>
        <v/>
      </c>
      <c r="I10" s="325">
        <f>IF($A10="","",Invoices!$S10)</f>
        <v/>
      </c>
      <c r="J10" s="325">
        <f>IF($A10="","",Invoices!$T10)</f>
        <v/>
      </c>
      <c r="K10" s="325">
        <f>IF($A10="","",Invoices!$U10)</f>
        <v/>
      </c>
      <c r="L10" s="325">
        <f>IF($A10="","",IF($K10="Current","Monitor",IF($K10="1-30","Follow Up",IF($K10="31-60","Escalate",IF($K10="61-90","Urgent",IF($K10="90+","Immediate Action","Monitor"))))))</f>
        <v/>
      </c>
      <c r="M10" s="354">
        <f>IF($A10="","",LOWER($A10&amp;" "&amp;$B10&amp;" "&amp;$C10&amp;" "&amp;$K10&amp;" "&amp;$L10))</f>
        <v/>
      </c>
    </row>
    <row r="11">
      <c r="A11" s="353">
        <f>IF(Invoices!$Q11&gt;0,Invoices!$A11,"")</f>
        <v/>
      </c>
      <c r="B11" s="325">
        <f>IF($A11="","",Invoices!$C11)</f>
        <v/>
      </c>
      <c r="C11" s="325">
        <f>IF($A11="","",Invoices!$D11)</f>
        <v/>
      </c>
      <c r="D11" s="329">
        <f>IF($A11="","",Invoices!$B11)</f>
        <v/>
      </c>
      <c r="E11" s="329">
        <f>IF($A11="","",Invoices!$R11)</f>
        <v/>
      </c>
      <c r="F11" s="326">
        <f>IF($A11="","",Invoices!$L11)</f>
        <v/>
      </c>
      <c r="G11" s="326">
        <f>IF($A11="","",Invoices!$G11)</f>
        <v/>
      </c>
      <c r="H11" s="326">
        <f>IF($A11="","",Invoices!$Q11)</f>
        <v/>
      </c>
      <c r="I11" s="325">
        <f>IF($A11="","",Invoices!$S11)</f>
        <v/>
      </c>
      <c r="J11" s="325">
        <f>IF($A11="","",Invoices!$T11)</f>
        <v/>
      </c>
      <c r="K11" s="325">
        <f>IF($A11="","",Invoices!$U11)</f>
        <v/>
      </c>
      <c r="L11" s="325">
        <f>IF($A11="","",IF($K11="Current","Monitor",IF($K11="1-30","Follow Up",IF($K11="31-60","Escalate",IF($K11="61-90","Urgent",IF($K11="90+","Immediate Action","Monitor"))))))</f>
        <v/>
      </c>
      <c r="M11" s="354">
        <f>IF($A11="","",LOWER($A11&amp;" "&amp;$B11&amp;" "&amp;$C11&amp;" "&amp;$K11&amp;" "&amp;$L11))</f>
        <v/>
      </c>
    </row>
    <row r="12">
      <c r="A12" s="353">
        <f>IF(Invoices!$Q12&gt;0,Invoices!$A12,"")</f>
        <v/>
      </c>
      <c r="B12" s="325">
        <f>IF($A12="","",Invoices!$C12)</f>
        <v/>
      </c>
      <c r="C12" s="325">
        <f>IF($A12="","",Invoices!$D12)</f>
        <v/>
      </c>
      <c r="D12" s="329">
        <f>IF($A12="","",Invoices!$B12)</f>
        <v/>
      </c>
      <c r="E12" s="329">
        <f>IF($A12="","",Invoices!$R12)</f>
        <v/>
      </c>
      <c r="F12" s="326">
        <f>IF($A12="","",Invoices!$L12)</f>
        <v/>
      </c>
      <c r="G12" s="326">
        <f>IF($A12="","",Invoices!$G12)</f>
        <v/>
      </c>
      <c r="H12" s="326">
        <f>IF($A12="","",Invoices!$Q12)</f>
        <v/>
      </c>
      <c r="I12" s="325">
        <f>IF($A12="","",Invoices!$S12)</f>
        <v/>
      </c>
      <c r="J12" s="325">
        <f>IF($A12="","",Invoices!$T12)</f>
        <v/>
      </c>
      <c r="K12" s="325">
        <f>IF($A12="","",Invoices!$U12)</f>
        <v/>
      </c>
      <c r="L12" s="325">
        <f>IF($A12="","",IF($K12="Current","Monitor",IF($K12="1-30","Follow Up",IF($K12="31-60","Escalate",IF($K12="61-90","Urgent",IF($K12="90+","Immediate Action","Monitor"))))))</f>
        <v/>
      </c>
      <c r="M12" s="354">
        <f>IF($A12="","",LOWER($A12&amp;" "&amp;$B12&amp;" "&amp;$C12&amp;" "&amp;$K12&amp;" "&amp;$L12))</f>
        <v/>
      </c>
    </row>
    <row r="13">
      <c r="A13" s="353">
        <f>IF(Invoices!$Q13&gt;0,Invoices!$A13,"")</f>
        <v/>
      </c>
      <c r="B13" s="325">
        <f>IF($A13="","",Invoices!$C13)</f>
        <v/>
      </c>
      <c r="C13" s="325">
        <f>IF($A13="","",Invoices!$D13)</f>
        <v/>
      </c>
      <c r="D13" s="329">
        <f>IF($A13="","",Invoices!$B13)</f>
        <v/>
      </c>
      <c r="E13" s="329">
        <f>IF($A13="","",Invoices!$R13)</f>
        <v/>
      </c>
      <c r="F13" s="326">
        <f>IF($A13="","",Invoices!$L13)</f>
        <v/>
      </c>
      <c r="G13" s="326">
        <f>IF($A13="","",Invoices!$G13)</f>
        <v/>
      </c>
      <c r="H13" s="326">
        <f>IF($A13="","",Invoices!$Q13)</f>
        <v/>
      </c>
      <c r="I13" s="325">
        <f>IF($A13="","",Invoices!$S13)</f>
        <v/>
      </c>
      <c r="J13" s="325">
        <f>IF($A13="","",Invoices!$T13)</f>
        <v/>
      </c>
      <c r="K13" s="325">
        <f>IF($A13="","",Invoices!$U13)</f>
        <v/>
      </c>
      <c r="L13" s="325">
        <f>IF($A13="","",IF($K13="Current","Monitor",IF($K13="1-30","Follow Up",IF($K13="31-60","Escalate",IF($K13="61-90","Urgent",IF($K13="90+","Immediate Action","Monitor"))))))</f>
        <v/>
      </c>
      <c r="M13" s="354">
        <f>IF($A13="","",LOWER($A13&amp;" "&amp;$B13&amp;" "&amp;$C13&amp;" "&amp;$K13&amp;" "&amp;$L13))</f>
        <v/>
      </c>
    </row>
    <row r="14">
      <c r="A14" s="353">
        <f>IF(Invoices!$Q14&gt;0,Invoices!$A14,"")</f>
        <v/>
      </c>
      <c r="B14" s="325">
        <f>IF($A14="","",Invoices!$C14)</f>
        <v/>
      </c>
      <c r="C14" s="325">
        <f>IF($A14="","",Invoices!$D14)</f>
        <v/>
      </c>
      <c r="D14" s="329">
        <f>IF($A14="","",Invoices!$B14)</f>
        <v/>
      </c>
      <c r="E14" s="329">
        <f>IF($A14="","",Invoices!$R14)</f>
        <v/>
      </c>
      <c r="F14" s="326">
        <f>IF($A14="","",Invoices!$L14)</f>
        <v/>
      </c>
      <c r="G14" s="326">
        <f>IF($A14="","",Invoices!$G14)</f>
        <v/>
      </c>
      <c r="H14" s="326">
        <f>IF($A14="","",Invoices!$Q14)</f>
        <v/>
      </c>
      <c r="I14" s="325">
        <f>IF($A14="","",Invoices!$S14)</f>
        <v/>
      </c>
      <c r="J14" s="325">
        <f>IF($A14="","",Invoices!$T14)</f>
        <v/>
      </c>
      <c r="K14" s="325">
        <f>IF($A14="","",Invoices!$U14)</f>
        <v/>
      </c>
      <c r="L14" s="325">
        <f>IF($A14="","",IF($K14="Current","Monitor",IF($K14="1-30","Follow Up",IF($K14="31-60","Escalate",IF($K14="61-90","Urgent",IF($K14="90+","Immediate Action","Monitor"))))))</f>
        <v/>
      </c>
      <c r="M14" s="354">
        <f>IF($A14="","",LOWER($A14&amp;" "&amp;$B14&amp;" "&amp;$C14&amp;" "&amp;$K14&amp;" "&amp;$L14))</f>
        <v/>
      </c>
    </row>
    <row r="15">
      <c r="A15" s="353">
        <f>IF(Invoices!$Q15&gt;0,Invoices!$A15,"")</f>
        <v/>
      </c>
      <c r="B15" s="325">
        <f>IF($A15="","",Invoices!$C15)</f>
        <v/>
      </c>
      <c r="C15" s="325">
        <f>IF($A15="","",Invoices!$D15)</f>
        <v/>
      </c>
      <c r="D15" s="329">
        <f>IF($A15="","",Invoices!$B15)</f>
        <v/>
      </c>
      <c r="E15" s="329">
        <f>IF($A15="","",Invoices!$R15)</f>
        <v/>
      </c>
      <c r="F15" s="326">
        <f>IF($A15="","",Invoices!$L15)</f>
        <v/>
      </c>
      <c r="G15" s="326">
        <f>IF($A15="","",Invoices!$G15)</f>
        <v/>
      </c>
      <c r="H15" s="326">
        <f>IF($A15="","",Invoices!$Q15)</f>
        <v/>
      </c>
      <c r="I15" s="325">
        <f>IF($A15="","",Invoices!$S15)</f>
        <v/>
      </c>
      <c r="J15" s="325">
        <f>IF($A15="","",Invoices!$T15)</f>
        <v/>
      </c>
      <c r="K15" s="325">
        <f>IF($A15="","",Invoices!$U15)</f>
        <v/>
      </c>
      <c r="L15" s="325">
        <f>IF($A15="","",IF($K15="Current","Monitor",IF($K15="1-30","Follow Up",IF($K15="31-60","Escalate",IF($K15="61-90","Urgent",IF($K15="90+","Immediate Action","Monitor"))))))</f>
        <v/>
      </c>
      <c r="M15" s="354">
        <f>IF($A15="","",LOWER($A15&amp;" "&amp;$B15&amp;" "&amp;$C15&amp;" "&amp;$K15&amp;" "&amp;$L15))</f>
        <v/>
      </c>
    </row>
    <row r="16">
      <c r="A16" s="353">
        <f>IF(Invoices!$Q16&gt;0,Invoices!$A16,"")</f>
        <v/>
      </c>
      <c r="B16" s="325">
        <f>IF($A16="","",Invoices!$C16)</f>
        <v/>
      </c>
      <c r="C16" s="325">
        <f>IF($A16="","",Invoices!$D16)</f>
        <v/>
      </c>
      <c r="D16" s="329">
        <f>IF($A16="","",Invoices!$B16)</f>
        <v/>
      </c>
      <c r="E16" s="329">
        <f>IF($A16="","",Invoices!$R16)</f>
        <v/>
      </c>
      <c r="F16" s="326">
        <f>IF($A16="","",Invoices!$L16)</f>
        <v/>
      </c>
      <c r="G16" s="326">
        <f>IF($A16="","",Invoices!$G16)</f>
        <v/>
      </c>
      <c r="H16" s="326">
        <f>IF($A16="","",Invoices!$Q16)</f>
        <v/>
      </c>
      <c r="I16" s="325">
        <f>IF($A16="","",Invoices!$S16)</f>
        <v/>
      </c>
      <c r="J16" s="325">
        <f>IF($A16="","",Invoices!$T16)</f>
        <v/>
      </c>
      <c r="K16" s="325">
        <f>IF($A16="","",Invoices!$U16)</f>
        <v/>
      </c>
      <c r="L16" s="325">
        <f>IF($A16="","",IF($K16="Current","Monitor",IF($K16="1-30","Follow Up",IF($K16="31-60","Escalate",IF($K16="61-90","Urgent",IF($K16="90+","Immediate Action","Monitor"))))))</f>
        <v/>
      </c>
      <c r="M16" s="354">
        <f>IF($A16="","",LOWER($A16&amp;" "&amp;$B16&amp;" "&amp;$C16&amp;" "&amp;$K16&amp;" "&amp;$L16))</f>
        <v/>
      </c>
    </row>
    <row r="17">
      <c r="A17" s="353">
        <f>IF(Invoices!$Q17&gt;0,Invoices!$A17,"")</f>
        <v/>
      </c>
      <c r="B17" s="325">
        <f>IF($A17="","",Invoices!$C17)</f>
        <v/>
      </c>
      <c r="C17" s="325">
        <f>IF($A17="","",Invoices!$D17)</f>
        <v/>
      </c>
      <c r="D17" s="329">
        <f>IF($A17="","",Invoices!$B17)</f>
        <v/>
      </c>
      <c r="E17" s="329">
        <f>IF($A17="","",Invoices!$R17)</f>
        <v/>
      </c>
      <c r="F17" s="326">
        <f>IF($A17="","",Invoices!$L17)</f>
        <v/>
      </c>
      <c r="G17" s="326">
        <f>IF($A17="","",Invoices!$G17)</f>
        <v/>
      </c>
      <c r="H17" s="326">
        <f>IF($A17="","",Invoices!$Q17)</f>
        <v/>
      </c>
      <c r="I17" s="325">
        <f>IF($A17="","",Invoices!$S17)</f>
        <v/>
      </c>
      <c r="J17" s="325">
        <f>IF($A17="","",Invoices!$T17)</f>
        <v/>
      </c>
      <c r="K17" s="325">
        <f>IF($A17="","",Invoices!$U17)</f>
        <v/>
      </c>
      <c r="L17" s="325">
        <f>IF($A17="","",IF($K17="Current","Monitor",IF($K17="1-30","Follow Up",IF($K17="31-60","Escalate",IF($K17="61-90","Urgent",IF($K17="90+","Immediate Action","Monitor"))))))</f>
        <v/>
      </c>
      <c r="M17" s="354">
        <f>IF($A17="","",LOWER($A17&amp;" "&amp;$B17&amp;" "&amp;$C17&amp;" "&amp;$K17&amp;" "&amp;$L17))</f>
        <v/>
      </c>
    </row>
    <row r="18">
      <c r="A18" s="353">
        <f>IF(Invoices!$Q18&gt;0,Invoices!$A18,"")</f>
        <v/>
      </c>
      <c r="B18" s="325">
        <f>IF($A18="","",Invoices!$C18)</f>
        <v/>
      </c>
      <c r="C18" s="325">
        <f>IF($A18="","",Invoices!$D18)</f>
        <v/>
      </c>
      <c r="D18" s="329">
        <f>IF($A18="","",Invoices!$B18)</f>
        <v/>
      </c>
      <c r="E18" s="329">
        <f>IF($A18="","",Invoices!$R18)</f>
        <v/>
      </c>
      <c r="F18" s="326">
        <f>IF($A18="","",Invoices!$L18)</f>
        <v/>
      </c>
      <c r="G18" s="326">
        <f>IF($A18="","",Invoices!$G18)</f>
        <v/>
      </c>
      <c r="H18" s="326">
        <f>IF($A18="","",Invoices!$Q18)</f>
        <v/>
      </c>
      <c r="I18" s="325">
        <f>IF($A18="","",Invoices!$S18)</f>
        <v/>
      </c>
      <c r="J18" s="325">
        <f>IF($A18="","",Invoices!$T18)</f>
        <v/>
      </c>
      <c r="K18" s="325">
        <f>IF($A18="","",Invoices!$U18)</f>
        <v/>
      </c>
      <c r="L18" s="325">
        <f>IF($A18="","",IF($K18="Current","Monitor",IF($K18="1-30","Follow Up",IF($K18="31-60","Escalate",IF($K18="61-90","Urgent",IF($K18="90+","Immediate Action","Monitor"))))))</f>
        <v/>
      </c>
      <c r="M18" s="354">
        <f>IF($A18="","",LOWER($A18&amp;" "&amp;$B18&amp;" "&amp;$C18&amp;" "&amp;$K18&amp;" "&amp;$L18))</f>
        <v/>
      </c>
    </row>
    <row r="19">
      <c r="A19" s="353">
        <f>IF(Invoices!$Q19&gt;0,Invoices!$A19,"")</f>
        <v/>
      </c>
      <c r="B19" s="325">
        <f>IF($A19="","",Invoices!$C19)</f>
        <v/>
      </c>
      <c r="C19" s="325">
        <f>IF($A19="","",Invoices!$D19)</f>
        <v/>
      </c>
      <c r="D19" s="329">
        <f>IF($A19="","",Invoices!$B19)</f>
        <v/>
      </c>
      <c r="E19" s="329">
        <f>IF($A19="","",Invoices!$R19)</f>
        <v/>
      </c>
      <c r="F19" s="326">
        <f>IF($A19="","",Invoices!$L19)</f>
        <v/>
      </c>
      <c r="G19" s="326">
        <f>IF($A19="","",Invoices!$G19)</f>
        <v/>
      </c>
      <c r="H19" s="326">
        <f>IF($A19="","",Invoices!$Q19)</f>
        <v/>
      </c>
      <c r="I19" s="325">
        <f>IF($A19="","",Invoices!$S19)</f>
        <v/>
      </c>
      <c r="J19" s="325">
        <f>IF($A19="","",Invoices!$T19)</f>
        <v/>
      </c>
      <c r="K19" s="325">
        <f>IF($A19="","",Invoices!$U19)</f>
        <v/>
      </c>
      <c r="L19" s="325">
        <f>IF($A19="","",IF($K19="Current","Monitor",IF($K19="1-30","Follow Up",IF($K19="31-60","Escalate",IF($K19="61-90","Urgent",IF($K19="90+","Immediate Action","Monitor"))))))</f>
        <v/>
      </c>
      <c r="M19" s="354">
        <f>IF($A19="","",LOWER($A19&amp;" "&amp;$B19&amp;" "&amp;$C19&amp;" "&amp;$K19&amp;" "&amp;$L19))</f>
        <v/>
      </c>
    </row>
    <row r="20">
      <c r="A20" s="353">
        <f>IF(Invoices!$Q20&gt;0,Invoices!$A20,"")</f>
        <v/>
      </c>
      <c r="B20" s="325">
        <f>IF($A20="","",Invoices!$C20)</f>
        <v/>
      </c>
      <c r="C20" s="325">
        <f>IF($A20="","",Invoices!$D20)</f>
        <v/>
      </c>
      <c r="D20" s="329">
        <f>IF($A20="","",Invoices!$B20)</f>
        <v/>
      </c>
      <c r="E20" s="329">
        <f>IF($A20="","",Invoices!$R20)</f>
        <v/>
      </c>
      <c r="F20" s="326">
        <f>IF($A20="","",Invoices!$L20)</f>
        <v/>
      </c>
      <c r="G20" s="326">
        <f>IF($A20="","",Invoices!$G20)</f>
        <v/>
      </c>
      <c r="H20" s="326">
        <f>IF($A20="","",Invoices!$Q20)</f>
        <v/>
      </c>
      <c r="I20" s="325">
        <f>IF($A20="","",Invoices!$S20)</f>
        <v/>
      </c>
      <c r="J20" s="325">
        <f>IF($A20="","",Invoices!$T20)</f>
        <v/>
      </c>
      <c r="K20" s="325">
        <f>IF($A20="","",Invoices!$U20)</f>
        <v/>
      </c>
      <c r="L20" s="325">
        <f>IF($A20="","",IF($K20="Current","Monitor",IF($K20="1-30","Follow Up",IF($K20="31-60","Escalate",IF($K20="61-90","Urgent",IF($K20="90+","Immediate Action","Monitor"))))))</f>
        <v/>
      </c>
      <c r="M20" s="354">
        <f>IF($A20="","",LOWER($A20&amp;" "&amp;$B20&amp;" "&amp;$C20&amp;" "&amp;$K20&amp;" "&amp;$L20))</f>
        <v/>
      </c>
    </row>
    <row r="21">
      <c r="A21" s="353">
        <f>IF(Invoices!$Q21&gt;0,Invoices!$A21,"")</f>
        <v/>
      </c>
      <c r="B21" s="325">
        <f>IF($A21="","",Invoices!$C21)</f>
        <v/>
      </c>
      <c r="C21" s="325">
        <f>IF($A21="","",Invoices!$D21)</f>
        <v/>
      </c>
      <c r="D21" s="329">
        <f>IF($A21="","",Invoices!$B21)</f>
        <v/>
      </c>
      <c r="E21" s="329">
        <f>IF($A21="","",Invoices!$R21)</f>
        <v/>
      </c>
      <c r="F21" s="326">
        <f>IF($A21="","",Invoices!$L21)</f>
        <v/>
      </c>
      <c r="G21" s="326">
        <f>IF($A21="","",Invoices!$G21)</f>
        <v/>
      </c>
      <c r="H21" s="326">
        <f>IF($A21="","",Invoices!$Q21)</f>
        <v/>
      </c>
      <c r="I21" s="325">
        <f>IF($A21="","",Invoices!$S21)</f>
        <v/>
      </c>
      <c r="J21" s="325">
        <f>IF($A21="","",Invoices!$T21)</f>
        <v/>
      </c>
      <c r="K21" s="325">
        <f>IF($A21="","",Invoices!$U21)</f>
        <v/>
      </c>
      <c r="L21" s="325">
        <f>IF($A21="","",IF($K21="Current","Monitor",IF($K21="1-30","Follow Up",IF($K21="31-60","Escalate",IF($K21="61-90","Urgent",IF($K21="90+","Immediate Action","Monitor"))))))</f>
        <v/>
      </c>
      <c r="M21" s="354">
        <f>IF($A21="","",LOWER($A21&amp;" "&amp;$B21&amp;" "&amp;$C21&amp;" "&amp;$K21&amp;" "&amp;$L21))</f>
        <v/>
      </c>
    </row>
    <row r="22">
      <c r="A22" s="353">
        <f>IF(Invoices!$Q22&gt;0,Invoices!$A22,"")</f>
        <v/>
      </c>
      <c r="B22" s="325">
        <f>IF($A22="","",Invoices!$C22)</f>
        <v/>
      </c>
      <c r="C22" s="325">
        <f>IF($A22="","",Invoices!$D22)</f>
        <v/>
      </c>
      <c r="D22" s="329">
        <f>IF($A22="","",Invoices!$B22)</f>
        <v/>
      </c>
      <c r="E22" s="329">
        <f>IF($A22="","",Invoices!$R22)</f>
        <v/>
      </c>
      <c r="F22" s="326">
        <f>IF($A22="","",Invoices!$L22)</f>
        <v/>
      </c>
      <c r="G22" s="326">
        <f>IF($A22="","",Invoices!$G22)</f>
        <v/>
      </c>
      <c r="H22" s="326">
        <f>IF($A22="","",Invoices!$Q22)</f>
        <v/>
      </c>
      <c r="I22" s="325">
        <f>IF($A22="","",Invoices!$S22)</f>
        <v/>
      </c>
      <c r="J22" s="325">
        <f>IF($A22="","",Invoices!$T22)</f>
        <v/>
      </c>
      <c r="K22" s="325">
        <f>IF($A22="","",Invoices!$U22)</f>
        <v/>
      </c>
      <c r="L22" s="325">
        <f>IF($A22="","",IF($K22="Current","Monitor",IF($K22="1-30","Follow Up",IF($K22="31-60","Escalate",IF($K22="61-90","Urgent",IF($K22="90+","Immediate Action","Monitor"))))))</f>
        <v/>
      </c>
      <c r="M22" s="354">
        <f>IF($A22="","",LOWER($A22&amp;" "&amp;$B22&amp;" "&amp;$C22&amp;" "&amp;$K22&amp;" "&amp;$L22))</f>
        <v/>
      </c>
    </row>
    <row r="23">
      <c r="A23" s="353">
        <f>IF(Invoices!$Q23&gt;0,Invoices!$A23,"")</f>
        <v/>
      </c>
      <c r="B23" s="325">
        <f>IF($A23="","",Invoices!$C23)</f>
        <v/>
      </c>
      <c r="C23" s="325">
        <f>IF($A23="","",Invoices!$D23)</f>
        <v/>
      </c>
      <c r="D23" s="329">
        <f>IF($A23="","",Invoices!$B23)</f>
        <v/>
      </c>
      <c r="E23" s="329">
        <f>IF($A23="","",Invoices!$R23)</f>
        <v/>
      </c>
      <c r="F23" s="326">
        <f>IF($A23="","",Invoices!$L23)</f>
        <v/>
      </c>
      <c r="G23" s="326">
        <f>IF($A23="","",Invoices!$G23)</f>
        <v/>
      </c>
      <c r="H23" s="326">
        <f>IF($A23="","",Invoices!$Q23)</f>
        <v/>
      </c>
      <c r="I23" s="325">
        <f>IF($A23="","",Invoices!$S23)</f>
        <v/>
      </c>
      <c r="J23" s="325">
        <f>IF($A23="","",Invoices!$T23)</f>
        <v/>
      </c>
      <c r="K23" s="325">
        <f>IF($A23="","",Invoices!$U23)</f>
        <v/>
      </c>
      <c r="L23" s="325">
        <f>IF($A23="","",IF($K23="Current","Monitor",IF($K23="1-30","Follow Up",IF($K23="31-60","Escalate",IF($K23="61-90","Urgent",IF($K23="90+","Immediate Action","Monitor"))))))</f>
        <v/>
      </c>
      <c r="M23" s="354">
        <f>IF($A23="","",LOWER($A23&amp;" "&amp;$B23&amp;" "&amp;$C23&amp;" "&amp;$K23&amp;" "&amp;$L23))</f>
        <v/>
      </c>
    </row>
    <row r="24">
      <c r="A24" s="353">
        <f>IF(Invoices!$Q24&gt;0,Invoices!$A24,"")</f>
        <v/>
      </c>
      <c r="B24" s="325">
        <f>IF($A24="","",Invoices!$C24)</f>
        <v/>
      </c>
      <c r="C24" s="325">
        <f>IF($A24="","",Invoices!$D24)</f>
        <v/>
      </c>
      <c r="D24" s="329">
        <f>IF($A24="","",Invoices!$B24)</f>
        <v/>
      </c>
      <c r="E24" s="329">
        <f>IF($A24="","",Invoices!$R24)</f>
        <v/>
      </c>
      <c r="F24" s="326">
        <f>IF($A24="","",Invoices!$L24)</f>
        <v/>
      </c>
      <c r="G24" s="326">
        <f>IF($A24="","",Invoices!$G24)</f>
        <v/>
      </c>
      <c r="H24" s="326">
        <f>IF($A24="","",Invoices!$Q24)</f>
        <v/>
      </c>
      <c r="I24" s="325">
        <f>IF($A24="","",Invoices!$S24)</f>
        <v/>
      </c>
      <c r="J24" s="325">
        <f>IF($A24="","",Invoices!$T24)</f>
        <v/>
      </c>
      <c r="K24" s="325">
        <f>IF($A24="","",Invoices!$U24)</f>
        <v/>
      </c>
      <c r="L24" s="325">
        <f>IF($A24="","",IF($K24="Current","Monitor",IF($K24="1-30","Follow Up",IF($K24="31-60","Escalate",IF($K24="61-90","Urgent",IF($K24="90+","Immediate Action","Monitor"))))))</f>
        <v/>
      </c>
      <c r="M24" s="354">
        <f>IF($A24="","",LOWER($A24&amp;" "&amp;$B24&amp;" "&amp;$C24&amp;" "&amp;$K24&amp;" "&amp;$L24))</f>
        <v/>
      </c>
    </row>
    <row r="25">
      <c r="A25" s="353">
        <f>IF(Invoices!$Q25&gt;0,Invoices!$A25,"")</f>
        <v/>
      </c>
      <c r="B25" s="325">
        <f>IF($A25="","",Invoices!$C25)</f>
        <v/>
      </c>
      <c r="C25" s="325">
        <f>IF($A25="","",Invoices!$D25)</f>
        <v/>
      </c>
      <c r="D25" s="329">
        <f>IF($A25="","",Invoices!$B25)</f>
        <v/>
      </c>
      <c r="E25" s="329">
        <f>IF($A25="","",Invoices!$R25)</f>
        <v/>
      </c>
      <c r="F25" s="326">
        <f>IF($A25="","",Invoices!$L25)</f>
        <v/>
      </c>
      <c r="G25" s="326">
        <f>IF($A25="","",Invoices!$G25)</f>
        <v/>
      </c>
      <c r="H25" s="326">
        <f>IF($A25="","",Invoices!$Q25)</f>
        <v/>
      </c>
      <c r="I25" s="325">
        <f>IF($A25="","",Invoices!$S25)</f>
        <v/>
      </c>
      <c r="J25" s="325">
        <f>IF($A25="","",Invoices!$T25)</f>
        <v/>
      </c>
      <c r="K25" s="325">
        <f>IF($A25="","",Invoices!$U25)</f>
        <v/>
      </c>
      <c r="L25" s="325">
        <f>IF($A25="","",IF($K25="Current","Monitor",IF($K25="1-30","Follow Up",IF($K25="31-60","Escalate",IF($K25="61-90","Urgent",IF($K25="90+","Immediate Action","Monitor"))))))</f>
        <v/>
      </c>
      <c r="M25" s="354">
        <f>IF($A25="","",LOWER($A25&amp;" "&amp;$B25&amp;" "&amp;$C25&amp;" "&amp;$K25&amp;" "&amp;$L25))</f>
        <v/>
      </c>
    </row>
    <row r="26">
      <c r="A26" s="353">
        <f>IF(Invoices!$Q26&gt;0,Invoices!$A26,"")</f>
        <v/>
      </c>
      <c r="B26" s="325">
        <f>IF($A26="","",Invoices!$C26)</f>
        <v/>
      </c>
      <c r="C26" s="325">
        <f>IF($A26="","",Invoices!$D26)</f>
        <v/>
      </c>
      <c r="D26" s="329">
        <f>IF($A26="","",Invoices!$B26)</f>
        <v/>
      </c>
      <c r="E26" s="329">
        <f>IF($A26="","",Invoices!$R26)</f>
        <v/>
      </c>
      <c r="F26" s="326">
        <f>IF($A26="","",Invoices!$L26)</f>
        <v/>
      </c>
      <c r="G26" s="326">
        <f>IF($A26="","",Invoices!$G26)</f>
        <v/>
      </c>
      <c r="H26" s="326">
        <f>IF($A26="","",Invoices!$Q26)</f>
        <v/>
      </c>
      <c r="I26" s="325">
        <f>IF($A26="","",Invoices!$S26)</f>
        <v/>
      </c>
      <c r="J26" s="325">
        <f>IF($A26="","",Invoices!$T26)</f>
        <v/>
      </c>
      <c r="K26" s="325">
        <f>IF($A26="","",Invoices!$U26)</f>
        <v/>
      </c>
      <c r="L26" s="325">
        <f>IF($A26="","",IF($K26="Current","Monitor",IF($K26="1-30","Follow Up",IF($K26="31-60","Escalate",IF($K26="61-90","Urgent",IF($K26="90+","Immediate Action","Monitor"))))))</f>
        <v/>
      </c>
      <c r="M26" s="354">
        <f>IF($A26="","",LOWER($A26&amp;" "&amp;$B26&amp;" "&amp;$C26&amp;" "&amp;$K26&amp;" "&amp;$L26))</f>
        <v/>
      </c>
    </row>
    <row r="27">
      <c r="A27" s="353">
        <f>IF(Invoices!$Q27&gt;0,Invoices!$A27,"")</f>
        <v/>
      </c>
      <c r="B27" s="325">
        <f>IF($A27="","",Invoices!$C27)</f>
        <v/>
      </c>
      <c r="C27" s="325">
        <f>IF($A27="","",Invoices!$D27)</f>
        <v/>
      </c>
      <c r="D27" s="329">
        <f>IF($A27="","",Invoices!$B27)</f>
        <v/>
      </c>
      <c r="E27" s="329">
        <f>IF($A27="","",Invoices!$R27)</f>
        <v/>
      </c>
      <c r="F27" s="326">
        <f>IF($A27="","",Invoices!$L27)</f>
        <v/>
      </c>
      <c r="G27" s="326">
        <f>IF($A27="","",Invoices!$G27)</f>
        <v/>
      </c>
      <c r="H27" s="326">
        <f>IF($A27="","",Invoices!$Q27)</f>
        <v/>
      </c>
      <c r="I27" s="325">
        <f>IF($A27="","",Invoices!$S27)</f>
        <v/>
      </c>
      <c r="J27" s="325">
        <f>IF($A27="","",Invoices!$T27)</f>
        <v/>
      </c>
      <c r="K27" s="325">
        <f>IF($A27="","",Invoices!$U27)</f>
        <v/>
      </c>
      <c r="L27" s="325">
        <f>IF($A27="","",IF($K27="Current","Monitor",IF($K27="1-30","Follow Up",IF($K27="31-60","Escalate",IF($K27="61-90","Urgent",IF($K27="90+","Immediate Action","Monitor"))))))</f>
        <v/>
      </c>
      <c r="M27" s="354">
        <f>IF($A27="","",LOWER($A27&amp;" "&amp;$B27&amp;" "&amp;$C27&amp;" "&amp;$K27&amp;" "&amp;$L27))</f>
        <v/>
      </c>
    </row>
    <row r="28">
      <c r="A28" s="353">
        <f>IF(Invoices!$Q28&gt;0,Invoices!$A28,"")</f>
        <v/>
      </c>
      <c r="B28" s="325">
        <f>IF($A28="","",Invoices!$C28)</f>
        <v/>
      </c>
      <c r="C28" s="325">
        <f>IF($A28="","",Invoices!$D28)</f>
        <v/>
      </c>
      <c r="D28" s="329">
        <f>IF($A28="","",Invoices!$B28)</f>
        <v/>
      </c>
      <c r="E28" s="329">
        <f>IF($A28="","",Invoices!$R28)</f>
        <v/>
      </c>
      <c r="F28" s="326">
        <f>IF($A28="","",Invoices!$L28)</f>
        <v/>
      </c>
      <c r="G28" s="326">
        <f>IF($A28="","",Invoices!$G28)</f>
        <v/>
      </c>
      <c r="H28" s="326">
        <f>IF($A28="","",Invoices!$Q28)</f>
        <v/>
      </c>
      <c r="I28" s="325">
        <f>IF($A28="","",Invoices!$S28)</f>
        <v/>
      </c>
      <c r="J28" s="325">
        <f>IF($A28="","",Invoices!$T28)</f>
        <v/>
      </c>
      <c r="K28" s="325">
        <f>IF($A28="","",Invoices!$U28)</f>
        <v/>
      </c>
      <c r="L28" s="325">
        <f>IF($A28="","",IF($K28="Current","Monitor",IF($K28="1-30","Follow Up",IF($K28="31-60","Escalate",IF($K28="61-90","Urgent",IF($K28="90+","Immediate Action","Monitor"))))))</f>
        <v/>
      </c>
      <c r="M28" s="354">
        <f>IF($A28="","",LOWER($A28&amp;" "&amp;$B28&amp;" "&amp;$C28&amp;" "&amp;$K28&amp;" "&amp;$L28))</f>
        <v/>
      </c>
    </row>
    <row r="29">
      <c r="A29" s="353">
        <f>IF(Invoices!$Q29&gt;0,Invoices!$A29,"")</f>
        <v/>
      </c>
      <c r="B29" s="325">
        <f>IF($A29="","",Invoices!$C29)</f>
        <v/>
      </c>
      <c r="C29" s="325">
        <f>IF($A29="","",Invoices!$D29)</f>
        <v/>
      </c>
      <c r="D29" s="329">
        <f>IF($A29="","",Invoices!$B29)</f>
        <v/>
      </c>
      <c r="E29" s="329">
        <f>IF($A29="","",Invoices!$R29)</f>
        <v/>
      </c>
      <c r="F29" s="326">
        <f>IF($A29="","",Invoices!$L29)</f>
        <v/>
      </c>
      <c r="G29" s="326">
        <f>IF($A29="","",Invoices!$G29)</f>
        <v/>
      </c>
      <c r="H29" s="326">
        <f>IF($A29="","",Invoices!$Q29)</f>
        <v/>
      </c>
      <c r="I29" s="325">
        <f>IF($A29="","",Invoices!$S29)</f>
        <v/>
      </c>
      <c r="J29" s="325">
        <f>IF($A29="","",Invoices!$T29)</f>
        <v/>
      </c>
      <c r="K29" s="325">
        <f>IF($A29="","",Invoices!$U29)</f>
        <v/>
      </c>
      <c r="L29" s="325">
        <f>IF($A29="","",IF($K29="Current","Monitor",IF($K29="1-30","Follow Up",IF($K29="31-60","Escalate",IF($K29="61-90","Urgent",IF($K29="90+","Immediate Action","Monitor"))))))</f>
        <v/>
      </c>
      <c r="M29" s="354">
        <f>IF($A29="","",LOWER($A29&amp;" "&amp;$B29&amp;" "&amp;$C29&amp;" "&amp;$K29&amp;" "&amp;$L29))</f>
        <v/>
      </c>
    </row>
    <row r="30">
      <c r="A30" s="353">
        <f>IF(Invoices!$Q30&gt;0,Invoices!$A30,"")</f>
        <v/>
      </c>
      <c r="B30" s="325">
        <f>IF($A30="","",Invoices!$C30)</f>
        <v/>
      </c>
      <c r="C30" s="325">
        <f>IF($A30="","",Invoices!$D30)</f>
        <v/>
      </c>
      <c r="D30" s="329">
        <f>IF($A30="","",Invoices!$B30)</f>
        <v/>
      </c>
      <c r="E30" s="329">
        <f>IF($A30="","",Invoices!$R30)</f>
        <v/>
      </c>
      <c r="F30" s="326">
        <f>IF($A30="","",Invoices!$L30)</f>
        <v/>
      </c>
      <c r="G30" s="326">
        <f>IF($A30="","",Invoices!$G30)</f>
        <v/>
      </c>
      <c r="H30" s="326">
        <f>IF($A30="","",Invoices!$Q30)</f>
        <v/>
      </c>
      <c r="I30" s="325">
        <f>IF($A30="","",Invoices!$S30)</f>
        <v/>
      </c>
      <c r="J30" s="325">
        <f>IF($A30="","",Invoices!$T30)</f>
        <v/>
      </c>
      <c r="K30" s="325">
        <f>IF($A30="","",Invoices!$U30)</f>
        <v/>
      </c>
      <c r="L30" s="325">
        <f>IF($A30="","",IF($K30="Current","Monitor",IF($K30="1-30","Follow Up",IF($K30="31-60","Escalate",IF($K30="61-90","Urgent",IF($K30="90+","Immediate Action","Monitor"))))))</f>
        <v/>
      </c>
      <c r="M30" s="354">
        <f>IF($A30="","",LOWER($A30&amp;" "&amp;$B30&amp;" "&amp;$C30&amp;" "&amp;$K30&amp;" "&amp;$L30))</f>
        <v/>
      </c>
    </row>
    <row r="31">
      <c r="A31" s="353">
        <f>IF(Invoices!$Q31&gt;0,Invoices!$A31,"")</f>
        <v/>
      </c>
      <c r="B31" s="325">
        <f>IF($A31="","",Invoices!$C31)</f>
        <v/>
      </c>
      <c r="C31" s="325">
        <f>IF($A31="","",Invoices!$D31)</f>
        <v/>
      </c>
      <c r="D31" s="329">
        <f>IF($A31="","",Invoices!$B31)</f>
        <v/>
      </c>
      <c r="E31" s="329">
        <f>IF($A31="","",Invoices!$R31)</f>
        <v/>
      </c>
      <c r="F31" s="326">
        <f>IF($A31="","",Invoices!$L31)</f>
        <v/>
      </c>
      <c r="G31" s="326">
        <f>IF($A31="","",Invoices!$G31)</f>
        <v/>
      </c>
      <c r="H31" s="326">
        <f>IF($A31="","",Invoices!$Q31)</f>
        <v/>
      </c>
      <c r="I31" s="325">
        <f>IF($A31="","",Invoices!$S31)</f>
        <v/>
      </c>
      <c r="J31" s="325">
        <f>IF($A31="","",Invoices!$T31)</f>
        <v/>
      </c>
      <c r="K31" s="325">
        <f>IF($A31="","",Invoices!$U31)</f>
        <v/>
      </c>
      <c r="L31" s="325">
        <f>IF($A31="","",IF($K31="Current","Monitor",IF($K31="1-30","Follow Up",IF($K31="31-60","Escalate",IF($K31="61-90","Urgent",IF($K31="90+","Immediate Action","Monitor"))))))</f>
        <v/>
      </c>
      <c r="M31" s="354">
        <f>IF($A31="","",LOWER($A31&amp;" "&amp;$B31&amp;" "&amp;$C31&amp;" "&amp;$K31&amp;" "&amp;$L31))</f>
        <v/>
      </c>
    </row>
    <row r="32">
      <c r="A32" s="353">
        <f>IF(Invoices!$Q32&gt;0,Invoices!$A32,"")</f>
        <v/>
      </c>
      <c r="B32" s="325">
        <f>IF($A32="","",Invoices!$C32)</f>
        <v/>
      </c>
      <c r="C32" s="325">
        <f>IF($A32="","",Invoices!$D32)</f>
        <v/>
      </c>
      <c r="D32" s="329">
        <f>IF($A32="","",Invoices!$B32)</f>
        <v/>
      </c>
      <c r="E32" s="329">
        <f>IF($A32="","",Invoices!$R32)</f>
        <v/>
      </c>
      <c r="F32" s="326">
        <f>IF($A32="","",Invoices!$L32)</f>
        <v/>
      </c>
      <c r="G32" s="326">
        <f>IF($A32="","",Invoices!$G32)</f>
        <v/>
      </c>
      <c r="H32" s="326">
        <f>IF($A32="","",Invoices!$Q32)</f>
        <v/>
      </c>
      <c r="I32" s="325">
        <f>IF($A32="","",Invoices!$S32)</f>
        <v/>
      </c>
      <c r="J32" s="325">
        <f>IF($A32="","",Invoices!$T32)</f>
        <v/>
      </c>
      <c r="K32" s="325">
        <f>IF($A32="","",Invoices!$U32)</f>
        <v/>
      </c>
      <c r="L32" s="325">
        <f>IF($A32="","",IF($K32="Current","Monitor",IF($K32="1-30","Follow Up",IF($K32="31-60","Escalate",IF($K32="61-90","Urgent",IF($K32="90+","Immediate Action","Monitor"))))))</f>
        <v/>
      </c>
      <c r="M32" s="354">
        <f>IF($A32="","",LOWER($A32&amp;" "&amp;$B32&amp;" "&amp;$C32&amp;" "&amp;$K32&amp;" "&amp;$L32))</f>
        <v/>
      </c>
    </row>
    <row r="33">
      <c r="A33" s="353">
        <f>IF(Invoices!$Q33&gt;0,Invoices!$A33,"")</f>
        <v/>
      </c>
      <c r="B33" s="325">
        <f>IF($A33="","",Invoices!$C33)</f>
        <v/>
      </c>
      <c r="C33" s="325">
        <f>IF($A33="","",Invoices!$D33)</f>
        <v/>
      </c>
      <c r="D33" s="329">
        <f>IF($A33="","",Invoices!$B33)</f>
        <v/>
      </c>
      <c r="E33" s="329">
        <f>IF($A33="","",Invoices!$R33)</f>
        <v/>
      </c>
      <c r="F33" s="326">
        <f>IF($A33="","",Invoices!$L33)</f>
        <v/>
      </c>
      <c r="G33" s="326">
        <f>IF($A33="","",Invoices!$G33)</f>
        <v/>
      </c>
      <c r="H33" s="326">
        <f>IF($A33="","",Invoices!$Q33)</f>
        <v/>
      </c>
      <c r="I33" s="325">
        <f>IF($A33="","",Invoices!$S33)</f>
        <v/>
      </c>
      <c r="J33" s="325">
        <f>IF($A33="","",Invoices!$T33)</f>
        <v/>
      </c>
      <c r="K33" s="325">
        <f>IF($A33="","",Invoices!$U33)</f>
        <v/>
      </c>
      <c r="L33" s="325">
        <f>IF($A33="","",IF($K33="Current","Monitor",IF($K33="1-30","Follow Up",IF($K33="31-60","Escalate",IF($K33="61-90","Urgent",IF($K33="90+","Immediate Action","Monitor"))))))</f>
        <v/>
      </c>
      <c r="M33" s="354">
        <f>IF($A33="","",LOWER($A33&amp;" "&amp;$B33&amp;" "&amp;$C33&amp;" "&amp;$K33&amp;" "&amp;$L33))</f>
        <v/>
      </c>
    </row>
    <row r="34">
      <c r="A34" s="353">
        <f>IF(Invoices!$Q34&gt;0,Invoices!$A34,"")</f>
        <v/>
      </c>
      <c r="B34" s="325">
        <f>IF($A34="","",Invoices!$C34)</f>
        <v/>
      </c>
      <c r="C34" s="325">
        <f>IF($A34="","",Invoices!$D34)</f>
        <v/>
      </c>
      <c r="D34" s="329">
        <f>IF($A34="","",Invoices!$B34)</f>
        <v/>
      </c>
      <c r="E34" s="329">
        <f>IF($A34="","",Invoices!$R34)</f>
        <v/>
      </c>
      <c r="F34" s="326">
        <f>IF($A34="","",Invoices!$L34)</f>
        <v/>
      </c>
      <c r="G34" s="326">
        <f>IF($A34="","",Invoices!$G34)</f>
        <v/>
      </c>
      <c r="H34" s="326">
        <f>IF($A34="","",Invoices!$Q34)</f>
        <v/>
      </c>
      <c r="I34" s="325">
        <f>IF($A34="","",Invoices!$S34)</f>
        <v/>
      </c>
      <c r="J34" s="325">
        <f>IF($A34="","",Invoices!$T34)</f>
        <v/>
      </c>
      <c r="K34" s="325">
        <f>IF($A34="","",Invoices!$U34)</f>
        <v/>
      </c>
      <c r="L34" s="325">
        <f>IF($A34="","",IF($K34="Current","Monitor",IF($K34="1-30","Follow Up",IF($K34="31-60","Escalate",IF($K34="61-90","Urgent",IF($K34="90+","Immediate Action","Monitor"))))))</f>
        <v/>
      </c>
      <c r="M34" s="354">
        <f>IF($A34="","",LOWER($A34&amp;" "&amp;$B34&amp;" "&amp;$C34&amp;" "&amp;$K34&amp;" "&amp;$L34))</f>
        <v/>
      </c>
    </row>
    <row r="35">
      <c r="A35" s="353">
        <f>IF(Invoices!$Q35&gt;0,Invoices!$A35,"")</f>
        <v/>
      </c>
      <c r="B35" s="325">
        <f>IF($A35="","",Invoices!$C35)</f>
        <v/>
      </c>
      <c r="C35" s="325">
        <f>IF($A35="","",Invoices!$D35)</f>
        <v/>
      </c>
      <c r="D35" s="329">
        <f>IF($A35="","",Invoices!$B35)</f>
        <v/>
      </c>
      <c r="E35" s="329">
        <f>IF($A35="","",Invoices!$R35)</f>
        <v/>
      </c>
      <c r="F35" s="326">
        <f>IF($A35="","",Invoices!$L35)</f>
        <v/>
      </c>
      <c r="G35" s="326">
        <f>IF($A35="","",Invoices!$G35)</f>
        <v/>
      </c>
      <c r="H35" s="326">
        <f>IF($A35="","",Invoices!$Q35)</f>
        <v/>
      </c>
      <c r="I35" s="325">
        <f>IF($A35="","",Invoices!$S35)</f>
        <v/>
      </c>
      <c r="J35" s="325">
        <f>IF($A35="","",Invoices!$T35)</f>
        <v/>
      </c>
      <c r="K35" s="325">
        <f>IF($A35="","",Invoices!$U35)</f>
        <v/>
      </c>
      <c r="L35" s="325">
        <f>IF($A35="","",IF($K35="Current","Monitor",IF($K35="1-30","Follow Up",IF($K35="31-60","Escalate",IF($K35="61-90","Urgent",IF($K35="90+","Immediate Action","Monitor"))))))</f>
        <v/>
      </c>
      <c r="M35" s="354">
        <f>IF($A35="","",LOWER($A35&amp;" "&amp;$B35&amp;" "&amp;$C35&amp;" "&amp;$K35&amp;" "&amp;$L35))</f>
        <v/>
      </c>
    </row>
    <row r="36">
      <c r="A36" s="353">
        <f>IF(Invoices!$Q36&gt;0,Invoices!$A36,"")</f>
        <v/>
      </c>
      <c r="B36" s="325">
        <f>IF($A36="","",Invoices!$C36)</f>
        <v/>
      </c>
      <c r="C36" s="325">
        <f>IF($A36="","",Invoices!$D36)</f>
        <v/>
      </c>
      <c r="D36" s="329">
        <f>IF($A36="","",Invoices!$B36)</f>
        <v/>
      </c>
      <c r="E36" s="329">
        <f>IF($A36="","",Invoices!$R36)</f>
        <v/>
      </c>
      <c r="F36" s="326">
        <f>IF($A36="","",Invoices!$L36)</f>
        <v/>
      </c>
      <c r="G36" s="326">
        <f>IF($A36="","",Invoices!$G36)</f>
        <v/>
      </c>
      <c r="H36" s="326">
        <f>IF($A36="","",Invoices!$Q36)</f>
        <v/>
      </c>
      <c r="I36" s="325">
        <f>IF($A36="","",Invoices!$S36)</f>
        <v/>
      </c>
      <c r="J36" s="325">
        <f>IF($A36="","",Invoices!$T36)</f>
        <v/>
      </c>
      <c r="K36" s="325">
        <f>IF($A36="","",Invoices!$U36)</f>
        <v/>
      </c>
      <c r="L36" s="325">
        <f>IF($A36="","",IF($K36="Current","Monitor",IF($K36="1-30","Follow Up",IF($K36="31-60","Escalate",IF($K36="61-90","Urgent",IF($K36="90+","Immediate Action","Monitor"))))))</f>
        <v/>
      </c>
      <c r="M36" s="354">
        <f>IF($A36="","",LOWER($A36&amp;" "&amp;$B36&amp;" "&amp;$C36&amp;" "&amp;$K36&amp;" "&amp;$L36))</f>
        <v/>
      </c>
    </row>
    <row r="37">
      <c r="A37" s="353">
        <f>IF(Invoices!$Q37&gt;0,Invoices!$A37,"")</f>
        <v/>
      </c>
      <c r="B37" s="325">
        <f>IF($A37="","",Invoices!$C37)</f>
        <v/>
      </c>
      <c r="C37" s="325">
        <f>IF($A37="","",Invoices!$D37)</f>
        <v/>
      </c>
      <c r="D37" s="329">
        <f>IF($A37="","",Invoices!$B37)</f>
        <v/>
      </c>
      <c r="E37" s="329">
        <f>IF($A37="","",Invoices!$R37)</f>
        <v/>
      </c>
      <c r="F37" s="326">
        <f>IF($A37="","",Invoices!$L37)</f>
        <v/>
      </c>
      <c r="G37" s="326">
        <f>IF($A37="","",Invoices!$G37)</f>
        <v/>
      </c>
      <c r="H37" s="326">
        <f>IF($A37="","",Invoices!$Q37)</f>
        <v/>
      </c>
      <c r="I37" s="325">
        <f>IF($A37="","",Invoices!$S37)</f>
        <v/>
      </c>
      <c r="J37" s="325">
        <f>IF($A37="","",Invoices!$T37)</f>
        <v/>
      </c>
      <c r="K37" s="325">
        <f>IF($A37="","",Invoices!$U37)</f>
        <v/>
      </c>
      <c r="L37" s="325">
        <f>IF($A37="","",IF($K37="Current","Monitor",IF($K37="1-30","Follow Up",IF($K37="31-60","Escalate",IF($K37="61-90","Urgent",IF($K37="90+","Immediate Action","Monitor"))))))</f>
        <v/>
      </c>
      <c r="M37" s="354">
        <f>IF($A37="","",LOWER($A37&amp;" "&amp;$B37&amp;" "&amp;$C37&amp;" "&amp;$K37&amp;" "&amp;$L37))</f>
        <v/>
      </c>
    </row>
    <row r="38">
      <c r="A38" s="353">
        <f>IF(Invoices!$Q38&gt;0,Invoices!$A38,"")</f>
        <v/>
      </c>
      <c r="B38" s="325">
        <f>IF($A38="","",Invoices!$C38)</f>
        <v/>
      </c>
      <c r="C38" s="325">
        <f>IF($A38="","",Invoices!$D38)</f>
        <v/>
      </c>
      <c r="D38" s="329">
        <f>IF($A38="","",Invoices!$B38)</f>
        <v/>
      </c>
      <c r="E38" s="329">
        <f>IF($A38="","",Invoices!$R38)</f>
        <v/>
      </c>
      <c r="F38" s="326">
        <f>IF($A38="","",Invoices!$L38)</f>
        <v/>
      </c>
      <c r="G38" s="326">
        <f>IF($A38="","",Invoices!$G38)</f>
        <v/>
      </c>
      <c r="H38" s="326">
        <f>IF($A38="","",Invoices!$Q38)</f>
        <v/>
      </c>
      <c r="I38" s="325">
        <f>IF($A38="","",Invoices!$S38)</f>
        <v/>
      </c>
      <c r="J38" s="325">
        <f>IF($A38="","",Invoices!$T38)</f>
        <v/>
      </c>
      <c r="K38" s="325">
        <f>IF($A38="","",Invoices!$U38)</f>
        <v/>
      </c>
      <c r="L38" s="325">
        <f>IF($A38="","",IF($K38="Current","Monitor",IF($K38="1-30","Follow Up",IF($K38="31-60","Escalate",IF($K38="61-90","Urgent",IF($K38="90+","Immediate Action","Monitor"))))))</f>
        <v/>
      </c>
      <c r="M38" s="354">
        <f>IF($A38="","",LOWER($A38&amp;" "&amp;$B38&amp;" "&amp;$C38&amp;" "&amp;$K38&amp;" "&amp;$L38))</f>
        <v/>
      </c>
    </row>
    <row r="39">
      <c r="A39" s="353">
        <f>IF(Invoices!$Q39&gt;0,Invoices!$A39,"")</f>
        <v/>
      </c>
      <c r="B39" s="325">
        <f>IF($A39="","",Invoices!$C39)</f>
        <v/>
      </c>
      <c r="C39" s="325">
        <f>IF($A39="","",Invoices!$D39)</f>
        <v/>
      </c>
      <c r="D39" s="329">
        <f>IF($A39="","",Invoices!$B39)</f>
        <v/>
      </c>
      <c r="E39" s="329">
        <f>IF($A39="","",Invoices!$R39)</f>
        <v/>
      </c>
      <c r="F39" s="326">
        <f>IF($A39="","",Invoices!$L39)</f>
        <v/>
      </c>
      <c r="G39" s="326">
        <f>IF($A39="","",Invoices!$G39)</f>
        <v/>
      </c>
      <c r="H39" s="326">
        <f>IF($A39="","",Invoices!$Q39)</f>
        <v/>
      </c>
      <c r="I39" s="325">
        <f>IF($A39="","",Invoices!$S39)</f>
        <v/>
      </c>
      <c r="J39" s="325">
        <f>IF($A39="","",Invoices!$T39)</f>
        <v/>
      </c>
      <c r="K39" s="325">
        <f>IF($A39="","",Invoices!$U39)</f>
        <v/>
      </c>
      <c r="L39" s="325">
        <f>IF($A39="","",IF($K39="Current","Monitor",IF($K39="1-30","Follow Up",IF($K39="31-60","Escalate",IF($K39="61-90","Urgent",IF($K39="90+","Immediate Action","Monitor"))))))</f>
        <v/>
      </c>
      <c r="M39" s="354">
        <f>IF($A39="","",LOWER($A39&amp;" "&amp;$B39&amp;" "&amp;$C39&amp;" "&amp;$K39&amp;" "&amp;$L39))</f>
        <v/>
      </c>
    </row>
    <row r="40">
      <c r="A40" s="353">
        <f>IF(Invoices!$Q40&gt;0,Invoices!$A40,"")</f>
        <v/>
      </c>
      <c r="B40" s="325">
        <f>IF($A40="","",Invoices!$C40)</f>
        <v/>
      </c>
      <c r="C40" s="325">
        <f>IF($A40="","",Invoices!$D40)</f>
        <v/>
      </c>
      <c r="D40" s="329">
        <f>IF($A40="","",Invoices!$B40)</f>
        <v/>
      </c>
      <c r="E40" s="329">
        <f>IF($A40="","",Invoices!$R40)</f>
        <v/>
      </c>
      <c r="F40" s="326">
        <f>IF($A40="","",Invoices!$L40)</f>
        <v/>
      </c>
      <c r="G40" s="326">
        <f>IF($A40="","",Invoices!$G40)</f>
        <v/>
      </c>
      <c r="H40" s="326">
        <f>IF($A40="","",Invoices!$Q40)</f>
        <v/>
      </c>
      <c r="I40" s="325">
        <f>IF($A40="","",Invoices!$S40)</f>
        <v/>
      </c>
      <c r="J40" s="325">
        <f>IF($A40="","",Invoices!$T40)</f>
        <v/>
      </c>
      <c r="K40" s="325">
        <f>IF($A40="","",Invoices!$U40)</f>
        <v/>
      </c>
      <c r="L40" s="325">
        <f>IF($A40="","",IF($K40="Current","Monitor",IF($K40="1-30","Follow Up",IF($K40="31-60","Escalate",IF($K40="61-90","Urgent",IF($K40="90+","Immediate Action","Monitor"))))))</f>
        <v/>
      </c>
      <c r="M40" s="354">
        <f>IF($A40="","",LOWER($A40&amp;" "&amp;$B40&amp;" "&amp;$C40&amp;" "&amp;$K40&amp;" "&amp;$L40))</f>
        <v/>
      </c>
    </row>
    <row r="41">
      <c r="A41" s="353">
        <f>IF(Invoices!$Q41&gt;0,Invoices!$A41,"")</f>
        <v/>
      </c>
      <c r="B41" s="325">
        <f>IF($A41="","",Invoices!$C41)</f>
        <v/>
      </c>
      <c r="C41" s="325">
        <f>IF($A41="","",Invoices!$D41)</f>
        <v/>
      </c>
      <c r="D41" s="329">
        <f>IF($A41="","",Invoices!$B41)</f>
        <v/>
      </c>
      <c r="E41" s="329">
        <f>IF($A41="","",Invoices!$R41)</f>
        <v/>
      </c>
      <c r="F41" s="326">
        <f>IF($A41="","",Invoices!$L41)</f>
        <v/>
      </c>
      <c r="G41" s="326">
        <f>IF($A41="","",Invoices!$G41)</f>
        <v/>
      </c>
      <c r="H41" s="326">
        <f>IF($A41="","",Invoices!$Q41)</f>
        <v/>
      </c>
      <c r="I41" s="325">
        <f>IF($A41="","",Invoices!$S41)</f>
        <v/>
      </c>
      <c r="J41" s="325">
        <f>IF($A41="","",Invoices!$T41)</f>
        <v/>
      </c>
      <c r="K41" s="325">
        <f>IF($A41="","",Invoices!$U41)</f>
        <v/>
      </c>
      <c r="L41" s="325">
        <f>IF($A41="","",IF($K41="Current","Monitor",IF($K41="1-30","Follow Up",IF($K41="31-60","Escalate",IF($K41="61-90","Urgent",IF($K41="90+","Immediate Action","Monitor"))))))</f>
        <v/>
      </c>
      <c r="M41" s="354">
        <f>IF($A41="","",LOWER($A41&amp;" "&amp;$B41&amp;" "&amp;$C41&amp;" "&amp;$K41&amp;" "&amp;$L41))</f>
        <v/>
      </c>
    </row>
    <row r="42">
      <c r="A42" s="353">
        <f>IF(Invoices!$Q42&gt;0,Invoices!$A42,"")</f>
        <v/>
      </c>
      <c r="B42" s="325">
        <f>IF($A42="","",Invoices!$C42)</f>
        <v/>
      </c>
      <c r="C42" s="325">
        <f>IF($A42="","",Invoices!$D42)</f>
        <v/>
      </c>
      <c r="D42" s="329">
        <f>IF($A42="","",Invoices!$B42)</f>
        <v/>
      </c>
      <c r="E42" s="329">
        <f>IF($A42="","",Invoices!$R42)</f>
        <v/>
      </c>
      <c r="F42" s="326">
        <f>IF($A42="","",Invoices!$L42)</f>
        <v/>
      </c>
      <c r="G42" s="326">
        <f>IF($A42="","",Invoices!$G42)</f>
        <v/>
      </c>
      <c r="H42" s="326">
        <f>IF($A42="","",Invoices!$Q42)</f>
        <v/>
      </c>
      <c r="I42" s="325">
        <f>IF($A42="","",Invoices!$S42)</f>
        <v/>
      </c>
      <c r="J42" s="325">
        <f>IF($A42="","",Invoices!$T42)</f>
        <v/>
      </c>
      <c r="K42" s="325">
        <f>IF($A42="","",Invoices!$U42)</f>
        <v/>
      </c>
      <c r="L42" s="325">
        <f>IF($A42="","",IF($K42="Current","Monitor",IF($K42="1-30","Follow Up",IF($K42="31-60","Escalate",IF($K42="61-90","Urgent",IF($K42="90+","Immediate Action","Monitor"))))))</f>
        <v/>
      </c>
      <c r="M42" s="354">
        <f>IF($A42="","",LOWER($A42&amp;" "&amp;$B42&amp;" "&amp;$C42&amp;" "&amp;$K42&amp;" "&amp;$L42))</f>
        <v/>
      </c>
    </row>
    <row r="43">
      <c r="A43" s="353">
        <f>IF(Invoices!$Q43&gt;0,Invoices!$A43,"")</f>
        <v/>
      </c>
      <c r="B43" s="325">
        <f>IF($A43="","",Invoices!$C43)</f>
        <v/>
      </c>
      <c r="C43" s="325">
        <f>IF($A43="","",Invoices!$D43)</f>
        <v/>
      </c>
      <c r="D43" s="329">
        <f>IF($A43="","",Invoices!$B43)</f>
        <v/>
      </c>
      <c r="E43" s="329">
        <f>IF($A43="","",Invoices!$R43)</f>
        <v/>
      </c>
      <c r="F43" s="326">
        <f>IF($A43="","",Invoices!$L43)</f>
        <v/>
      </c>
      <c r="G43" s="326">
        <f>IF($A43="","",Invoices!$G43)</f>
        <v/>
      </c>
      <c r="H43" s="326">
        <f>IF($A43="","",Invoices!$Q43)</f>
        <v/>
      </c>
      <c r="I43" s="325">
        <f>IF($A43="","",Invoices!$S43)</f>
        <v/>
      </c>
      <c r="J43" s="325">
        <f>IF($A43="","",Invoices!$T43)</f>
        <v/>
      </c>
      <c r="K43" s="325">
        <f>IF($A43="","",Invoices!$U43)</f>
        <v/>
      </c>
      <c r="L43" s="325">
        <f>IF($A43="","",IF($K43="Current","Monitor",IF($K43="1-30","Follow Up",IF($K43="31-60","Escalate",IF($K43="61-90","Urgent",IF($K43="90+","Immediate Action","Monitor"))))))</f>
        <v/>
      </c>
      <c r="M43" s="354">
        <f>IF($A43="","",LOWER($A43&amp;" "&amp;$B43&amp;" "&amp;$C43&amp;" "&amp;$K43&amp;" "&amp;$L43))</f>
        <v/>
      </c>
    </row>
    <row r="44">
      <c r="A44" s="353">
        <f>IF(Invoices!$Q44&gt;0,Invoices!$A44,"")</f>
        <v/>
      </c>
      <c r="B44" s="325">
        <f>IF($A44="","",Invoices!$C44)</f>
        <v/>
      </c>
      <c r="C44" s="325">
        <f>IF($A44="","",Invoices!$D44)</f>
        <v/>
      </c>
      <c r="D44" s="329">
        <f>IF($A44="","",Invoices!$B44)</f>
        <v/>
      </c>
      <c r="E44" s="329">
        <f>IF($A44="","",Invoices!$R44)</f>
        <v/>
      </c>
      <c r="F44" s="326">
        <f>IF($A44="","",Invoices!$L44)</f>
        <v/>
      </c>
      <c r="G44" s="326">
        <f>IF($A44="","",Invoices!$G44)</f>
        <v/>
      </c>
      <c r="H44" s="326">
        <f>IF($A44="","",Invoices!$Q44)</f>
        <v/>
      </c>
      <c r="I44" s="325">
        <f>IF($A44="","",Invoices!$S44)</f>
        <v/>
      </c>
      <c r="J44" s="325">
        <f>IF($A44="","",Invoices!$T44)</f>
        <v/>
      </c>
      <c r="K44" s="325">
        <f>IF($A44="","",Invoices!$U44)</f>
        <v/>
      </c>
      <c r="L44" s="325">
        <f>IF($A44="","",IF($K44="Current","Monitor",IF($K44="1-30","Follow Up",IF($K44="31-60","Escalate",IF($K44="61-90","Urgent",IF($K44="90+","Immediate Action","Monitor"))))))</f>
        <v/>
      </c>
      <c r="M44" s="354">
        <f>IF($A44="","",LOWER($A44&amp;" "&amp;$B44&amp;" "&amp;$C44&amp;" "&amp;$K44&amp;" "&amp;$L44))</f>
        <v/>
      </c>
    </row>
    <row r="45">
      <c r="A45" s="353">
        <f>IF(Invoices!$Q45&gt;0,Invoices!$A45,"")</f>
        <v/>
      </c>
      <c r="B45" s="325">
        <f>IF($A45="","",Invoices!$C45)</f>
        <v/>
      </c>
      <c r="C45" s="325">
        <f>IF($A45="","",Invoices!$D45)</f>
        <v/>
      </c>
      <c r="D45" s="329">
        <f>IF($A45="","",Invoices!$B45)</f>
        <v/>
      </c>
      <c r="E45" s="329">
        <f>IF($A45="","",Invoices!$R45)</f>
        <v/>
      </c>
      <c r="F45" s="326">
        <f>IF($A45="","",Invoices!$L45)</f>
        <v/>
      </c>
      <c r="G45" s="326">
        <f>IF($A45="","",Invoices!$G45)</f>
        <v/>
      </c>
      <c r="H45" s="326">
        <f>IF($A45="","",Invoices!$Q45)</f>
        <v/>
      </c>
      <c r="I45" s="325">
        <f>IF($A45="","",Invoices!$S45)</f>
        <v/>
      </c>
      <c r="J45" s="325">
        <f>IF($A45="","",Invoices!$T45)</f>
        <v/>
      </c>
      <c r="K45" s="325">
        <f>IF($A45="","",Invoices!$U45)</f>
        <v/>
      </c>
      <c r="L45" s="325">
        <f>IF($A45="","",IF($K45="Current","Monitor",IF($K45="1-30","Follow Up",IF($K45="31-60","Escalate",IF($K45="61-90","Urgent",IF($K45="90+","Immediate Action","Monitor"))))))</f>
        <v/>
      </c>
      <c r="M45" s="354">
        <f>IF($A45="","",LOWER($A45&amp;" "&amp;$B45&amp;" "&amp;$C45&amp;" "&amp;$K45&amp;" "&amp;$L45))</f>
        <v/>
      </c>
    </row>
    <row r="46">
      <c r="A46" s="353">
        <f>IF(Invoices!$Q46&gt;0,Invoices!$A46,"")</f>
        <v/>
      </c>
      <c r="B46" s="325">
        <f>IF($A46="","",Invoices!$C46)</f>
        <v/>
      </c>
      <c r="C46" s="325">
        <f>IF($A46="","",Invoices!$D46)</f>
        <v/>
      </c>
      <c r="D46" s="329">
        <f>IF($A46="","",Invoices!$B46)</f>
        <v/>
      </c>
      <c r="E46" s="329">
        <f>IF($A46="","",Invoices!$R46)</f>
        <v/>
      </c>
      <c r="F46" s="326">
        <f>IF($A46="","",Invoices!$L46)</f>
        <v/>
      </c>
      <c r="G46" s="326">
        <f>IF($A46="","",Invoices!$G46)</f>
        <v/>
      </c>
      <c r="H46" s="326">
        <f>IF($A46="","",Invoices!$Q46)</f>
        <v/>
      </c>
      <c r="I46" s="325">
        <f>IF($A46="","",Invoices!$S46)</f>
        <v/>
      </c>
      <c r="J46" s="325">
        <f>IF($A46="","",Invoices!$T46)</f>
        <v/>
      </c>
      <c r="K46" s="325">
        <f>IF($A46="","",Invoices!$U46)</f>
        <v/>
      </c>
      <c r="L46" s="325">
        <f>IF($A46="","",IF($K46="Current","Monitor",IF($K46="1-30","Follow Up",IF($K46="31-60","Escalate",IF($K46="61-90","Urgent",IF($K46="90+","Immediate Action","Monitor"))))))</f>
        <v/>
      </c>
      <c r="M46" s="354">
        <f>IF($A46="","",LOWER($A46&amp;" "&amp;$B46&amp;" "&amp;$C46&amp;" "&amp;$K46&amp;" "&amp;$L46))</f>
        <v/>
      </c>
    </row>
    <row r="47">
      <c r="A47" s="353">
        <f>IF(Invoices!$Q47&gt;0,Invoices!$A47,"")</f>
        <v/>
      </c>
      <c r="B47" s="325">
        <f>IF($A47="","",Invoices!$C47)</f>
        <v/>
      </c>
      <c r="C47" s="325">
        <f>IF($A47="","",Invoices!$D47)</f>
        <v/>
      </c>
      <c r="D47" s="329">
        <f>IF($A47="","",Invoices!$B47)</f>
        <v/>
      </c>
      <c r="E47" s="329">
        <f>IF($A47="","",Invoices!$R47)</f>
        <v/>
      </c>
      <c r="F47" s="326">
        <f>IF($A47="","",Invoices!$L47)</f>
        <v/>
      </c>
      <c r="G47" s="326">
        <f>IF($A47="","",Invoices!$G47)</f>
        <v/>
      </c>
      <c r="H47" s="326">
        <f>IF($A47="","",Invoices!$Q47)</f>
        <v/>
      </c>
      <c r="I47" s="325">
        <f>IF($A47="","",Invoices!$S47)</f>
        <v/>
      </c>
      <c r="J47" s="325">
        <f>IF($A47="","",Invoices!$T47)</f>
        <v/>
      </c>
      <c r="K47" s="325">
        <f>IF($A47="","",Invoices!$U47)</f>
        <v/>
      </c>
      <c r="L47" s="325">
        <f>IF($A47="","",IF($K47="Current","Monitor",IF($K47="1-30","Follow Up",IF($K47="31-60","Escalate",IF($K47="61-90","Urgent",IF($K47="90+","Immediate Action","Monitor"))))))</f>
        <v/>
      </c>
      <c r="M47" s="354">
        <f>IF($A47="","",LOWER($A47&amp;" "&amp;$B47&amp;" "&amp;$C47&amp;" "&amp;$K47&amp;" "&amp;$L47))</f>
        <v/>
      </c>
    </row>
    <row r="48">
      <c r="A48" s="353">
        <f>IF(Invoices!$Q48&gt;0,Invoices!$A48,"")</f>
        <v/>
      </c>
      <c r="B48" s="325">
        <f>IF($A48="","",Invoices!$C48)</f>
        <v/>
      </c>
      <c r="C48" s="325">
        <f>IF($A48="","",Invoices!$D48)</f>
        <v/>
      </c>
      <c r="D48" s="329">
        <f>IF($A48="","",Invoices!$B48)</f>
        <v/>
      </c>
      <c r="E48" s="329">
        <f>IF($A48="","",Invoices!$R48)</f>
        <v/>
      </c>
      <c r="F48" s="326">
        <f>IF($A48="","",Invoices!$L48)</f>
        <v/>
      </c>
      <c r="G48" s="326">
        <f>IF($A48="","",Invoices!$G48)</f>
        <v/>
      </c>
      <c r="H48" s="326">
        <f>IF($A48="","",Invoices!$Q48)</f>
        <v/>
      </c>
      <c r="I48" s="325">
        <f>IF($A48="","",Invoices!$S48)</f>
        <v/>
      </c>
      <c r="J48" s="325">
        <f>IF($A48="","",Invoices!$T48)</f>
        <v/>
      </c>
      <c r="K48" s="325">
        <f>IF($A48="","",Invoices!$U48)</f>
        <v/>
      </c>
      <c r="L48" s="325">
        <f>IF($A48="","",IF($K48="Current","Monitor",IF($K48="1-30","Follow Up",IF($K48="31-60","Escalate",IF($K48="61-90","Urgent",IF($K48="90+","Immediate Action","Monitor"))))))</f>
        <v/>
      </c>
      <c r="M48" s="354">
        <f>IF($A48="","",LOWER($A48&amp;" "&amp;$B48&amp;" "&amp;$C48&amp;" "&amp;$K48&amp;" "&amp;$L48))</f>
        <v/>
      </c>
    </row>
    <row r="49">
      <c r="A49" s="353">
        <f>IF(Invoices!$Q49&gt;0,Invoices!$A49,"")</f>
        <v/>
      </c>
      <c r="B49" s="325">
        <f>IF($A49="","",Invoices!$C49)</f>
        <v/>
      </c>
      <c r="C49" s="325">
        <f>IF($A49="","",Invoices!$D49)</f>
        <v/>
      </c>
      <c r="D49" s="329">
        <f>IF($A49="","",Invoices!$B49)</f>
        <v/>
      </c>
      <c r="E49" s="329">
        <f>IF($A49="","",Invoices!$R49)</f>
        <v/>
      </c>
      <c r="F49" s="326">
        <f>IF($A49="","",Invoices!$L49)</f>
        <v/>
      </c>
      <c r="G49" s="326">
        <f>IF($A49="","",Invoices!$G49)</f>
        <v/>
      </c>
      <c r="H49" s="326">
        <f>IF($A49="","",Invoices!$Q49)</f>
        <v/>
      </c>
      <c r="I49" s="325">
        <f>IF($A49="","",Invoices!$S49)</f>
        <v/>
      </c>
      <c r="J49" s="325">
        <f>IF($A49="","",Invoices!$T49)</f>
        <v/>
      </c>
      <c r="K49" s="325">
        <f>IF($A49="","",Invoices!$U49)</f>
        <v/>
      </c>
      <c r="L49" s="325">
        <f>IF($A49="","",IF($K49="Current","Monitor",IF($K49="1-30","Follow Up",IF($K49="31-60","Escalate",IF($K49="61-90","Urgent",IF($K49="90+","Immediate Action","Monitor"))))))</f>
        <v/>
      </c>
      <c r="M49" s="354">
        <f>IF($A49="","",LOWER($A49&amp;" "&amp;$B49&amp;" "&amp;$C49&amp;" "&amp;$K49&amp;" "&amp;$L49))</f>
        <v/>
      </c>
    </row>
    <row r="50">
      <c r="A50" s="353">
        <f>IF(Invoices!$Q50&gt;0,Invoices!$A50,"")</f>
        <v/>
      </c>
      <c r="B50" s="325">
        <f>IF($A50="","",Invoices!$C50)</f>
        <v/>
      </c>
      <c r="C50" s="325">
        <f>IF($A50="","",Invoices!$D50)</f>
        <v/>
      </c>
      <c r="D50" s="329">
        <f>IF($A50="","",Invoices!$B50)</f>
        <v/>
      </c>
      <c r="E50" s="329">
        <f>IF($A50="","",Invoices!$R50)</f>
        <v/>
      </c>
      <c r="F50" s="326">
        <f>IF($A50="","",Invoices!$L50)</f>
        <v/>
      </c>
      <c r="G50" s="326">
        <f>IF($A50="","",Invoices!$G50)</f>
        <v/>
      </c>
      <c r="H50" s="326">
        <f>IF($A50="","",Invoices!$Q50)</f>
        <v/>
      </c>
      <c r="I50" s="325">
        <f>IF($A50="","",Invoices!$S50)</f>
        <v/>
      </c>
      <c r="J50" s="325">
        <f>IF($A50="","",Invoices!$T50)</f>
        <v/>
      </c>
      <c r="K50" s="325">
        <f>IF($A50="","",Invoices!$U50)</f>
        <v/>
      </c>
      <c r="L50" s="325">
        <f>IF($A50="","",IF($K50="Current","Monitor",IF($K50="1-30","Follow Up",IF($K50="31-60","Escalate",IF($K50="61-90","Urgent",IF($K50="90+","Immediate Action","Monitor"))))))</f>
        <v/>
      </c>
      <c r="M50" s="354">
        <f>IF($A50="","",LOWER($A50&amp;" "&amp;$B50&amp;" "&amp;$C50&amp;" "&amp;$K50&amp;" "&amp;$L50))</f>
        <v/>
      </c>
    </row>
    <row r="51">
      <c r="A51" s="353">
        <f>IF(Invoices!$Q51&gt;0,Invoices!$A51,"")</f>
        <v/>
      </c>
      <c r="B51" s="325">
        <f>IF($A51="","",Invoices!$C51)</f>
        <v/>
      </c>
      <c r="C51" s="325">
        <f>IF($A51="","",Invoices!$D51)</f>
        <v/>
      </c>
      <c r="D51" s="329">
        <f>IF($A51="","",Invoices!$B51)</f>
        <v/>
      </c>
      <c r="E51" s="329">
        <f>IF($A51="","",Invoices!$R51)</f>
        <v/>
      </c>
      <c r="F51" s="326">
        <f>IF($A51="","",Invoices!$L51)</f>
        <v/>
      </c>
      <c r="G51" s="326">
        <f>IF($A51="","",Invoices!$G51)</f>
        <v/>
      </c>
      <c r="H51" s="326">
        <f>IF($A51="","",Invoices!$Q51)</f>
        <v/>
      </c>
      <c r="I51" s="325">
        <f>IF($A51="","",Invoices!$S51)</f>
        <v/>
      </c>
      <c r="J51" s="325">
        <f>IF($A51="","",Invoices!$T51)</f>
        <v/>
      </c>
      <c r="K51" s="325">
        <f>IF($A51="","",Invoices!$U51)</f>
        <v/>
      </c>
      <c r="L51" s="325">
        <f>IF($A51="","",IF($K51="Current","Monitor",IF($K51="1-30","Follow Up",IF($K51="31-60","Escalate",IF($K51="61-90","Urgent",IF($K51="90+","Immediate Action","Monitor"))))))</f>
        <v/>
      </c>
      <c r="M51" s="354">
        <f>IF($A51="","",LOWER($A51&amp;" "&amp;$B51&amp;" "&amp;$C51&amp;" "&amp;$K51&amp;" "&amp;$L51))</f>
        <v/>
      </c>
    </row>
    <row r="52">
      <c r="A52" s="353">
        <f>IF(Invoices!$Q52&gt;0,Invoices!$A52,"")</f>
        <v/>
      </c>
      <c r="B52" s="325">
        <f>IF($A52="","",Invoices!$C52)</f>
        <v/>
      </c>
      <c r="C52" s="325">
        <f>IF($A52="","",Invoices!$D52)</f>
        <v/>
      </c>
      <c r="D52" s="329">
        <f>IF($A52="","",Invoices!$B52)</f>
        <v/>
      </c>
      <c r="E52" s="329">
        <f>IF($A52="","",Invoices!$R52)</f>
        <v/>
      </c>
      <c r="F52" s="326">
        <f>IF($A52="","",Invoices!$L52)</f>
        <v/>
      </c>
      <c r="G52" s="326">
        <f>IF($A52="","",Invoices!$G52)</f>
        <v/>
      </c>
      <c r="H52" s="326">
        <f>IF($A52="","",Invoices!$Q52)</f>
        <v/>
      </c>
      <c r="I52" s="325">
        <f>IF($A52="","",Invoices!$S52)</f>
        <v/>
      </c>
      <c r="J52" s="325">
        <f>IF($A52="","",Invoices!$T52)</f>
        <v/>
      </c>
      <c r="K52" s="325">
        <f>IF($A52="","",Invoices!$U52)</f>
        <v/>
      </c>
      <c r="L52" s="325">
        <f>IF($A52="","",IF($K52="Current","Monitor",IF($K52="1-30","Follow Up",IF($K52="31-60","Escalate",IF($K52="61-90","Urgent",IF($K52="90+","Immediate Action","Monitor"))))))</f>
        <v/>
      </c>
      <c r="M52" s="354">
        <f>IF($A52="","",LOWER($A52&amp;" "&amp;$B52&amp;" "&amp;$C52&amp;" "&amp;$K52&amp;" "&amp;$L52))</f>
        <v/>
      </c>
    </row>
    <row r="53">
      <c r="A53" s="353">
        <f>IF(Invoices!$Q53&gt;0,Invoices!$A53,"")</f>
        <v/>
      </c>
      <c r="B53" s="325">
        <f>IF($A53="","",Invoices!$C53)</f>
        <v/>
      </c>
      <c r="C53" s="325">
        <f>IF($A53="","",Invoices!$D53)</f>
        <v/>
      </c>
      <c r="D53" s="329">
        <f>IF($A53="","",Invoices!$B53)</f>
        <v/>
      </c>
      <c r="E53" s="329">
        <f>IF($A53="","",Invoices!$R53)</f>
        <v/>
      </c>
      <c r="F53" s="326">
        <f>IF($A53="","",Invoices!$L53)</f>
        <v/>
      </c>
      <c r="G53" s="326">
        <f>IF($A53="","",Invoices!$G53)</f>
        <v/>
      </c>
      <c r="H53" s="326">
        <f>IF($A53="","",Invoices!$Q53)</f>
        <v/>
      </c>
      <c r="I53" s="325">
        <f>IF($A53="","",Invoices!$S53)</f>
        <v/>
      </c>
      <c r="J53" s="325">
        <f>IF($A53="","",Invoices!$T53)</f>
        <v/>
      </c>
      <c r="K53" s="325">
        <f>IF($A53="","",Invoices!$U53)</f>
        <v/>
      </c>
      <c r="L53" s="325">
        <f>IF($A53="","",IF($K53="Current","Monitor",IF($K53="1-30","Follow Up",IF($K53="31-60","Escalate",IF($K53="61-90","Urgent",IF($K53="90+","Immediate Action","Monitor"))))))</f>
        <v/>
      </c>
      <c r="M53" s="354">
        <f>IF($A53="","",LOWER($A53&amp;" "&amp;$B53&amp;" "&amp;$C53&amp;" "&amp;$K53&amp;" "&amp;$L53))</f>
        <v/>
      </c>
    </row>
    <row r="54">
      <c r="A54" s="353">
        <f>IF(Invoices!$Q54&gt;0,Invoices!$A54,"")</f>
        <v/>
      </c>
      <c r="B54" s="325">
        <f>IF($A54="","",Invoices!$C54)</f>
        <v/>
      </c>
      <c r="C54" s="325">
        <f>IF($A54="","",Invoices!$D54)</f>
        <v/>
      </c>
      <c r="D54" s="329">
        <f>IF($A54="","",Invoices!$B54)</f>
        <v/>
      </c>
      <c r="E54" s="329">
        <f>IF($A54="","",Invoices!$R54)</f>
        <v/>
      </c>
      <c r="F54" s="326">
        <f>IF($A54="","",Invoices!$L54)</f>
        <v/>
      </c>
      <c r="G54" s="326">
        <f>IF($A54="","",Invoices!$G54)</f>
        <v/>
      </c>
      <c r="H54" s="326">
        <f>IF($A54="","",Invoices!$Q54)</f>
        <v/>
      </c>
      <c r="I54" s="325">
        <f>IF($A54="","",Invoices!$S54)</f>
        <v/>
      </c>
      <c r="J54" s="325">
        <f>IF($A54="","",Invoices!$T54)</f>
        <v/>
      </c>
      <c r="K54" s="325">
        <f>IF($A54="","",Invoices!$U54)</f>
        <v/>
      </c>
      <c r="L54" s="325">
        <f>IF($A54="","",IF($K54="Current","Monitor",IF($K54="1-30","Follow Up",IF($K54="31-60","Escalate",IF($K54="61-90","Urgent",IF($K54="90+","Immediate Action","Monitor"))))))</f>
        <v/>
      </c>
      <c r="M54" s="354">
        <f>IF($A54="","",LOWER($A54&amp;" "&amp;$B54&amp;" "&amp;$C54&amp;" "&amp;$K54&amp;" "&amp;$L54))</f>
        <v/>
      </c>
    </row>
    <row r="55">
      <c r="A55" s="353">
        <f>IF(Invoices!$Q55&gt;0,Invoices!$A55,"")</f>
        <v/>
      </c>
      <c r="B55" s="325">
        <f>IF($A55="","",Invoices!$C55)</f>
        <v/>
      </c>
      <c r="C55" s="325">
        <f>IF($A55="","",Invoices!$D55)</f>
        <v/>
      </c>
      <c r="D55" s="329">
        <f>IF($A55="","",Invoices!$B55)</f>
        <v/>
      </c>
      <c r="E55" s="329">
        <f>IF($A55="","",Invoices!$R55)</f>
        <v/>
      </c>
      <c r="F55" s="326">
        <f>IF($A55="","",Invoices!$L55)</f>
        <v/>
      </c>
      <c r="G55" s="326">
        <f>IF($A55="","",Invoices!$G55)</f>
        <v/>
      </c>
      <c r="H55" s="326">
        <f>IF($A55="","",Invoices!$Q55)</f>
        <v/>
      </c>
      <c r="I55" s="325">
        <f>IF($A55="","",Invoices!$S55)</f>
        <v/>
      </c>
      <c r="J55" s="325">
        <f>IF($A55="","",Invoices!$T55)</f>
        <v/>
      </c>
      <c r="K55" s="325">
        <f>IF($A55="","",Invoices!$U55)</f>
        <v/>
      </c>
      <c r="L55" s="325">
        <f>IF($A55="","",IF($K55="Current","Monitor",IF($K55="1-30","Follow Up",IF($K55="31-60","Escalate",IF($K55="61-90","Urgent",IF($K55="90+","Immediate Action","Monitor"))))))</f>
        <v/>
      </c>
      <c r="M55" s="354">
        <f>IF($A55="","",LOWER($A55&amp;" "&amp;$B55&amp;" "&amp;$C55&amp;" "&amp;$K55&amp;" "&amp;$L55))</f>
        <v/>
      </c>
    </row>
    <row r="56">
      <c r="A56" s="353">
        <f>IF(Invoices!$Q56&gt;0,Invoices!$A56,"")</f>
        <v/>
      </c>
      <c r="B56" s="325">
        <f>IF($A56="","",Invoices!$C56)</f>
        <v/>
      </c>
      <c r="C56" s="325">
        <f>IF($A56="","",Invoices!$D56)</f>
        <v/>
      </c>
      <c r="D56" s="329">
        <f>IF($A56="","",Invoices!$B56)</f>
        <v/>
      </c>
      <c r="E56" s="329">
        <f>IF($A56="","",Invoices!$R56)</f>
        <v/>
      </c>
      <c r="F56" s="326">
        <f>IF($A56="","",Invoices!$L56)</f>
        <v/>
      </c>
      <c r="G56" s="326">
        <f>IF($A56="","",Invoices!$G56)</f>
        <v/>
      </c>
      <c r="H56" s="326">
        <f>IF($A56="","",Invoices!$Q56)</f>
        <v/>
      </c>
      <c r="I56" s="325">
        <f>IF($A56="","",Invoices!$S56)</f>
        <v/>
      </c>
      <c r="J56" s="325">
        <f>IF($A56="","",Invoices!$T56)</f>
        <v/>
      </c>
      <c r="K56" s="325">
        <f>IF($A56="","",Invoices!$U56)</f>
        <v/>
      </c>
      <c r="L56" s="325">
        <f>IF($A56="","",IF($K56="Current","Monitor",IF($K56="1-30","Follow Up",IF($K56="31-60","Escalate",IF($K56="61-90","Urgent",IF($K56="90+","Immediate Action","Monitor"))))))</f>
        <v/>
      </c>
      <c r="M56" s="354">
        <f>IF($A56="","",LOWER($A56&amp;" "&amp;$B56&amp;" "&amp;$C56&amp;" "&amp;$K56&amp;" "&amp;$L56))</f>
        <v/>
      </c>
    </row>
    <row r="57">
      <c r="A57" s="353">
        <f>IF(Invoices!$Q57&gt;0,Invoices!$A57,"")</f>
        <v/>
      </c>
      <c r="B57" s="325">
        <f>IF($A57="","",Invoices!$C57)</f>
        <v/>
      </c>
      <c r="C57" s="325">
        <f>IF($A57="","",Invoices!$D57)</f>
        <v/>
      </c>
      <c r="D57" s="329">
        <f>IF($A57="","",Invoices!$B57)</f>
        <v/>
      </c>
      <c r="E57" s="329">
        <f>IF($A57="","",Invoices!$R57)</f>
        <v/>
      </c>
      <c r="F57" s="326">
        <f>IF($A57="","",Invoices!$L57)</f>
        <v/>
      </c>
      <c r="G57" s="326">
        <f>IF($A57="","",Invoices!$G57)</f>
        <v/>
      </c>
      <c r="H57" s="326">
        <f>IF($A57="","",Invoices!$Q57)</f>
        <v/>
      </c>
      <c r="I57" s="325">
        <f>IF($A57="","",Invoices!$S57)</f>
        <v/>
      </c>
      <c r="J57" s="325">
        <f>IF($A57="","",Invoices!$T57)</f>
        <v/>
      </c>
      <c r="K57" s="325">
        <f>IF($A57="","",Invoices!$U57)</f>
        <v/>
      </c>
      <c r="L57" s="325">
        <f>IF($A57="","",IF($K57="Current","Monitor",IF($K57="1-30","Follow Up",IF($K57="31-60","Escalate",IF($K57="61-90","Urgent",IF($K57="90+","Immediate Action","Monitor"))))))</f>
        <v/>
      </c>
      <c r="M57" s="354">
        <f>IF($A57="","",LOWER($A57&amp;" "&amp;$B57&amp;" "&amp;$C57&amp;" "&amp;$K57&amp;" "&amp;$L57))</f>
        <v/>
      </c>
    </row>
    <row r="58">
      <c r="A58" s="353">
        <f>IF(Invoices!$Q58&gt;0,Invoices!$A58,"")</f>
        <v/>
      </c>
      <c r="B58" s="325">
        <f>IF($A58="","",Invoices!$C58)</f>
        <v/>
      </c>
      <c r="C58" s="325">
        <f>IF($A58="","",Invoices!$D58)</f>
        <v/>
      </c>
      <c r="D58" s="329">
        <f>IF($A58="","",Invoices!$B58)</f>
        <v/>
      </c>
      <c r="E58" s="329">
        <f>IF($A58="","",Invoices!$R58)</f>
        <v/>
      </c>
      <c r="F58" s="326">
        <f>IF($A58="","",Invoices!$L58)</f>
        <v/>
      </c>
      <c r="G58" s="326">
        <f>IF($A58="","",Invoices!$G58)</f>
        <v/>
      </c>
      <c r="H58" s="326">
        <f>IF($A58="","",Invoices!$Q58)</f>
        <v/>
      </c>
      <c r="I58" s="325">
        <f>IF($A58="","",Invoices!$S58)</f>
        <v/>
      </c>
      <c r="J58" s="325">
        <f>IF($A58="","",Invoices!$T58)</f>
        <v/>
      </c>
      <c r="K58" s="325">
        <f>IF($A58="","",Invoices!$U58)</f>
        <v/>
      </c>
      <c r="L58" s="325">
        <f>IF($A58="","",IF($K58="Current","Monitor",IF($K58="1-30","Follow Up",IF($K58="31-60","Escalate",IF($K58="61-90","Urgent",IF($K58="90+","Immediate Action","Monitor"))))))</f>
        <v/>
      </c>
      <c r="M58" s="354">
        <f>IF($A58="","",LOWER($A58&amp;" "&amp;$B58&amp;" "&amp;$C58&amp;" "&amp;$K58&amp;" "&amp;$L58))</f>
        <v/>
      </c>
    </row>
    <row r="59">
      <c r="A59" s="353">
        <f>IF(Invoices!$Q59&gt;0,Invoices!$A59,"")</f>
        <v/>
      </c>
      <c r="B59" s="325">
        <f>IF($A59="","",Invoices!$C59)</f>
        <v/>
      </c>
      <c r="C59" s="325">
        <f>IF($A59="","",Invoices!$D59)</f>
        <v/>
      </c>
      <c r="D59" s="329">
        <f>IF($A59="","",Invoices!$B59)</f>
        <v/>
      </c>
      <c r="E59" s="329">
        <f>IF($A59="","",Invoices!$R59)</f>
        <v/>
      </c>
      <c r="F59" s="326">
        <f>IF($A59="","",Invoices!$L59)</f>
        <v/>
      </c>
      <c r="G59" s="326">
        <f>IF($A59="","",Invoices!$G59)</f>
        <v/>
      </c>
      <c r="H59" s="326">
        <f>IF($A59="","",Invoices!$Q59)</f>
        <v/>
      </c>
      <c r="I59" s="325">
        <f>IF($A59="","",Invoices!$S59)</f>
        <v/>
      </c>
      <c r="J59" s="325">
        <f>IF($A59="","",Invoices!$T59)</f>
        <v/>
      </c>
      <c r="K59" s="325">
        <f>IF($A59="","",Invoices!$U59)</f>
        <v/>
      </c>
      <c r="L59" s="325">
        <f>IF($A59="","",IF($K59="Current","Monitor",IF($K59="1-30","Follow Up",IF($K59="31-60","Escalate",IF($K59="61-90","Urgent",IF($K59="90+","Immediate Action","Monitor"))))))</f>
        <v/>
      </c>
      <c r="M59" s="354">
        <f>IF($A59="","",LOWER($A59&amp;" "&amp;$B59&amp;" "&amp;$C59&amp;" "&amp;$K59&amp;" "&amp;$L59))</f>
        <v/>
      </c>
    </row>
    <row r="60">
      <c r="A60" s="353">
        <f>IF(Invoices!$Q60&gt;0,Invoices!$A60,"")</f>
        <v/>
      </c>
      <c r="B60" s="325">
        <f>IF($A60="","",Invoices!$C60)</f>
        <v/>
      </c>
      <c r="C60" s="325">
        <f>IF($A60="","",Invoices!$D60)</f>
        <v/>
      </c>
      <c r="D60" s="329">
        <f>IF($A60="","",Invoices!$B60)</f>
        <v/>
      </c>
      <c r="E60" s="329">
        <f>IF($A60="","",Invoices!$R60)</f>
        <v/>
      </c>
      <c r="F60" s="326">
        <f>IF($A60="","",Invoices!$L60)</f>
        <v/>
      </c>
      <c r="G60" s="326">
        <f>IF($A60="","",Invoices!$G60)</f>
        <v/>
      </c>
      <c r="H60" s="326">
        <f>IF($A60="","",Invoices!$Q60)</f>
        <v/>
      </c>
      <c r="I60" s="325">
        <f>IF($A60="","",Invoices!$S60)</f>
        <v/>
      </c>
      <c r="J60" s="325">
        <f>IF($A60="","",Invoices!$T60)</f>
        <v/>
      </c>
      <c r="K60" s="325">
        <f>IF($A60="","",Invoices!$U60)</f>
        <v/>
      </c>
      <c r="L60" s="325">
        <f>IF($A60="","",IF($K60="Current","Monitor",IF($K60="1-30","Follow Up",IF($K60="31-60","Escalate",IF($K60="61-90","Urgent",IF($K60="90+","Immediate Action","Monitor"))))))</f>
        <v/>
      </c>
      <c r="M60" s="354">
        <f>IF($A60="","",LOWER($A60&amp;" "&amp;$B60&amp;" "&amp;$C60&amp;" "&amp;$K60&amp;" "&amp;$L60))</f>
        <v/>
      </c>
    </row>
    <row r="61">
      <c r="A61" s="353">
        <f>IF(Invoices!$Q61&gt;0,Invoices!$A61,"")</f>
        <v/>
      </c>
      <c r="B61" s="325">
        <f>IF($A61="","",Invoices!$C61)</f>
        <v/>
      </c>
      <c r="C61" s="325">
        <f>IF($A61="","",Invoices!$D61)</f>
        <v/>
      </c>
      <c r="D61" s="329">
        <f>IF($A61="","",Invoices!$B61)</f>
        <v/>
      </c>
      <c r="E61" s="329">
        <f>IF($A61="","",Invoices!$R61)</f>
        <v/>
      </c>
      <c r="F61" s="326">
        <f>IF($A61="","",Invoices!$L61)</f>
        <v/>
      </c>
      <c r="G61" s="326">
        <f>IF($A61="","",Invoices!$G61)</f>
        <v/>
      </c>
      <c r="H61" s="326">
        <f>IF($A61="","",Invoices!$Q61)</f>
        <v/>
      </c>
      <c r="I61" s="325">
        <f>IF($A61="","",Invoices!$S61)</f>
        <v/>
      </c>
      <c r="J61" s="325">
        <f>IF($A61="","",Invoices!$T61)</f>
        <v/>
      </c>
      <c r="K61" s="325">
        <f>IF($A61="","",Invoices!$U61)</f>
        <v/>
      </c>
      <c r="L61" s="325">
        <f>IF($A61="","",IF($K61="Current","Monitor",IF($K61="1-30","Follow Up",IF($K61="31-60","Escalate",IF($K61="61-90","Urgent",IF($K61="90+","Immediate Action","Monitor"))))))</f>
        <v/>
      </c>
      <c r="M61" s="354">
        <f>IF($A61="","",LOWER($A61&amp;" "&amp;$B61&amp;" "&amp;$C61&amp;" "&amp;$K61&amp;" "&amp;$L61))</f>
        <v/>
      </c>
    </row>
    <row r="62">
      <c r="A62" s="353">
        <f>IF(Invoices!$Q62&gt;0,Invoices!$A62,"")</f>
        <v/>
      </c>
      <c r="B62" s="325">
        <f>IF($A62="","",Invoices!$C62)</f>
        <v/>
      </c>
      <c r="C62" s="325">
        <f>IF($A62="","",Invoices!$D62)</f>
        <v/>
      </c>
      <c r="D62" s="329">
        <f>IF($A62="","",Invoices!$B62)</f>
        <v/>
      </c>
      <c r="E62" s="329">
        <f>IF($A62="","",Invoices!$R62)</f>
        <v/>
      </c>
      <c r="F62" s="326">
        <f>IF($A62="","",Invoices!$L62)</f>
        <v/>
      </c>
      <c r="G62" s="326">
        <f>IF($A62="","",Invoices!$G62)</f>
        <v/>
      </c>
      <c r="H62" s="326">
        <f>IF($A62="","",Invoices!$Q62)</f>
        <v/>
      </c>
      <c r="I62" s="325">
        <f>IF($A62="","",Invoices!$S62)</f>
        <v/>
      </c>
      <c r="J62" s="325">
        <f>IF($A62="","",Invoices!$T62)</f>
        <v/>
      </c>
      <c r="K62" s="325">
        <f>IF($A62="","",Invoices!$U62)</f>
        <v/>
      </c>
      <c r="L62" s="325">
        <f>IF($A62="","",IF($K62="Current","Monitor",IF($K62="1-30","Follow Up",IF($K62="31-60","Escalate",IF($K62="61-90","Urgent",IF($K62="90+","Immediate Action","Monitor"))))))</f>
        <v/>
      </c>
      <c r="M62" s="354">
        <f>IF($A62="","",LOWER($A62&amp;" "&amp;$B62&amp;" "&amp;$C62&amp;" "&amp;$K62&amp;" "&amp;$L62))</f>
        <v/>
      </c>
    </row>
    <row r="63">
      <c r="A63" s="353">
        <f>IF(Invoices!$Q63&gt;0,Invoices!$A63,"")</f>
        <v/>
      </c>
      <c r="B63" s="325">
        <f>IF($A63="","",Invoices!$C63)</f>
        <v/>
      </c>
      <c r="C63" s="325">
        <f>IF($A63="","",Invoices!$D63)</f>
        <v/>
      </c>
      <c r="D63" s="329">
        <f>IF($A63="","",Invoices!$B63)</f>
        <v/>
      </c>
      <c r="E63" s="329">
        <f>IF($A63="","",Invoices!$R63)</f>
        <v/>
      </c>
      <c r="F63" s="326">
        <f>IF($A63="","",Invoices!$L63)</f>
        <v/>
      </c>
      <c r="G63" s="326">
        <f>IF($A63="","",Invoices!$G63)</f>
        <v/>
      </c>
      <c r="H63" s="326">
        <f>IF($A63="","",Invoices!$Q63)</f>
        <v/>
      </c>
      <c r="I63" s="325">
        <f>IF($A63="","",Invoices!$S63)</f>
        <v/>
      </c>
      <c r="J63" s="325">
        <f>IF($A63="","",Invoices!$T63)</f>
        <v/>
      </c>
      <c r="K63" s="325">
        <f>IF($A63="","",Invoices!$U63)</f>
        <v/>
      </c>
      <c r="L63" s="325">
        <f>IF($A63="","",IF($K63="Current","Monitor",IF($K63="1-30","Follow Up",IF($K63="31-60","Escalate",IF($K63="61-90","Urgent",IF($K63="90+","Immediate Action","Monitor"))))))</f>
        <v/>
      </c>
      <c r="M63" s="354">
        <f>IF($A63="","",LOWER($A63&amp;" "&amp;$B63&amp;" "&amp;$C63&amp;" "&amp;$K63&amp;" "&amp;$L63))</f>
        <v/>
      </c>
    </row>
    <row r="64">
      <c r="A64" s="353">
        <f>IF(Invoices!$Q64&gt;0,Invoices!$A64,"")</f>
        <v/>
      </c>
      <c r="B64" s="325">
        <f>IF($A64="","",Invoices!$C64)</f>
        <v/>
      </c>
      <c r="C64" s="325">
        <f>IF($A64="","",Invoices!$D64)</f>
        <v/>
      </c>
      <c r="D64" s="329">
        <f>IF($A64="","",Invoices!$B64)</f>
        <v/>
      </c>
      <c r="E64" s="329">
        <f>IF($A64="","",Invoices!$R64)</f>
        <v/>
      </c>
      <c r="F64" s="326">
        <f>IF($A64="","",Invoices!$L64)</f>
        <v/>
      </c>
      <c r="G64" s="326">
        <f>IF($A64="","",Invoices!$G64)</f>
        <v/>
      </c>
      <c r="H64" s="326">
        <f>IF($A64="","",Invoices!$Q64)</f>
        <v/>
      </c>
      <c r="I64" s="325">
        <f>IF($A64="","",Invoices!$S64)</f>
        <v/>
      </c>
      <c r="J64" s="325">
        <f>IF($A64="","",Invoices!$T64)</f>
        <v/>
      </c>
      <c r="K64" s="325">
        <f>IF($A64="","",Invoices!$U64)</f>
        <v/>
      </c>
      <c r="L64" s="325">
        <f>IF($A64="","",IF($K64="Current","Monitor",IF($K64="1-30","Follow Up",IF($K64="31-60","Escalate",IF($K64="61-90","Urgent",IF($K64="90+","Immediate Action","Monitor"))))))</f>
        <v/>
      </c>
      <c r="M64" s="354">
        <f>IF($A64="","",LOWER($A64&amp;" "&amp;$B64&amp;" "&amp;$C64&amp;" "&amp;$K64&amp;" "&amp;$L64))</f>
        <v/>
      </c>
    </row>
    <row r="65">
      <c r="A65" s="353">
        <f>IF(Invoices!$Q65&gt;0,Invoices!$A65,"")</f>
        <v/>
      </c>
      <c r="B65" s="325">
        <f>IF($A65="","",Invoices!$C65)</f>
        <v/>
      </c>
      <c r="C65" s="325">
        <f>IF($A65="","",Invoices!$D65)</f>
        <v/>
      </c>
      <c r="D65" s="329">
        <f>IF($A65="","",Invoices!$B65)</f>
        <v/>
      </c>
      <c r="E65" s="329">
        <f>IF($A65="","",Invoices!$R65)</f>
        <v/>
      </c>
      <c r="F65" s="326">
        <f>IF($A65="","",Invoices!$L65)</f>
        <v/>
      </c>
      <c r="G65" s="326">
        <f>IF($A65="","",Invoices!$G65)</f>
        <v/>
      </c>
      <c r="H65" s="326">
        <f>IF($A65="","",Invoices!$Q65)</f>
        <v/>
      </c>
      <c r="I65" s="325">
        <f>IF($A65="","",Invoices!$S65)</f>
        <v/>
      </c>
      <c r="J65" s="325">
        <f>IF($A65="","",Invoices!$T65)</f>
        <v/>
      </c>
      <c r="K65" s="325">
        <f>IF($A65="","",Invoices!$U65)</f>
        <v/>
      </c>
      <c r="L65" s="325">
        <f>IF($A65="","",IF($K65="Current","Monitor",IF($K65="1-30","Follow Up",IF($K65="31-60","Escalate",IF($K65="61-90","Urgent",IF($K65="90+","Immediate Action","Monitor"))))))</f>
        <v/>
      </c>
      <c r="M65" s="354">
        <f>IF($A65="","",LOWER($A65&amp;" "&amp;$B65&amp;" "&amp;$C65&amp;" "&amp;$K65&amp;" "&amp;$L65))</f>
        <v/>
      </c>
    </row>
    <row r="66">
      <c r="A66" s="353">
        <f>IF(Invoices!$Q66&gt;0,Invoices!$A66,"")</f>
        <v/>
      </c>
      <c r="B66" s="325">
        <f>IF($A66="","",Invoices!$C66)</f>
        <v/>
      </c>
      <c r="C66" s="325">
        <f>IF($A66="","",Invoices!$D66)</f>
        <v/>
      </c>
      <c r="D66" s="329">
        <f>IF($A66="","",Invoices!$B66)</f>
        <v/>
      </c>
      <c r="E66" s="329">
        <f>IF($A66="","",Invoices!$R66)</f>
        <v/>
      </c>
      <c r="F66" s="326">
        <f>IF($A66="","",Invoices!$L66)</f>
        <v/>
      </c>
      <c r="G66" s="326">
        <f>IF($A66="","",Invoices!$G66)</f>
        <v/>
      </c>
      <c r="H66" s="326">
        <f>IF($A66="","",Invoices!$Q66)</f>
        <v/>
      </c>
      <c r="I66" s="325">
        <f>IF($A66="","",Invoices!$S66)</f>
        <v/>
      </c>
      <c r="J66" s="325">
        <f>IF($A66="","",Invoices!$T66)</f>
        <v/>
      </c>
      <c r="K66" s="325">
        <f>IF($A66="","",Invoices!$U66)</f>
        <v/>
      </c>
      <c r="L66" s="325">
        <f>IF($A66="","",IF($K66="Current","Monitor",IF($K66="1-30","Follow Up",IF($K66="31-60","Escalate",IF($K66="61-90","Urgent",IF($K66="90+","Immediate Action","Monitor"))))))</f>
        <v/>
      </c>
      <c r="M66" s="354">
        <f>IF($A66="","",LOWER($A66&amp;" "&amp;$B66&amp;" "&amp;$C66&amp;" "&amp;$K66&amp;" "&amp;$L66))</f>
        <v/>
      </c>
    </row>
    <row r="67">
      <c r="A67" s="353">
        <f>IF(Invoices!$Q67&gt;0,Invoices!$A67,"")</f>
        <v/>
      </c>
      <c r="B67" s="325">
        <f>IF($A67="","",Invoices!$C67)</f>
        <v/>
      </c>
      <c r="C67" s="325">
        <f>IF($A67="","",Invoices!$D67)</f>
        <v/>
      </c>
      <c r="D67" s="329">
        <f>IF($A67="","",Invoices!$B67)</f>
        <v/>
      </c>
      <c r="E67" s="329">
        <f>IF($A67="","",Invoices!$R67)</f>
        <v/>
      </c>
      <c r="F67" s="326">
        <f>IF($A67="","",Invoices!$L67)</f>
        <v/>
      </c>
      <c r="G67" s="326">
        <f>IF($A67="","",Invoices!$G67)</f>
        <v/>
      </c>
      <c r="H67" s="326">
        <f>IF($A67="","",Invoices!$Q67)</f>
        <v/>
      </c>
      <c r="I67" s="325">
        <f>IF($A67="","",Invoices!$S67)</f>
        <v/>
      </c>
      <c r="J67" s="325">
        <f>IF($A67="","",Invoices!$T67)</f>
        <v/>
      </c>
      <c r="K67" s="325">
        <f>IF($A67="","",Invoices!$U67)</f>
        <v/>
      </c>
      <c r="L67" s="325">
        <f>IF($A67="","",IF($K67="Current","Monitor",IF($K67="1-30","Follow Up",IF($K67="31-60","Escalate",IF($K67="61-90","Urgent",IF($K67="90+","Immediate Action","Monitor"))))))</f>
        <v/>
      </c>
      <c r="M67" s="354">
        <f>IF($A67="","",LOWER($A67&amp;" "&amp;$B67&amp;" "&amp;$C67&amp;" "&amp;$K67&amp;" "&amp;$L67))</f>
        <v/>
      </c>
    </row>
    <row r="68">
      <c r="A68" s="353">
        <f>IF(Invoices!$Q68&gt;0,Invoices!$A68,"")</f>
        <v/>
      </c>
      <c r="B68" s="325">
        <f>IF($A68="","",Invoices!$C68)</f>
        <v/>
      </c>
      <c r="C68" s="325">
        <f>IF($A68="","",Invoices!$D68)</f>
        <v/>
      </c>
      <c r="D68" s="329">
        <f>IF($A68="","",Invoices!$B68)</f>
        <v/>
      </c>
      <c r="E68" s="329">
        <f>IF($A68="","",Invoices!$R68)</f>
        <v/>
      </c>
      <c r="F68" s="326">
        <f>IF($A68="","",Invoices!$L68)</f>
        <v/>
      </c>
      <c r="G68" s="326">
        <f>IF($A68="","",Invoices!$G68)</f>
        <v/>
      </c>
      <c r="H68" s="326">
        <f>IF($A68="","",Invoices!$Q68)</f>
        <v/>
      </c>
      <c r="I68" s="325">
        <f>IF($A68="","",Invoices!$S68)</f>
        <v/>
      </c>
      <c r="J68" s="325">
        <f>IF($A68="","",Invoices!$T68)</f>
        <v/>
      </c>
      <c r="K68" s="325">
        <f>IF($A68="","",Invoices!$U68)</f>
        <v/>
      </c>
      <c r="L68" s="325">
        <f>IF($A68="","",IF($K68="Current","Monitor",IF($K68="1-30","Follow Up",IF($K68="31-60","Escalate",IF($K68="61-90","Urgent",IF($K68="90+","Immediate Action","Monitor"))))))</f>
        <v/>
      </c>
      <c r="M68" s="354">
        <f>IF($A68="","",LOWER($A68&amp;" "&amp;$B68&amp;" "&amp;$C68&amp;" "&amp;$K68&amp;" "&amp;$L68))</f>
        <v/>
      </c>
    </row>
    <row r="69">
      <c r="A69" s="353">
        <f>IF(Invoices!$Q69&gt;0,Invoices!$A69,"")</f>
        <v/>
      </c>
      <c r="B69" s="325">
        <f>IF($A69="","",Invoices!$C69)</f>
        <v/>
      </c>
      <c r="C69" s="325">
        <f>IF($A69="","",Invoices!$D69)</f>
        <v/>
      </c>
      <c r="D69" s="329">
        <f>IF($A69="","",Invoices!$B69)</f>
        <v/>
      </c>
      <c r="E69" s="329">
        <f>IF($A69="","",Invoices!$R69)</f>
        <v/>
      </c>
      <c r="F69" s="326">
        <f>IF($A69="","",Invoices!$L69)</f>
        <v/>
      </c>
      <c r="G69" s="326">
        <f>IF($A69="","",Invoices!$G69)</f>
        <v/>
      </c>
      <c r="H69" s="326">
        <f>IF($A69="","",Invoices!$Q69)</f>
        <v/>
      </c>
      <c r="I69" s="325">
        <f>IF($A69="","",Invoices!$S69)</f>
        <v/>
      </c>
      <c r="J69" s="325">
        <f>IF($A69="","",Invoices!$T69)</f>
        <v/>
      </c>
      <c r="K69" s="325">
        <f>IF($A69="","",Invoices!$U69)</f>
        <v/>
      </c>
      <c r="L69" s="325">
        <f>IF($A69="","",IF($K69="Current","Monitor",IF($K69="1-30","Follow Up",IF($K69="31-60","Escalate",IF($K69="61-90","Urgent",IF($K69="90+","Immediate Action","Monitor"))))))</f>
        <v/>
      </c>
      <c r="M69" s="354">
        <f>IF($A69="","",LOWER($A69&amp;" "&amp;$B69&amp;" "&amp;$C69&amp;" "&amp;$K69&amp;" "&amp;$L69))</f>
        <v/>
      </c>
    </row>
    <row r="70">
      <c r="A70" s="353">
        <f>IF(Invoices!$Q70&gt;0,Invoices!$A70,"")</f>
        <v/>
      </c>
      <c r="B70" s="325">
        <f>IF($A70="","",Invoices!$C70)</f>
        <v/>
      </c>
      <c r="C70" s="325">
        <f>IF($A70="","",Invoices!$D70)</f>
        <v/>
      </c>
      <c r="D70" s="329">
        <f>IF($A70="","",Invoices!$B70)</f>
        <v/>
      </c>
      <c r="E70" s="329">
        <f>IF($A70="","",Invoices!$R70)</f>
        <v/>
      </c>
      <c r="F70" s="326">
        <f>IF($A70="","",Invoices!$L70)</f>
        <v/>
      </c>
      <c r="G70" s="326">
        <f>IF($A70="","",Invoices!$G70)</f>
        <v/>
      </c>
      <c r="H70" s="326">
        <f>IF($A70="","",Invoices!$Q70)</f>
        <v/>
      </c>
      <c r="I70" s="325">
        <f>IF($A70="","",Invoices!$S70)</f>
        <v/>
      </c>
      <c r="J70" s="325">
        <f>IF($A70="","",Invoices!$T70)</f>
        <v/>
      </c>
      <c r="K70" s="325">
        <f>IF($A70="","",Invoices!$U70)</f>
        <v/>
      </c>
      <c r="L70" s="325">
        <f>IF($A70="","",IF($K70="Current","Monitor",IF($K70="1-30","Follow Up",IF($K70="31-60","Escalate",IF($K70="61-90","Urgent",IF($K70="90+","Immediate Action","Monitor"))))))</f>
        <v/>
      </c>
      <c r="M70" s="354">
        <f>IF($A70="","",LOWER($A70&amp;" "&amp;$B70&amp;" "&amp;$C70&amp;" "&amp;$K70&amp;" "&amp;$L70))</f>
        <v/>
      </c>
    </row>
    <row r="71">
      <c r="A71" s="353">
        <f>IF(Invoices!$Q71&gt;0,Invoices!$A71,"")</f>
        <v/>
      </c>
      <c r="B71" s="325">
        <f>IF($A71="","",Invoices!$C71)</f>
        <v/>
      </c>
      <c r="C71" s="325">
        <f>IF($A71="","",Invoices!$D71)</f>
        <v/>
      </c>
      <c r="D71" s="329">
        <f>IF($A71="","",Invoices!$B71)</f>
        <v/>
      </c>
      <c r="E71" s="329">
        <f>IF($A71="","",Invoices!$R71)</f>
        <v/>
      </c>
      <c r="F71" s="326">
        <f>IF($A71="","",Invoices!$L71)</f>
        <v/>
      </c>
      <c r="G71" s="326">
        <f>IF($A71="","",Invoices!$G71)</f>
        <v/>
      </c>
      <c r="H71" s="326">
        <f>IF($A71="","",Invoices!$Q71)</f>
        <v/>
      </c>
      <c r="I71" s="325">
        <f>IF($A71="","",Invoices!$S71)</f>
        <v/>
      </c>
      <c r="J71" s="325">
        <f>IF($A71="","",Invoices!$T71)</f>
        <v/>
      </c>
      <c r="K71" s="325">
        <f>IF($A71="","",Invoices!$U71)</f>
        <v/>
      </c>
      <c r="L71" s="325">
        <f>IF($A71="","",IF($K71="Current","Monitor",IF($K71="1-30","Follow Up",IF($K71="31-60","Escalate",IF($K71="61-90","Urgent",IF($K71="90+","Immediate Action","Monitor"))))))</f>
        <v/>
      </c>
      <c r="M71" s="354">
        <f>IF($A71="","",LOWER($A71&amp;" "&amp;$B71&amp;" "&amp;$C71&amp;" "&amp;$K71&amp;" "&amp;$L71))</f>
        <v/>
      </c>
    </row>
    <row r="72">
      <c r="A72" s="353">
        <f>IF(Invoices!$Q72&gt;0,Invoices!$A72,"")</f>
        <v/>
      </c>
      <c r="B72" s="325">
        <f>IF($A72="","",Invoices!$C72)</f>
        <v/>
      </c>
      <c r="C72" s="325">
        <f>IF($A72="","",Invoices!$D72)</f>
        <v/>
      </c>
      <c r="D72" s="329">
        <f>IF($A72="","",Invoices!$B72)</f>
        <v/>
      </c>
      <c r="E72" s="329">
        <f>IF($A72="","",Invoices!$R72)</f>
        <v/>
      </c>
      <c r="F72" s="326">
        <f>IF($A72="","",Invoices!$L72)</f>
        <v/>
      </c>
      <c r="G72" s="326">
        <f>IF($A72="","",Invoices!$G72)</f>
        <v/>
      </c>
      <c r="H72" s="326">
        <f>IF($A72="","",Invoices!$Q72)</f>
        <v/>
      </c>
      <c r="I72" s="325">
        <f>IF($A72="","",Invoices!$S72)</f>
        <v/>
      </c>
      <c r="J72" s="325">
        <f>IF($A72="","",Invoices!$T72)</f>
        <v/>
      </c>
      <c r="K72" s="325">
        <f>IF($A72="","",Invoices!$U72)</f>
        <v/>
      </c>
      <c r="L72" s="325">
        <f>IF($A72="","",IF($K72="Current","Monitor",IF($K72="1-30","Follow Up",IF($K72="31-60","Escalate",IF($K72="61-90","Urgent",IF($K72="90+","Immediate Action","Monitor"))))))</f>
        <v/>
      </c>
      <c r="M72" s="354">
        <f>IF($A72="","",LOWER($A72&amp;" "&amp;$B72&amp;" "&amp;$C72&amp;" "&amp;$K72&amp;" "&amp;$L72))</f>
        <v/>
      </c>
    </row>
    <row r="73">
      <c r="A73" s="353">
        <f>IF(Invoices!$Q73&gt;0,Invoices!$A73,"")</f>
        <v/>
      </c>
      <c r="B73" s="325">
        <f>IF($A73="","",Invoices!$C73)</f>
        <v/>
      </c>
      <c r="C73" s="325">
        <f>IF($A73="","",Invoices!$D73)</f>
        <v/>
      </c>
      <c r="D73" s="329">
        <f>IF($A73="","",Invoices!$B73)</f>
        <v/>
      </c>
      <c r="E73" s="329">
        <f>IF($A73="","",Invoices!$R73)</f>
        <v/>
      </c>
      <c r="F73" s="326">
        <f>IF($A73="","",Invoices!$L73)</f>
        <v/>
      </c>
      <c r="G73" s="326">
        <f>IF($A73="","",Invoices!$G73)</f>
        <v/>
      </c>
      <c r="H73" s="326">
        <f>IF($A73="","",Invoices!$Q73)</f>
        <v/>
      </c>
      <c r="I73" s="325">
        <f>IF($A73="","",Invoices!$S73)</f>
        <v/>
      </c>
      <c r="J73" s="325">
        <f>IF($A73="","",Invoices!$T73)</f>
        <v/>
      </c>
      <c r="K73" s="325">
        <f>IF($A73="","",Invoices!$U73)</f>
        <v/>
      </c>
      <c r="L73" s="325">
        <f>IF($A73="","",IF($K73="Current","Monitor",IF($K73="1-30","Follow Up",IF($K73="31-60","Escalate",IF($K73="61-90","Urgent",IF($K73="90+","Immediate Action","Monitor"))))))</f>
        <v/>
      </c>
      <c r="M73" s="354">
        <f>IF($A73="","",LOWER($A73&amp;" "&amp;$B73&amp;" "&amp;$C73&amp;" "&amp;$K73&amp;" "&amp;$L73))</f>
        <v/>
      </c>
    </row>
    <row r="74">
      <c r="A74" s="353">
        <f>IF(Invoices!$Q74&gt;0,Invoices!$A74,"")</f>
        <v/>
      </c>
      <c r="B74" s="325">
        <f>IF($A74="","",Invoices!$C74)</f>
        <v/>
      </c>
      <c r="C74" s="325">
        <f>IF($A74="","",Invoices!$D74)</f>
        <v/>
      </c>
      <c r="D74" s="329">
        <f>IF($A74="","",Invoices!$B74)</f>
        <v/>
      </c>
      <c r="E74" s="329">
        <f>IF($A74="","",Invoices!$R74)</f>
        <v/>
      </c>
      <c r="F74" s="326">
        <f>IF($A74="","",Invoices!$L74)</f>
        <v/>
      </c>
      <c r="G74" s="326">
        <f>IF($A74="","",Invoices!$G74)</f>
        <v/>
      </c>
      <c r="H74" s="326">
        <f>IF($A74="","",Invoices!$Q74)</f>
        <v/>
      </c>
      <c r="I74" s="325">
        <f>IF($A74="","",Invoices!$S74)</f>
        <v/>
      </c>
      <c r="J74" s="325">
        <f>IF($A74="","",Invoices!$T74)</f>
        <v/>
      </c>
      <c r="K74" s="325">
        <f>IF($A74="","",Invoices!$U74)</f>
        <v/>
      </c>
      <c r="L74" s="325">
        <f>IF($A74="","",IF($K74="Current","Monitor",IF($K74="1-30","Follow Up",IF($K74="31-60","Escalate",IF($K74="61-90","Urgent",IF($K74="90+","Immediate Action","Monitor"))))))</f>
        <v/>
      </c>
      <c r="M74" s="354">
        <f>IF($A74="","",LOWER($A74&amp;" "&amp;$B74&amp;" "&amp;$C74&amp;" "&amp;$K74&amp;" "&amp;$L74))</f>
        <v/>
      </c>
    </row>
    <row r="75">
      <c r="A75" s="353">
        <f>IF(Invoices!$Q75&gt;0,Invoices!$A75,"")</f>
        <v/>
      </c>
      <c r="B75" s="325">
        <f>IF($A75="","",Invoices!$C75)</f>
        <v/>
      </c>
      <c r="C75" s="325">
        <f>IF($A75="","",Invoices!$D75)</f>
        <v/>
      </c>
      <c r="D75" s="329">
        <f>IF($A75="","",Invoices!$B75)</f>
        <v/>
      </c>
      <c r="E75" s="329">
        <f>IF($A75="","",Invoices!$R75)</f>
        <v/>
      </c>
      <c r="F75" s="326">
        <f>IF($A75="","",Invoices!$L75)</f>
        <v/>
      </c>
      <c r="G75" s="326">
        <f>IF($A75="","",Invoices!$G75)</f>
        <v/>
      </c>
      <c r="H75" s="326">
        <f>IF($A75="","",Invoices!$Q75)</f>
        <v/>
      </c>
      <c r="I75" s="325">
        <f>IF($A75="","",Invoices!$S75)</f>
        <v/>
      </c>
      <c r="J75" s="325">
        <f>IF($A75="","",Invoices!$T75)</f>
        <v/>
      </c>
      <c r="K75" s="325">
        <f>IF($A75="","",Invoices!$U75)</f>
        <v/>
      </c>
      <c r="L75" s="325">
        <f>IF($A75="","",IF($K75="Current","Monitor",IF($K75="1-30","Follow Up",IF($K75="31-60","Escalate",IF($K75="61-90","Urgent",IF($K75="90+","Immediate Action","Monitor"))))))</f>
        <v/>
      </c>
      <c r="M75" s="354">
        <f>IF($A75="","",LOWER($A75&amp;" "&amp;$B75&amp;" "&amp;$C75&amp;" "&amp;$K75&amp;" "&amp;$L75))</f>
        <v/>
      </c>
    </row>
    <row r="76">
      <c r="A76" s="353">
        <f>IF(Invoices!$Q76&gt;0,Invoices!$A76,"")</f>
        <v/>
      </c>
      <c r="B76" s="325">
        <f>IF($A76="","",Invoices!$C76)</f>
        <v/>
      </c>
      <c r="C76" s="325">
        <f>IF($A76="","",Invoices!$D76)</f>
        <v/>
      </c>
      <c r="D76" s="329">
        <f>IF($A76="","",Invoices!$B76)</f>
        <v/>
      </c>
      <c r="E76" s="329">
        <f>IF($A76="","",Invoices!$R76)</f>
        <v/>
      </c>
      <c r="F76" s="326">
        <f>IF($A76="","",Invoices!$L76)</f>
        <v/>
      </c>
      <c r="G76" s="326">
        <f>IF($A76="","",Invoices!$G76)</f>
        <v/>
      </c>
      <c r="H76" s="326">
        <f>IF($A76="","",Invoices!$Q76)</f>
        <v/>
      </c>
      <c r="I76" s="325">
        <f>IF($A76="","",Invoices!$S76)</f>
        <v/>
      </c>
      <c r="J76" s="325">
        <f>IF($A76="","",Invoices!$T76)</f>
        <v/>
      </c>
      <c r="K76" s="325">
        <f>IF($A76="","",Invoices!$U76)</f>
        <v/>
      </c>
      <c r="L76" s="325">
        <f>IF($A76="","",IF($K76="Current","Monitor",IF($K76="1-30","Follow Up",IF($K76="31-60","Escalate",IF($K76="61-90","Urgent",IF($K76="90+","Immediate Action","Monitor"))))))</f>
        <v/>
      </c>
      <c r="M76" s="354">
        <f>IF($A76="","",LOWER($A76&amp;" "&amp;$B76&amp;" "&amp;$C76&amp;" "&amp;$K76&amp;" "&amp;$L76))</f>
        <v/>
      </c>
    </row>
    <row r="77">
      <c r="A77" s="353">
        <f>IF(Invoices!$Q77&gt;0,Invoices!$A77,"")</f>
        <v/>
      </c>
      <c r="B77" s="325">
        <f>IF($A77="","",Invoices!$C77)</f>
        <v/>
      </c>
      <c r="C77" s="325">
        <f>IF($A77="","",Invoices!$D77)</f>
        <v/>
      </c>
      <c r="D77" s="329">
        <f>IF($A77="","",Invoices!$B77)</f>
        <v/>
      </c>
      <c r="E77" s="329">
        <f>IF($A77="","",Invoices!$R77)</f>
        <v/>
      </c>
      <c r="F77" s="326">
        <f>IF($A77="","",Invoices!$L77)</f>
        <v/>
      </c>
      <c r="G77" s="326">
        <f>IF($A77="","",Invoices!$G77)</f>
        <v/>
      </c>
      <c r="H77" s="326">
        <f>IF($A77="","",Invoices!$Q77)</f>
        <v/>
      </c>
      <c r="I77" s="325">
        <f>IF($A77="","",Invoices!$S77)</f>
        <v/>
      </c>
      <c r="J77" s="325">
        <f>IF($A77="","",Invoices!$T77)</f>
        <v/>
      </c>
      <c r="K77" s="325">
        <f>IF($A77="","",Invoices!$U77)</f>
        <v/>
      </c>
      <c r="L77" s="325">
        <f>IF($A77="","",IF($K77="Current","Monitor",IF($K77="1-30","Follow Up",IF($K77="31-60","Escalate",IF($K77="61-90","Urgent",IF($K77="90+","Immediate Action","Monitor"))))))</f>
        <v/>
      </c>
      <c r="M77" s="354">
        <f>IF($A77="","",LOWER($A77&amp;" "&amp;$B77&amp;" "&amp;$C77&amp;" "&amp;$K77&amp;" "&amp;$L77))</f>
        <v/>
      </c>
    </row>
    <row r="78">
      <c r="A78" s="353">
        <f>IF(Invoices!$Q78&gt;0,Invoices!$A78,"")</f>
        <v/>
      </c>
      <c r="B78" s="325">
        <f>IF($A78="","",Invoices!$C78)</f>
        <v/>
      </c>
      <c r="C78" s="325">
        <f>IF($A78="","",Invoices!$D78)</f>
        <v/>
      </c>
      <c r="D78" s="329">
        <f>IF($A78="","",Invoices!$B78)</f>
        <v/>
      </c>
      <c r="E78" s="329">
        <f>IF($A78="","",Invoices!$R78)</f>
        <v/>
      </c>
      <c r="F78" s="326">
        <f>IF($A78="","",Invoices!$L78)</f>
        <v/>
      </c>
      <c r="G78" s="326">
        <f>IF($A78="","",Invoices!$G78)</f>
        <v/>
      </c>
      <c r="H78" s="326">
        <f>IF($A78="","",Invoices!$Q78)</f>
        <v/>
      </c>
      <c r="I78" s="325">
        <f>IF($A78="","",Invoices!$S78)</f>
        <v/>
      </c>
      <c r="J78" s="325">
        <f>IF($A78="","",Invoices!$T78)</f>
        <v/>
      </c>
      <c r="K78" s="325">
        <f>IF($A78="","",Invoices!$U78)</f>
        <v/>
      </c>
      <c r="L78" s="325">
        <f>IF($A78="","",IF($K78="Current","Monitor",IF($K78="1-30","Follow Up",IF($K78="31-60","Escalate",IF($K78="61-90","Urgent",IF($K78="90+","Immediate Action","Monitor"))))))</f>
        <v/>
      </c>
      <c r="M78" s="354">
        <f>IF($A78="","",LOWER($A78&amp;" "&amp;$B78&amp;" "&amp;$C78&amp;" "&amp;$K78&amp;" "&amp;$L78))</f>
        <v/>
      </c>
    </row>
    <row r="79">
      <c r="A79" s="353">
        <f>IF(Invoices!$Q79&gt;0,Invoices!$A79,"")</f>
        <v/>
      </c>
      <c r="B79" s="325">
        <f>IF($A79="","",Invoices!$C79)</f>
        <v/>
      </c>
      <c r="C79" s="325">
        <f>IF($A79="","",Invoices!$D79)</f>
        <v/>
      </c>
      <c r="D79" s="329">
        <f>IF($A79="","",Invoices!$B79)</f>
        <v/>
      </c>
      <c r="E79" s="329">
        <f>IF($A79="","",Invoices!$R79)</f>
        <v/>
      </c>
      <c r="F79" s="326">
        <f>IF($A79="","",Invoices!$L79)</f>
        <v/>
      </c>
      <c r="G79" s="326">
        <f>IF($A79="","",Invoices!$G79)</f>
        <v/>
      </c>
      <c r="H79" s="326">
        <f>IF($A79="","",Invoices!$Q79)</f>
        <v/>
      </c>
      <c r="I79" s="325">
        <f>IF($A79="","",Invoices!$S79)</f>
        <v/>
      </c>
      <c r="J79" s="325">
        <f>IF($A79="","",Invoices!$T79)</f>
        <v/>
      </c>
      <c r="K79" s="325">
        <f>IF($A79="","",Invoices!$U79)</f>
        <v/>
      </c>
      <c r="L79" s="325">
        <f>IF($A79="","",IF($K79="Current","Monitor",IF($K79="1-30","Follow Up",IF($K79="31-60","Escalate",IF($K79="61-90","Urgent",IF($K79="90+","Immediate Action","Monitor"))))))</f>
        <v/>
      </c>
      <c r="M79" s="354">
        <f>IF($A79="","",LOWER($A79&amp;" "&amp;$B79&amp;" "&amp;$C79&amp;" "&amp;$K79&amp;" "&amp;$L79))</f>
        <v/>
      </c>
    </row>
    <row r="80">
      <c r="A80" s="353">
        <f>IF(Invoices!$Q80&gt;0,Invoices!$A80,"")</f>
        <v/>
      </c>
      <c r="B80" s="325">
        <f>IF($A80="","",Invoices!$C80)</f>
        <v/>
      </c>
      <c r="C80" s="325">
        <f>IF($A80="","",Invoices!$D80)</f>
        <v/>
      </c>
      <c r="D80" s="329">
        <f>IF($A80="","",Invoices!$B80)</f>
        <v/>
      </c>
      <c r="E80" s="329">
        <f>IF($A80="","",Invoices!$R80)</f>
        <v/>
      </c>
      <c r="F80" s="326">
        <f>IF($A80="","",Invoices!$L80)</f>
        <v/>
      </c>
      <c r="G80" s="326">
        <f>IF($A80="","",Invoices!$G80)</f>
        <v/>
      </c>
      <c r="H80" s="326">
        <f>IF($A80="","",Invoices!$Q80)</f>
        <v/>
      </c>
      <c r="I80" s="325">
        <f>IF($A80="","",Invoices!$S80)</f>
        <v/>
      </c>
      <c r="J80" s="325">
        <f>IF($A80="","",Invoices!$T80)</f>
        <v/>
      </c>
      <c r="K80" s="325">
        <f>IF($A80="","",Invoices!$U80)</f>
        <v/>
      </c>
      <c r="L80" s="325">
        <f>IF($A80="","",IF($K80="Current","Monitor",IF($K80="1-30","Follow Up",IF($K80="31-60","Escalate",IF($K80="61-90","Urgent",IF($K80="90+","Immediate Action","Monitor"))))))</f>
        <v/>
      </c>
      <c r="M80" s="354">
        <f>IF($A80="","",LOWER($A80&amp;" "&amp;$B80&amp;" "&amp;$C80&amp;" "&amp;$K80&amp;" "&amp;$L80))</f>
        <v/>
      </c>
    </row>
    <row r="81">
      <c r="A81" s="353">
        <f>IF(Invoices!$Q81&gt;0,Invoices!$A81,"")</f>
        <v/>
      </c>
      <c r="B81" s="325">
        <f>IF($A81="","",Invoices!$C81)</f>
        <v/>
      </c>
      <c r="C81" s="325">
        <f>IF($A81="","",Invoices!$D81)</f>
        <v/>
      </c>
      <c r="D81" s="329">
        <f>IF($A81="","",Invoices!$B81)</f>
        <v/>
      </c>
      <c r="E81" s="329">
        <f>IF($A81="","",Invoices!$R81)</f>
        <v/>
      </c>
      <c r="F81" s="326">
        <f>IF($A81="","",Invoices!$L81)</f>
        <v/>
      </c>
      <c r="G81" s="326">
        <f>IF($A81="","",Invoices!$G81)</f>
        <v/>
      </c>
      <c r="H81" s="326">
        <f>IF($A81="","",Invoices!$Q81)</f>
        <v/>
      </c>
      <c r="I81" s="325">
        <f>IF($A81="","",Invoices!$S81)</f>
        <v/>
      </c>
      <c r="J81" s="325">
        <f>IF($A81="","",Invoices!$T81)</f>
        <v/>
      </c>
      <c r="K81" s="325">
        <f>IF($A81="","",Invoices!$U81)</f>
        <v/>
      </c>
      <c r="L81" s="325">
        <f>IF($A81="","",IF($K81="Current","Monitor",IF($K81="1-30","Follow Up",IF($K81="31-60","Escalate",IF($K81="61-90","Urgent",IF($K81="90+","Immediate Action","Monitor"))))))</f>
        <v/>
      </c>
      <c r="M81" s="354">
        <f>IF($A81="","",LOWER($A81&amp;" "&amp;$B81&amp;" "&amp;$C81&amp;" "&amp;$K81&amp;" "&amp;$L81))</f>
        <v/>
      </c>
    </row>
    <row r="82">
      <c r="A82" s="353">
        <f>IF(Invoices!$Q82&gt;0,Invoices!$A82,"")</f>
        <v/>
      </c>
      <c r="B82" s="325">
        <f>IF($A82="","",Invoices!$C82)</f>
        <v/>
      </c>
      <c r="C82" s="325">
        <f>IF($A82="","",Invoices!$D82)</f>
        <v/>
      </c>
      <c r="D82" s="329">
        <f>IF($A82="","",Invoices!$B82)</f>
        <v/>
      </c>
      <c r="E82" s="329">
        <f>IF($A82="","",Invoices!$R82)</f>
        <v/>
      </c>
      <c r="F82" s="326">
        <f>IF($A82="","",Invoices!$L82)</f>
        <v/>
      </c>
      <c r="G82" s="326">
        <f>IF($A82="","",Invoices!$G82)</f>
        <v/>
      </c>
      <c r="H82" s="326">
        <f>IF($A82="","",Invoices!$Q82)</f>
        <v/>
      </c>
      <c r="I82" s="325">
        <f>IF($A82="","",Invoices!$S82)</f>
        <v/>
      </c>
      <c r="J82" s="325">
        <f>IF($A82="","",Invoices!$T82)</f>
        <v/>
      </c>
      <c r="K82" s="325">
        <f>IF($A82="","",Invoices!$U82)</f>
        <v/>
      </c>
      <c r="L82" s="325">
        <f>IF($A82="","",IF($K82="Current","Monitor",IF($K82="1-30","Follow Up",IF($K82="31-60","Escalate",IF($K82="61-90","Urgent",IF($K82="90+","Immediate Action","Monitor"))))))</f>
        <v/>
      </c>
      <c r="M82" s="354">
        <f>IF($A82="","",LOWER($A82&amp;" "&amp;$B82&amp;" "&amp;$C82&amp;" "&amp;$K82&amp;" "&amp;$L82))</f>
        <v/>
      </c>
    </row>
    <row r="83">
      <c r="A83" s="353">
        <f>IF(Invoices!$Q83&gt;0,Invoices!$A83,"")</f>
        <v/>
      </c>
      <c r="B83" s="325">
        <f>IF($A83="","",Invoices!$C83)</f>
        <v/>
      </c>
      <c r="C83" s="325">
        <f>IF($A83="","",Invoices!$D83)</f>
        <v/>
      </c>
      <c r="D83" s="329">
        <f>IF($A83="","",Invoices!$B83)</f>
        <v/>
      </c>
      <c r="E83" s="329">
        <f>IF($A83="","",Invoices!$R83)</f>
        <v/>
      </c>
      <c r="F83" s="326">
        <f>IF($A83="","",Invoices!$L83)</f>
        <v/>
      </c>
      <c r="G83" s="326">
        <f>IF($A83="","",Invoices!$G83)</f>
        <v/>
      </c>
      <c r="H83" s="326">
        <f>IF($A83="","",Invoices!$Q83)</f>
        <v/>
      </c>
      <c r="I83" s="325">
        <f>IF($A83="","",Invoices!$S83)</f>
        <v/>
      </c>
      <c r="J83" s="325">
        <f>IF($A83="","",Invoices!$T83)</f>
        <v/>
      </c>
      <c r="K83" s="325">
        <f>IF($A83="","",Invoices!$U83)</f>
        <v/>
      </c>
      <c r="L83" s="325">
        <f>IF($A83="","",IF($K83="Current","Monitor",IF($K83="1-30","Follow Up",IF($K83="31-60","Escalate",IF($K83="61-90","Urgent",IF($K83="90+","Immediate Action","Monitor"))))))</f>
        <v/>
      </c>
      <c r="M83" s="354">
        <f>IF($A83="","",LOWER($A83&amp;" "&amp;$B83&amp;" "&amp;$C83&amp;" "&amp;$K83&amp;" "&amp;$L83))</f>
        <v/>
      </c>
    </row>
    <row r="84">
      <c r="A84" s="353">
        <f>IF(Invoices!$Q84&gt;0,Invoices!$A84,"")</f>
        <v/>
      </c>
      <c r="B84" s="325">
        <f>IF($A84="","",Invoices!$C84)</f>
        <v/>
      </c>
      <c r="C84" s="325">
        <f>IF($A84="","",Invoices!$D84)</f>
        <v/>
      </c>
      <c r="D84" s="329">
        <f>IF($A84="","",Invoices!$B84)</f>
        <v/>
      </c>
      <c r="E84" s="329">
        <f>IF($A84="","",Invoices!$R84)</f>
        <v/>
      </c>
      <c r="F84" s="326">
        <f>IF($A84="","",Invoices!$L84)</f>
        <v/>
      </c>
      <c r="G84" s="326">
        <f>IF($A84="","",Invoices!$G84)</f>
        <v/>
      </c>
      <c r="H84" s="326">
        <f>IF($A84="","",Invoices!$Q84)</f>
        <v/>
      </c>
      <c r="I84" s="325">
        <f>IF($A84="","",Invoices!$S84)</f>
        <v/>
      </c>
      <c r="J84" s="325">
        <f>IF($A84="","",Invoices!$T84)</f>
        <v/>
      </c>
      <c r="K84" s="325">
        <f>IF($A84="","",Invoices!$U84)</f>
        <v/>
      </c>
      <c r="L84" s="325">
        <f>IF($A84="","",IF($K84="Current","Monitor",IF($K84="1-30","Follow Up",IF($K84="31-60","Escalate",IF($K84="61-90","Urgent",IF($K84="90+","Immediate Action","Monitor"))))))</f>
        <v/>
      </c>
      <c r="M84" s="354">
        <f>IF($A84="","",LOWER($A84&amp;" "&amp;$B84&amp;" "&amp;$C84&amp;" "&amp;$K84&amp;" "&amp;$L84))</f>
        <v/>
      </c>
    </row>
    <row r="85">
      <c r="A85" s="353">
        <f>IF(Invoices!$Q85&gt;0,Invoices!$A85,"")</f>
        <v/>
      </c>
      <c r="B85" s="325">
        <f>IF($A85="","",Invoices!$C85)</f>
        <v/>
      </c>
      <c r="C85" s="325">
        <f>IF($A85="","",Invoices!$D85)</f>
        <v/>
      </c>
      <c r="D85" s="329">
        <f>IF($A85="","",Invoices!$B85)</f>
        <v/>
      </c>
      <c r="E85" s="329">
        <f>IF($A85="","",Invoices!$R85)</f>
        <v/>
      </c>
      <c r="F85" s="326">
        <f>IF($A85="","",Invoices!$L85)</f>
        <v/>
      </c>
      <c r="G85" s="326">
        <f>IF($A85="","",Invoices!$G85)</f>
        <v/>
      </c>
      <c r="H85" s="326">
        <f>IF($A85="","",Invoices!$Q85)</f>
        <v/>
      </c>
      <c r="I85" s="325">
        <f>IF($A85="","",Invoices!$S85)</f>
        <v/>
      </c>
      <c r="J85" s="325">
        <f>IF($A85="","",Invoices!$T85)</f>
        <v/>
      </c>
      <c r="K85" s="325">
        <f>IF($A85="","",Invoices!$U85)</f>
        <v/>
      </c>
      <c r="L85" s="325">
        <f>IF($A85="","",IF($K85="Current","Monitor",IF($K85="1-30","Follow Up",IF($K85="31-60","Escalate",IF($K85="61-90","Urgent",IF($K85="90+","Immediate Action","Monitor"))))))</f>
        <v/>
      </c>
      <c r="M85" s="354">
        <f>IF($A85="","",LOWER($A85&amp;" "&amp;$B85&amp;" "&amp;$C85&amp;" "&amp;$K85&amp;" "&amp;$L85))</f>
        <v/>
      </c>
    </row>
    <row r="86">
      <c r="A86" s="353">
        <f>IF(Invoices!$Q86&gt;0,Invoices!$A86,"")</f>
        <v/>
      </c>
      <c r="B86" s="325">
        <f>IF($A86="","",Invoices!$C86)</f>
        <v/>
      </c>
      <c r="C86" s="325">
        <f>IF($A86="","",Invoices!$D86)</f>
        <v/>
      </c>
      <c r="D86" s="329">
        <f>IF($A86="","",Invoices!$B86)</f>
        <v/>
      </c>
      <c r="E86" s="329">
        <f>IF($A86="","",Invoices!$R86)</f>
        <v/>
      </c>
      <c r="F86" s="326">
        <f>IF($A86="","",Invoices!$L86)</f>
        <v/>
      </c>
      <c r="G86" s="326">
        <f>IF($A86="","",Invoices!$G86)</f>
        <v/>
      </c>
      <c r="H86" s="326">
        <f>IF($A86="","",Invoices!$Q86)</f>
        <v/>
      </c>
      <c r="I86" s="325">
        <f>IF($A86="","",Invoices!$S86)</f>
        <v/>
      </c>
      <c r="J86" s="325">
        <f>IF($A86="","",Invoices!$T86)</f>
        <v/>
      </c>
      <c r="K86" s="325">
        <f>IF($A86="","",Invoices!$U86)</f>
        <v/>
      </c>
      <c r="L86" s="325">
        <f>IF($A86="","",IF($K86="Current","Monitor",IF($K86="1-30","Follow Up",IF($K86="31-60","Escalate",IF($K86="61-90","Urgent",IF($K86="90+","Immediate Action","Monitor"))))))</f>
        <v/>
      </c>
      <c r="M86" s="354">
        <f>IF($A86="","",LOWER($A86&amp;" "&amp;$B86&amp;" "&amp;$C86&amp;" "&amp;$K86&amp;" "&amp;$L86))</f>
        <v/>
      </c>
    </row>
    <row r="87">
      <c r="A87" s="353">
        <f>IF(Invoices!$Q87&gt;0,Invoices!$A87,"")</f>
        <v/>
      </c>
      <c r="B87" s="325">
        <f>IF($A87="","",Invoices!$C87)</f>
        <v/>
      </c>
      <c r="C87" s="325">
        <f>IF($A87="","",Invoices!$D87)</f>
        <v/>
      </c>
      <c r="D87" s="329">
        <f>IF($A87="","",Invoices!$B87)</f>
        <v/>
      </c>
      <c r="E87" s="329">
        <f>IF($A87="","",Invoices!$R87)</f>
        <v/>
      </c>
      <c r="F87" s="326">
        <f>IF($A87="","",Invoices!$L87)</f>
        <v/>
      </c>
      <c r="G87" s="326">
        <f>IF($A87="","",Invoices!$G87)</f>
        <v/>
      </c>
      <c r="H87" s="326">
        <f>IF($A87="","",Invoices!$Q87)</f>
        <v/>
      </c>
      <c r="I87" s="325">
        <f>IF($A87="","",Invoices!$S87)</f>
        <v/>
      </c>
      <c r="J87" s="325">
        <f>IF($A87="","",Invoices!$T87)</f>
        <v/>
      </c>
      <c r="K87" s="325">
        <f>IF($A87="","",Invoices!$U87)</f>
        <v/>
      </c>
      <c r="L87" s="325">
        <f>IF($A87="","",IF($K87="Current","Monitor",IF($K87="1-30","Follow Up",IF($K87="31-60","Escalate",IF($K87="61-90","Urgent",IF($K87="90+","Immediate Action","Monitor"))))))</f>
        <v/>
      </c>
      <c r="M87" s="354">
        <f>IF($A87="","",LOWER($A87&amp;" "&amp;$B87&amp;" "&amp;$C87&amp;" "&amp;$K87&amp;" "&amp;$L87))</f>
        <v/>
      </c>
    </row>
    <row r="88">
      <c r="A88" s="353">
        <f>IF(Invoices!$Q88&gt;0,Invoices!$A88,"")</f>
        <v/>
      </c>
      <c r="B88" s="325">
        <f>IF($A88="","",Invoices!$C88)</f>
        <v/>
      </c>
      <c r="C88" s="325">
        <f>IF($A88="","",Invoices!$D88)</f>
        <v/>
      </c>
      <c r="D88" s="329">
        <f>IF($A88="","",Invoices!$B88)</f>
        <v/>
      </c>
      <c r="E88" s="329">
        <f>IF($A88="","",Invoices!$R88)</f>
        <v/>
      </c>
      <c r="F88" s="326">
        <f>IF($A88="","",Invoices!$L88)</f>
        <v/>
      </c>
      <c r="G88" s="326">
        <f>IF($A88="","",Invoices!$G88)</f>
        <v/>
      </c>
      <c r="H88" s="326">
        <f>IF($A88="","",Invoices!$Q88)</f>
        <v/>
      </c>
      <c r="I88" s="325">
        <f>IF($A88="","",Invoices!$S88)</f>
        <v/>
      </c>
      <c r="J88" s="325">
        <f>IF($A88="","",Invoices!$T88)</f>
        <v/>
      </c>
      <c r="K88" s="325">
        <f>IF($A88="","",Invoices!$U88)</f>
        <v/>
      </c>
      <c r="L88" s="325">
        <f>IF($A88="","",IF($K88="Current","Monitor",IF($K88="1-30","Follow Up",IF($K88="31-60","Escalate",IF($K88="61-90","Urgent",IF($K88="90+","Immediate Action","Monitor"))))))</f>
        <v/>
      </c>
      <c r="M88" s="354">
        <f>IF($A88="","",LOWER($A88&amp;" "&amp;$B88&amp;" "&amp;$C88&amp;" "&amp;$K88&amp;" "&amp;$L88))</f>
        <v/>
      </c>
    </row>
    <row r="89">
      <c r="A89" s="353">
        <f>IF(Invoices!$Q89&gt;0,Invoices!$A89,"")</f>
        <v/>
      </c>
      <c r="B89" s="325">
        <f>IF($A89="","",Invoices!$C89)</f>
        <v/>
      </c>
      <c r="C89" s="325">
        <f>IF($A89="","",Invoices!$D89)</f>
        <v/>
      </c>
      <c r="D89" s="329">
        <f>IF($A89="","",Invoices!$B89)</f>
        <v/>
      </c>
      <c r="E89" s="329">
        <f>IF($A89="","",Invoices!$R89)</f>
        <v/>
      </c>
      <c r="F89" s="326">
        <f>IF($A89="","",Invoices!$L89)</f>
        <v/>
      </c>
      <c r="G89" s="326">
        <f>IF($A89="","",Invoices!$G89)</f>
        <v/>
      </c>
      <c r="H89" s="326">
        <f>IF($A89="","",Invoices!$Q89)</f>
        <v/>
      </c>
      <c r="I89" s="325">
        <f>IF($A89="","",Invoices!$S89)</f>
        <v/>
      </c>
      <c r="J89" s="325">
        <f>IF($A89="","",Invoices!$T89)</f>
        <v/>
      </c>
      <c r="K89" s="325">
        <f>IF($A89="","",Invoices!$U89)</f>
        <v/>
      </c>
      <c r="L89" s="325">
        <f>IF($A89="","",IF($K89="Current","Monitor",IF($K89="1-30","Follow Up",IF($K89="31-60","Escalate",IF($K89="61-90","Urgent",IF($K89="90+","Immediate Action","Monitor"))))))</f>
        <v/>
      </c>
      <c r="M89" s="354">
        <f>IF($A89="","",LOWER($A89&amp;" "&amp;$B89&amp;" "&amp;$C89&amp;" "&amp;$K89&amp;" "&amp;$L89))</f>
        <v/>
      </c>
    </row>
    <row r="90">
      <c r="A90" s="353">
        <f>IF(Invoices!$Q90&gt;0,Invoices!$A90,"")</f>
        <v/>
      </c>
      <c r="B90" s="325">
        <f>IF($A90="","",Invoices!$C90)</f>
        <v/>
      </c>
      <c r="C90" s="325">
        <f>IF($A90="","",Invoices!$D90)</f>
        <v/>
      </c>
      <c r="D90" s="329">
        <f>IF($A90="","",Invoices!$B90)</f>
        <v/>
      </c>
      <c r="E90" s="329">
        <f>IF($A90="","",Invoices!$R90)</f>
        <v/>
      </c>
      <c r="F90" s="326">
        <f>IF($A90="","",Invoices!$L90)</f>
        <v/>
      </c>
      <c r="G90" s="326">
        <f>IF($A90="","",Invoices!$G90)</f>
        <v/>
      </c>
      <c r="H90" s="326">
        <f>IF($A90="","",Invoices!$Q90)</f>
        <v/>
      </c>
      <c r="I90" s="325">
        <f>IF($A90="","",Invoices!$S90)</f>
        <v/>
      </c>
      <c r="J90" s="325">
        <f>IF($A90="","",Invoices!$T90)</f>
        <v/>
      </c>
      <c r="K90" s="325">
        <f>IF($A90="","",Invoices!$U90)</f>
        <v/>
      </c>
      <c r="L90" s="325">
        <f>IF($A90="","",IF($K90="Current","Monitor",IF($K90="1-30","Follow Up",IF($K90="31-60","Escalate",IF($K90="61-90","Urgent",IF($K90="90+","Immediate Action","Monitor"))))))</f>
        <v/>
      </c>
      <c r="M90" s="354">
        <f>IF($A90="","",LOWER($A90&amp;" "&amp;$B90&amp;" "&amp;$C90&amp;" "&amp;$K90&amp;" "&amp;$L90))</f>
        <v/>
      </c>
    </row>
    <row r="91">
      <c r="A91" s="353">
        <f>IF(Invoices!$Q91&gt;0,Invoices!$A91,"")</f>
        <v/>
      </c>
      <c r="B91" s="325">
        <f>IF($A91="","",Invoices!$C91)</f>
        <v/>
      </c>
      <c r="C91" s="325">
        <f>IF($A91="","",Invoices!$D91)</f>
        <v/>
      </c>
      <c r="D91" s="329">
        <f>IF($A91="","",Invoices!$B91)</f>
        <v/>
      </c>
      <c r="E91" s="329">
        <f>IF($A91="","",Invoices!$R91)</f>
        <v/>
      </c>
      <c r="F91" s="326">
        <f>IF($A91="","",Invoices!$L91)</f>
        <v/>
      </c>
      <c r="G91" s="326">
        <f>IF($A91="","",Invoices!$G91)</f>
        <v/>
      </c>
      <c r="H91" s="326">
        <f>IF($A91="","",Invoices!$Q91)</f>
        <v/>
      </c>
      <c r="I91" s="325">
        <f>IF($A91="","",Invoices!$S91)</f>
        <v/>
      </c>
      <c r="J91" s="325">
        <f>IF($A91="","",Invoices!$T91)</f>
        <v/>
      </c>
      <c r="K91" s="325">
        <f>IF($A91="","",Invoices!$U91)</f>
        <v/>
      </c>
      <c r="L91" s="325">
        <f>IF($A91="","",IF($K91="Current","Monitor",IF($K91="1-30","Follow Up",IF($K91="31-60","Escalate",IF($K91="61-90","Urgent",IF($K91="90+","Immediate Action","Monitor"))))))</f>
        <v/>
      </c>
      <c r="M91" s="354">
        <f>IF($A91="","",LOWER($A91&amp;" "&amp;$B91&amp;" "&amp;$C91&amp;" "&amp;$K91&amp;" "&amp;$L91))</f>
        <v/>
      </c>
    </row>
    <row r="92">
      <c r="A92" s="353">
        <f>IF(Invoices!$Q92&gt;0,Invoices!$A92,"")</f>
        <v/>
      </c>
      <c r="B92" s="325">
        <f>IF($A92="","",Invoices!$C92)</f>
        <v/>
      </c>
      <c r="C92" s="325">
        <f>IF($A92="","",Invoices!$D92)</f>
        <v/>
      </c>
      <c r="D92" s="329">
        <f>IF($A92="","",Invoices!$B92)</f>
        <v/>
      </c>
      <c r="E92" s="329">
        <f>IF($A92="","",Invoices!$R92)</f>
        <v/>
      </c>
      <c r="F92" s="326">
        <f>IF($A92="","",Invoices!$L92)</f>
        <v/>
      </c>
      <c r="G92" s="326">
        <f>IF($A92="","",Invoices!$G92)</f>
        <v/>
      </c>
      <c r="H92" s="326">
        <f>IF($A92="","",Invoices!$Q92)</f>
        <v/>
      </c>
      <c r="I92" s="325">
        <f>IF($A92="","",Invoices!$S92)</f>
        <v/>
      </c>
      <c r="J92" s="325">
        <f>IF($A92="","",Invoices!$T92)</f>
        <v/>
      </c>
      <c r="K92" s="325">
        <f>IF($A92="","",Invoices!$U92)</f>
        <v/>
      </c>
      <c r="L92" s="325">
        <f>IF($A92="","",IF($K92="Current","Monitor",IF($K92="1-30","Follow Up",IF($K92="31-60","Escalate",IF($K92="61-90","Urgent",IF($K92="90+","Immediate Action","Monitor"))))))</f>
        <v/>
      </c>
      <c r="M92" s="354">
        <f>IF($A92="","",LOWER($A92&amp;" "&amp;$B92&amp;" "&amp;$C92&amp;" "&amp;$K92&amp;" "&amp;$L92))</f>
        <v/>
      </c>
    </row>
    <row r="93">
      <c r="A93" s="353">
        <f>IF(Invoices!$Q93&gt;0,Invoices!$A93,"")</f>
        <v/>
      </c>
      <c r="B93" s="325">
        <f>IF($A93="","",Invoices!$C93)</f>
        <v/>
      </c>
      <c r="C93" s="325">
        <f>IF($A93="","",Invoices!$D93)</f>
        <v/>
      </c>
      <c r="D93" s="329">
        <f>IF($A93="","",Invoices!$B93)</f>
        <v/>
      </c>
      <c r="E93" s="329">
        <f>IF($A93="","",Invoices!$R93)</f>
        <v/>
      </c>
      <c r="F93" s="326">
        <f>IF($A93="","",Invoices!$L93)</f>
        <v/>
      </c>
      <c r="G93" s="326">
        <f>IF($A93="","",Invoices!$G93)</f>
        <v/>
      </c>
      <c r="H93" s="326">
        <f>IF($A93="","",Invoices!$Q93)</f>
        <v/>
      </c>
      <c r="I93" s="325">
        <f>IF($A93="","",Invoices!$S93)</f>
        <v/>
      </c>
      <c r="J93" s="325">
        <f>IF($A93="","",Invoices!$T93)</f>
        <v/>
      </c>
      <c r="K93" s="325">
        <f>IF($A93="","",Invoices!$U93)</f>
        <v/>
      </c>
      <c r="L93" s="325">
        <f>IF($A93="","",IF($K93="Current","Monitor",IF($K93="1-30","Follow Up",IF($K93="31-60","Escalate",IF($K93="61-90","Urgent",IF($K93="90+","Immediate Action","Monitor"))))))</f>
        <v/>
      </c>
      <c r="M93" s="354">
        <f>IF($A93="","",LOWER($A93&amp;" "&amp;$B93&amp;" "&amp;$C93&amp;" "&amp;$K93&amp;" "&amp;$L93))</f>
        <v/>
      </c>
    </row>
    <row r="94">
      <c r="A94" s="353">
        <f>IF(Invoices!$Q94&gt;0,Invoices!$A94,"")</f>
        <v/>
      </c>
      <c r="B94" s="325">
        <f>IF($A94="","",Invoices!$C94)</f>
        <v/>
      </c>
      <c r="C94" s="325">
        <f>IF($A94="","",Invoices!$D94)</f>
        <v/>
      </c>
      <c r="D94" s="329">
        <f>IF($A94="","",Invoices!$B94)</f>
        <v/>
      </c>
      <c r="E94" s="329">
        <f>IF($A94="","",Invoices!$R94)</f>
        <v/>
      </c>
      <c r="F94" s="326">
        <f>IF($A94="","",Invoices!$L94)</f>
        <v/>
      </c>
      <c r="G94" s="326">
        <f>IF($A94="","",Invoices!$G94)</f>
        <v/>
      </c>
      <c r="H94" s="326">
        <f>IF($A94="","",Invoices!$Q94)</f>
        <v/>
      </c>
      <c r="I94" s="325">
        <f>IF($A94="","",Invoices!$S94)</f>
        <v/>
      </c>
      <c r="J94" s="325">
        <f>IF($A94="","",Invoices!$T94)</f>
        <v/>
      </c>
      <c r="K94" s="325">
        <f>IF($A94="","",Invoices!$U94)</f>
        <v/>
      </c>
      <c r="L94" s="325">
        <f>IF($A94="","",IF($K94="Current","Monitor",IF($K94="1-30","Follow Up",IF($K94="31-60","Escalate",IF($K94="61-90","Urgent",IF($K94="90+","Immediate Action","Monitor"))))))</f>
        <v/>
      </c>
      <c r="M94" s="354">
        <f>IF($A94="","",LOWER($A94&amp;" "&amp;$B94&amp;" "&amp;$C94&amp;" "&amp;$K94&amp;" "&amp;$L94))</f>
        <v/>
      </c>
    </row>
    <row r="95">
      <c r="A95" s="353">
        <f>IF(Invoices!$Q95&gt;0,Invoices!$A95,"")</f>
        <v/>
      </c>
      <c r="B95" s="325">
        <f>IF($A95="","",Invoices!$C95)</f>
        <v/>
      </c>
      <c r="C95" s="325">
        <f>IF($A95="","",Invoices!$D95)</f>
        <v/>
      </c>
      <c r="D95" s="329">
        <f>IF($A95="","",Invoices!$B95)</f>
        <v/>
      </c>
      <c r="E95" s="329">
        <f>IF($A95="","",Invoices!$R95)</f>
        <v/>
      </c>
      <c r="F95" s="326">
        <f>IF($A95="","",Invoices!$L95)</f>
        <v/>
      </c>
      <c r="G95" s="326">
        <f>IF($A95="","",Invoices!$G95)</f>
        <v/>
      </c>
      <c r="H95" s="326">
        <f>IF($A95="","",Invoices!$Q95)</f>
        <v/>
      </c>
      <c r="I95" s="325">
        <f>IF($A95="","",Invoices!$S95)</f>
        <v/>
      </c>
      <c r="J95" s="325">
        <f>IF($A95="","",Invoices!$T95)</f>
        <v/>
      </c>
      <c r="K95" s="325">
        <f>IF($A95="","",Invoices!$U95)</f>
        <v/>
      </c>
      <c r="L95" s="325">
        <f>IF($A95="","",IF($K95="Current","Monitor",IF($K95="1-30","Follow Up",IF($K95="31-60","Escalate",IF($K95="61-90","Urgent",IF($K95="90+","Immediate Action","Monitor"))))))</f>
        <v/>
      </c>
      <c r="M95" s="354">
        <f>IF($A95="","",LOWER($A95&amp;" "&amp;$B95&amp;" "&amp;$C95&amp;" "&amp;$K95&amp;" "&amp;$L95))</f>
        <v/>
      </c>
    </row>
    <row r="96">
      <c r="A96" s="353">
        <f>IF(Invoices!$Q96&gt;0,Invoices!$A96,"")</f>
        <v/>
      </c>
      <c r="B96" s="325">
        <f>IF($A96="","",Invoices!$C96)</f>
        <v/>
      </c>
      <c r="C96" s="325">
        <f>IF($A96="","",Invoices!$D96)</f>
        <v/>
      </c>
      <c r="D96" s="329">
        <f>IF($A96="","",Invoices!$B96)</f>
        <v/>
      </c>
      <c r="E96" s="329">
        <f>IF($A96="","",Invoices!$R96)</f>
        <v/>
      </c>
      <c r="F96" s="326">
        <f>IF($A96="","",Invoices!$L96)</f>
        <v/>
      </c>
      <c r="G96" s="326">
        <f>IF($A96="","",Invoices!$G96)</f>
        <v/>
      </c>
      <c r="H96" s="326">
        <f>IF($A96="","",Invoices!$Q96)</f>
        <v/>
      </c>
      <c r="I96" s="325">
        <f>IF($A96="","",Invoices!$S96)</f>
        <v/>
      </c>
      <c r="J96" s="325">
        <f>IF($A96="","",Invoices!$T96)</f>
        <v/>
      </c>
      <c r="K96" s="325">
        <f>IF($A96="","",Invoices!$U96)</f>
        <v/>
      </c>
      <c r="L96" s="325">
        <f>IF($A96="","",IF($K96="Current","Monitor",IF($K96="1-30","Follow Up",IF($K96="31-60","Escalate",IF($K96="61-90","Urgent",IF($K96="90+","Immediate Action","Monitor"))))))</f>
        <v/>
      </c>
      <c r="M96" s="354">
        <f>IF($A96="","",LOWER($A96&amp;" "&amp;$B96&amp;" "&amp;$C96&amp;" "&amp;$K96&amp;" "&amp;$L96))</f>
        <v/>
      </c>
    </row>
    <row r="97">
      <c r="A97" s="353">
        <f>IF(Invoices!$Q97&gt;0,Invoices!$A97,"")</f>
        <v/>
      </c>
      <c r="B97" s="325">
        <f>IF($A97="","",Invoices!$C97)</f>
        <v/>
      </c>
      <c r="C97" s="325">
        <f>IF($A97="","",Invoices!$D97)</f>
        <v/>
      </c>
      <c r="D97" s="329">
        <f>IF($A97="","",Invoices!$B97)</f>
        <v/>
      </c>
      <c r="E97" s="329">
        <f>IF($A97="","",Invoices!$R97)</f>
        <v/>
      </c>
      <c r="F97" s="326">
        <f>IF($A97="","",Invoices!$L97)</f>
        <v/>
      </c>
      <c r="G97" s="326">
        <f>IF($A97="","",Invoices!$G97)</f>
        <v/>
      </c>
      <c r="H97" s="326">
        <f>IF($A97="","",Invoices!$Q97)</f>
        <v/>
      </c>
      <c r="I97" s="325">
        <f>IF($A97="","",Invoices!$S97)</f>
        <v/>
      </c>
      <c r="J97" s="325">
        <f>IF($A97="","",Invoices!$T97)</f>
        <v/>
      </c>
      <c r="K97" s="325">
        <f>IF($A97="","",Invoices!$U97)</f>
        <v/>
      </c>
      <c r="L97" s="325">
        <f>IF($A97="","",IF($K97="Current","Monitor",IF($K97="1-30","Follow Up",IF($K97="31-60","Escalate",IF($K97="61-90","Urgent",IF($K97="90+","Immediate Action","Monitor"))))))</f>
        <v/>
      </c>
      <c r="M97" s="354">
        <f>IF($A97="","",LOWER($A97&amp;" "&amp;$B97&amp;" "&amp;$C97&amp;" "&amp;$K97&amp;" "&amp;$L97))</f>
        <v/>
      </c>
    </row>
    <row r="98">
      <c r="A98" s="353">
        <f>IF(Invoices!$Q98&gt;0,Invoices!$A98,"")</f>
        <v/>
      </c>
      <c r="B98" s="325">
        <f>IF($A98="","",Invoices!$C98)</f>
        <v/>
      </c>
      <c r="C98" s="325">
        <f>IF($A98="","",Invoices!$D98)</f>
        <v/>
      </c>
      <c r="D98" s="329">
        <f>IF($A98="","",Invoices!$B98)</f>
        <v/>
      </c>
      <c r="E98" s="329">
        <f>IF($A98="","",Invoices!$R98)</f>
        <v/>
      </c>
      <c r="F98" s="326">
        <f>IF($A98="","",Invoices!$L98)</f>
        <v/>
      </c>
      <c r="G98" s="326">
        <f>IF($A98="","",Invoices!$G98)</f>
        <v/>
      </c>
      <c r="H98" s="326">
        <f>IF($A98="","",Invoices!$Q98)</f>
        <v/>
      </c>
      <c r="I98" s="325">
        <f>IF($A98="","",Invoices!$S98)</f>
        <v/>
      </c>
      <c r="J98" s="325">
        <f>IF($A98="","",Invoices!$T98)</f>
        <v/>
      </c>
      <c r="K98" s="325">
        <f>IF($A98="","",Invoices!$U98)</f>
        <v/>
      </c>
      <c r="L98" s="325">
        <f>IF($A98="","",IF($K98="Current","Monitor",IF($K98="1-30","Follow Up",IF($K98="31-60","Escalate",IF($K98="61-90","Urgent",IF($K98="90+","Immediate Action","Monitor"))))))</f>
        <v/>
      </c>
      <c r="M98" s="354">
        <f>IF($A98="","",LOWER($A98&amp;" "&amp;$B98&amp;" "&amp;$C98&amp;" "&amp;$K98&amp;" "&amp;$L98))</f>
        <v/>
      </c>
    </row>
    <row r="99">
      <c r="A99" s="353">
        <f>IF(Invoices!$Q99&gt;0,Invoices!$A99,"")</f>
        <v/>
      </c>
      <c r="B99" s="325">
        <f>IF($A99="","",Invoices!$C99)</f>
        <v/>
      </c>
      <c r="C99" s="325">
        <f>IF($A99="","",Invoices!$D99)</f>
        <v/>
      </c>
      <c r="D99" s="329">
        <f>IF($A99="","",Invoices!$B99)</f>
        <v/>
      </c>
      <c r="E99" s="329">
        <f>IF($A99="","",Invoices!$R99)</f>
        <v/>
      </c>
      <c r="F99" s="326">
        <f>IF($A99="","",Invoices!$L99)</f>
        <v/>
      </c>
      <c r="G99" s="326">
        <f>IF($A99="","",Invoices!$G99)</f>
        <v/>
      </c>
      <c r="H99" s="326">
        <f>IF($A99="","",Invoices!$Q99)</f>
        <v/>
      </c>
      <c r="I99" s="325">
        <f>IF($A99="","",Invoices!$S99)</f>
        <v/>
      </c>
      <c r="J99" s="325">
        <f>IF($A99="","",Invoices!$T99)</f>
        <v/>
      </c>
      <c r="K99" s="325">
        <f>IF($A99="","",Invoices!$U99)</f>
        <v/>
      </c>
      <c r="L99" s="325">
        <f>IF($A99="","",IF($K99="Current","Monitor",IF($K99="1-30","Follow Up",IF($K99="31-60","Escalate",IF($K99="61-90","Urgent",IF($K99="90+","Immediate Action","Monitor"))))))</f>
        <v/>
      </c>
      <c r="M99" s="354">
        <f>IF($A99="","",LOWER($A99&amp;" "&amp;$B99&amp;" "&amp;$C99&amp;" "&amp;$K99&amp;" "&amp;$L99))</f>
        <v/>
      </c>
    </row>
    <row r="100">
      <c r="A100" s="353">
        <f>IF(Invoices!$Q100&gt;0,Invoices!$A100,"")</f>
        <v/>
      </c>
      <c r="B100" s="325">
        <f>IF($A100="","",Invoices!$C100)</f>
        <v/>
      </c>
      <c r="C100" s="325">
        <f>IF($A100="","",Invoices!$D100)</f>
        <v/>
      </c>
      <c r="D100" s="329">
        <f>IF($A100="","",Invoices!$B100)</f>
        <v/>
      </c>
      <c r="E100" s="329">
        <f>IF($A100="","",Invoices!$R100)</f>
        <v/>
      </c>
      <c r="F100" s="326">
        <f>IF($A100="","",Invoices!$L100)</f>
        <v/>
      </c>
      <c r="G100" s="326">
        <f>IF($A100="","",Invoices!$G100)</f>
        <v/>
      </c>
      <c r="H100" s="326">
        <f>IF($A100="","",Invoices!$Q100)</f>
        <v/>
      </c>
      <c r="I100" s="325">
        <f>IF($A100="","",Invoices!$S100)</f>
        <v/>
      </c>
      <c r="J100" s="325">
        <f>IF($A100="","",Invoices!$T100)</f>
        <v/>
      </c>
      <c r="K100" s="325">
        <f>IF($A100="","",Invoices!$U100)</f>
        <v/>
      </c>
      <c r="L100" s="325">
        <f>IF($A100="","",IF($K100="Current","Monitor",IF($K100="1-30","Follow Up",IF($K100="31-60","Escalate",IF($K100="61-90","Urgent",IF($K100="90+","Immediate Action","Monitor"))))))</f>
        <v/>
      </c>
      <c r="M100" s="354">
        <f>IF($A100="","",LOWER($A100&amp;" "&amp;$B100&amp;" "&amp;$C100&amp;" "&amp;$K100&amp;" "&amp;$L100))</f>
        <v/>
      </c>
    </row>
    <row r="101">
      <c r="A101" s="353">
        <f>IF(Invoices!$Q101&gt;0,Invoices!$A101,"")</f>
        <v/>
      </c>
      <c r="B101" s="325">
        <f>IF($A101="","",Invoices!$C101)</f>
        <v/>
      </c>
      <c r="C101" s="325">
        <f>IF($A101="","",Invoices!$D101)</f>
        <v/>
      </c>
      <c r="D101" s="329">
        <f>IF($A101="","",Invoices!$B101)</f>
        <v/>
      </c>
      <c r="E101" s="329">
        <f>IF($A101="","",Invoices!$R101)</f>
        <v/>
      </c>
      <c r="F101" s="326">
        <f>IF($A101="","",Invoices!$L101)</f>
        <v/>
      </c>
      <c r="G101" s="326">
        <f>IF($A101="","",Invoices!$G101)</f>
        <v/>
      </c>
      <c r="H101" s="326">
        <f>IF($A101="","",Invoices!$Q101)</f>
        <v/>
      </c>
      <c r="I101" s="325">
        <f>IF($A101="","",Invoices!$S101)</f>
        <v/>
      </c>
      <c r="J101" s="325">
        <f>IF($A101="","",Invoices!$T101)</f>
        <v/>
      </c>
      <c r="K101" s="325">
        <f>IF($A101="","",Invoices!$U101)</f>
        <v/>
      </c>
      <c r="L101" s="325">
        <f>IF($A101="","",IF($K101="Current","Monitor",IF($K101="1-30","Follow Up",IF($K101="31-60","Escalate",IF($K101="61-90","Urgent",IF($K101="90+","Immediate Action","Monitor"))))))</f>
        <v/>
      </c>
      <c r="M101" s="354">
        <f>IF($A101="","",LOWER($A101&amp;" "&amp;$B101&amp;" "&amp;$C101&amp;" "&amp;$K101&amp;" "&amp;$L101))</f>
        <v/>
      </c>
    </row>
    <row r="102">
      <c r="A102" s="353">
        <f>IF(Invoices!$Q102&gt;0,Invoices!$A102,"")</f>
        <v/>
      </c>
      <c r="B102" s="325">
        <f>IF($A102="","",Invoices!$C102)</f>
        <v/>
      </c>
      <c r="C102" s="325">
        <f>IF($A102="","",Invoices!$D102)</f>
        <v/>
      </c>
      <c r="D102" s="329">
        <f>IF($A102="","",Invoices!$B102)</f>
        <v/>
      </c>
      <c r="E102" s="329">
        <f>IF($A102="","",Invoices!$R102)</f>
        <v/>
      </c>
      <c r="F102" s="326">
        <f>IF($A102="","",Invoices!$L102)</f>
        <v/>
      </c>
      <c r="G102" s="326">
        <f>IF($A102="","",Invoices!$G102)</f>
        <v/>
      </c>
      <c r="H102" s="326">
        <f>IF($A102="","",Invoices!$Q102)</f>
        <v/>
      </c>
      <c r="I102" s="325">
        <f>IF($A102="","",Invoices!$S102)</f>
        <v/>
      </c>
      <c r="J102" s="325">
        <f>IF($A102="","",Invoices!$T102)</f>
        <v/>
      </c>
      <c r="K102" s="325">
        <f>IF($A102="","",Invoices!$U102)</f>
        <v/>
      </c>
      <c r="L102" s="325">
        <f>IF($A102="","",IF($K102="Current","Monitor",IF($K102="1-30","Follow Up",IF($K102="31-60","Escalate",IF($K102="61-90","Urgent",IF($K102="90+","Immediate Action","Monitor"))))))</f>
        <v/>
      </c>
      <c r="M102" s="354">
        <f>IF($A102="","",LOWER($A102&amp;" "&amp;$B102&amp;" "&amp;$C102&amp;" "&amp;$K102&amp;" "&amp;$L102))</f>
        <v/>
      </c>
    </row>
    <row r="103">
      <c r="A103" s="353">
        <f>IF(Invoices!$Q103&gt;0,Invoices!$A103,"")</f>
        <v/>
      </c>
      <c r="B103" s="325">
        <f>IF($A103="","",Invoices!$C103)</f>
        <v/>
      </c>
      <c r="C103" s="325">
        <f>IF($A103="","",Invoices!$D103)</f>
        <v/>
      </c>
      <c r="D103" s="329">
        <f>IF($A103="","",Invoices!$B103)</f>
        <v/>
      </c>
      <c r="E103" s="329">
        <f>IF($A103="","",Invoices!$R103)</f>
        <v/>
      </c>
      <c r="F103" s="326">
        <f>IF($A103="","",Invoices!$L103)</f>
        <v/>
      </c>
      <c r="G103" s="326">
        <f>IF($A103="","",Invoices!$G103)</f>
        <v/>
      </c>
      <c r="H103" s="326">
        <f>IF($A103="","",Invoices!$Q103)</f>
        <v/>
      </c>
      <c r="I103" s="325">
        <f>IF($A103="","",Invoices!$S103)</f>
        <v/>
      </c>
      <c r="J103" s="325">
        <f>IF($A103="","",Invoices!$T103)</f>
        <v/>
      </c>
      <c r="K103" s="325">
        <f>IF($A103="","",Invoices!$U103)</f>
        <v/>
      </c>
      <c r="L103" s="325">
        <f>IF($A103="","",IF($K103="Current","Monitor",IF($K103="1-30","Follow Up",IF($K103="31-60","Escalate",IF($K103="61-90","Urgent",IF($K103="90+","Immediate Action","Monitor"))))))</f>
        <v/>
      </c>
      <c r="M103" s="354">
        <f>IF($A103="","",LOWER($A103&amp;" "&amp;$B103&amp;" "&amp;$C103&amp;" "&amp;$K103&amp;" "&amp;$L103))</f>
        <v/>
      </c>
    </row>
    <row r="104">
      <c r="A104" s="353">
        <f>IF(Invoices!$Q104&gt;0,Invoices!$A104,"")</f>
        <v/>
      </c>
      <c r="B104" s="325">
        <f>IF($A104="","",Invoices!$C104)</f>
        <v/>
      </c>
      <c r="C104" s="325">
        <f>IF($A104="","",Invoices!$D104)</f>
        <v/>
      </c>
      <c r="D104" s="329">
        <f>IF($A104="","",Invoices!$B104)</f>
        <v/>
      </c>
      <c r="E104" s="329">
        <f>IF($A104="","",Invoices!$R104)</f>
        <v/>
      </c>
      <c r="F104" s="326">
        <f>IF($A104="","",Invoices!$L104)</f>
        <v/>
      </c>
      <c r="G104" s="326">
        <f>IF($A104="","",Invoices!$G104)</f>
        <v/>
      </c>
      <c r="H104" s="326">
        <f>IF($A104="","",Invoices!$Q104)</f>
        <v/>
      </c>
      <c r="I104" s="325">
        <f>IF($A104="","",Invoices!$S104)</f>
        <v/>
      </c>
      <c r="J104" s="325">
        <f>IF($A104="","",Invoices!$T104)</f>
        <v/>
      </c>
      <c r="K104" s="325">
        <f>IF($A104="","",Invoices!$U104)</f>
        <v/>
      </c>
      <c r="L104" s="325">
        <f>IF($A104="","",IF($K104="Current","Monitor",IF($K104="1-30","Follow Up",IF($K104="31-60","Escalate",IF($K104="61-90","Urgent",IF($K104="90+","Immediate Action","Monitor"))))))</f>
        <v/>
      </c>
      <c r="M104" s="354">
        <f>IF($A104="","",LOWER($A104&amp;" "&amp;$B104&amp;" "&amp;$C104&amp;" "&amp;$K104&amp;" "&amp;$L104))</f>
        <v/>
      </c>
    </row>
    <row r="105">
      <c r="A105" s="353">
        <f>IF(Invoices!$Q105&gt;0,Invoices!$A105,"")</f>
        <v/>
      </c>
      <c r="B105" s="325">
        <f>IF($A105="","",Invoices!$C105)</f>
        <v/>
      </c>
      <c r="C105" s="325">
        <f>IF($A105="","",Invoices!$D105)</f>
        <v/>
      </c>
      <c r="D105" s="329">
        <f>IF($A105="","",Invoices!$B105)</f>
        <v/>
      </c>
      <c r="E105" s="329">
        <f>IF($A105="","",Invoices!$R105)</f>
        <v/>
      </c>
      <c r="F105" s="326">
        <f>IF($A105="","",Invoices!$L105)</f>
        <v/>
      </c>
      <c r="G105" s="326">
        <f>IF($A105="","",Invoices!$G105)</f>
        <v/>
      </c>
      <c r="H105" s="326">
        <f>IF($A105="","",Invoices!$Q105)</f>
        <v/>
      </c>
      <c r="I105" s="325">
        <f>IF($A105="","",Invoices!$S105)</f>
        <v/>
      </c>
      <c r="J105" s="325">
        <f>IF($A105="","",Invoices!$T105)</f>
        <v/>
      </c>
      <c r="K105" s="325">
        <f>IF($A105="","",Invoices!$U105)</f>
        <v/>
      </c>
      <c r="L105" s="325">
        <f>IF($A105="","",IF($K105="Current","Monitor",IF($K105="1-30","Follow Up",IF($K105="31-60","Escalate",IF($K105="61-90","Urgent",IF($K105="90+","Immediate Action","Monitor"))))))</f>
        <v/>
      </c>
      <c r="M105" s="354">
        <f>IF($A105="","",LOWER($A105&amp;" "&amp;$B105&amp;" "&amp;$C105&amp;" "&amp;$K105&amp;" "&amp;$L105))</f>
        <v/>
      </c>
    </row>
    <row r="106">
      <c r="A106" s="353">
        <f>IF(Invoices!$Q106&gt;0,Invoices!$A106,"")</f>
        <v/>
      </c>
      <c r="B106" s="325">
        <f>IF($A106="","",Invoices!$C106)</f>
        <v/>
      </c>
      <c r="C106" s="325">
        <f>IF($A106="","",Invoices!$D106)</f>
        <v/>
      </c>
      <c r="D106" s="329">
        <f>IF($A106="","",Invoices!$B106)</f>
        <v/>
      </c>
      <c r="E106" s="329">
        <f>IF($A106="","",Invoices!$R106)</f>
        <v/>
      </c>
      <c r="F106" s="326">
        <f>IF($A106="","",Invoices!$L106)</f>
        <v/>
      </c>
      <c r="G106" s="326">
        <f>IF($A106="","",Invoices!$G106)</f>
        <v/>
      </c>
      <c r="H106" s="326">
        <f>IF($A106="","",Invoices!$Q106)</f>
        <v/>
      </c>
      <c r="I106" s="325">
        <f>IF($A106="","",Invoices!$S106)</f>
        <v/>
      </c>
      <c r="J106" s="325">
        <f>IF($A106="","",Invoices!$T106)</f>
        <v/>
      </c>
      <c r="K106" s="325">
        <f>IF($A106="","",Invoices!$U106)</f>
        <v/>
      </c>
      <c r="L106" s="325">
        <f>IF($A106="","",IF($K106="Current","Monitor",IF($K106="1-30","Follow Up",IF($K106="31-60","Escalate",IF($K106="61-90","Urgent",IF($K106="90+","Immediate Action","Monitor"))))))</f>
        <v/>
      </c>
      <c r="M106" s="354">
        <f>IF($A106="","",LOWER($A106&amp;" "&amp;$B106&amp;" "&amp;$C106&amp;" "&amp;$K106&amp;" "&amp;$L106))</f>
        <v/>
      </c>
    </row>
    <row r="107">
      <c r="A107" s="353">
        <f>IF(Invoices!$Q107&gt;0,Invoices!$A107,"")</f>
        <v/>
      </c>
      <c r="B107" s="325">
        <f>IF($A107="","",Invoices!$C107)</f>
        <v/>
      </c>
      <c r="C107" s="325">
        <f>IF($A107="","",Invoices!$D107)</f>
        <v/>
      </c>
      <c r="D107" s="329">
        <f>IF($A107="","",Invoices!$B107)</f>
        <v/>
      </c>
      <c r="E107" s="329">
        <f>IF($A107="","",Invoices!$R107)</f>
        <v/>
      </c>
      <c r="F107" s="326">
        <f>IF($A107="","",Invoices!$L107)</f>
        <v/>
      </c>
      <c r="G107" s="326">
        <f>IF($A107="","",Invoices!$G107)</f>
        <v/>
      </c>
      <c r="H107" s="326">
        <f>IF($A107="","",Invoices!$Q107)</f>
        <v/>
      </c>
      <c r="I107" s="325">
        <f>IF($A107="","",Invoices!$S107)</f>
        <v/>
      </c>
      <c r="J107" s="325">
        <f>IF($A107="","",Invoices!$T107)</f>
        <v/>
      </c>
      <c r="K107" s="325">
        <f>IF($A107="","",Invoices!$U107)</f>
        <v/>
      </c>
      <c r="L107" s="325">
        <f>IF($A107="","",IF($K107="Current","Monitor",IF($K107="1-30","Follow Up",IF($K107="31-60","Escalate",IF($K107="61-90","Urgent",IF($K107="90+","Immediate Action","Monitor"))))))</f>
        <v/>
      </c>
      <c r="M107" s="354">
        <f>IF($A107="","",LOWER($A107&amp;" "&amp;$B107&amp;" "&amp;$C107&amp;" "&amp;$K107&amp;" "&amp;$L107))</f>
        <v/>
      </c>
    </row>
    <row r="108">
      <c r="A108" s="355">
        <f>IF(Invoices!$Q108&gt;0,Invoices!$A108,"")</f>
        <v/>
      </c>
      <c r="B108" s="335">
        <f>IF($A108="","",Invoices!$C108)</f>
        <v/>
      </c>
      <c r="C108" s="335">
        <f>IF($A108="","",Invoices!$D108)</f>
        <v/>
      </c>
      <c r="D108" s="339">
        <f>IF($A108="","",Invoices!$B108)</f>
        <v/>
      </c>
      <c r="E108" s="339">
        <f>IF($A108="","",Invoices!$R108)</f>
        <v/>
      </c>
      <c r="F108" s="336">
        <f>IF($A108="","",Invoices!$L108)</f>
        <v/>
      </c>
      <c r="G108" s="336">
        <f>IF($A108="","",Invoices!$G108)</f>
        <v/>
      </c>
      <c r="H108" s="336">
        <f>IF($A108="","",Invoices!$Q108)</f>
        <v/>
      </c>
      <c r="I108" s="335">
        <f>IF($A108="","",Invoices!$S108)</f>
        <v/>
      </c>
      <c r="J108" s="335">
        <f>IF($A108="","",Invoices!$T108)</f>
        <v/>
      </c>
      <c r="K108" s="335">
        <f>IF($A108="","",Invoices!$U108)</f>
        <v/>
      </c>
      <c r="L108" s="335">
        <f>IF($A108="","",IF($K108="Current","Monitor",IF($K108="1-30","Follow Up",IF($K108="31-60","Escalate",IF($K108="61-90","Urgent",IF($K108="90+","Immediate Action","Monitor"))))))</f>
        <v/>
      </c>
      <c r="M108" s="356">
        <f>IF($A108="","",LOWER($A108&amp;" "&amp;$B108&amp;" "&amp;$C108&amp;" "&amp;$K108&amp;" "&amp;$L108))</f>
        <v/>
      </c>
    </row>
    <row r="109">
      <c r="A109" s="30" t="n"/>
      <c r="B109" s="30" t="n"/>
      <c r="C109" s="30" t="n"/>
      <c r="D109" s="346" t="n"/>
      <c r="E109" s="346" t="n"/>
      <c r="F109" s="343" t="n"/>
      <c r="G109" s="343" t="n"/>
      <c r="H109" s="343" t="n"/>
      <c r="I109" s="30" t="n"/>
      <c r="J109" s="30" t="n"/>
      <c r="K109" s="30" t="n"/>
      <c r="L109" s="30" t="n"/>
      <c r="M109" s="30" t="n"/>
    </row>
    <row r="110">
      <c r="A110" s="30" t="n"/>
      <c r="B110" s="30" t="n"/>
      <c r="C110" s="30" t="n"/>
      <c r="D110" s="346" t="n"/>
      <c r="E110" s="346" t="n"/>
      <c r="F110" s="343" t="n"/>
      <c r="G110" s="343" t="n"/>
      <c r="H110" s="343" t="n"/>
      <c r="I110" s="30" t="n"/>
      <c r="J110" s="30" t="n"/>
      <c r="K110" s="30" t="n"/>
      <c r="L110" s="30" t="n"/>
      <c r="M110" s="30" t="n"/>
    </row>
    <row r="111">
      <c r="A111" s="30" t="n"/>
      <c r="B111" s="30" t="n"/>
      <c r="C111" s="30" t="n"/>
      <c r="D111" s="346" t="n"/>
      <c r="E111" s="346" t="n"/>
      <c r="F111" s="343" t="n"/>
      <c r="G111" s="343" t="n"/>
      <c r="H111" s="343" t="n"/>
      <c r="I111" s="30" t="n"/>
      <c r="J111" s="30" t="n"/>
      <c r="K111" s="30" t="n"/>
      <c r="L111" s="30" t="n"/>
      <c r="M111" s="30" t="n"/>
    </row>
    <row r="112">
      <c r="A112" s="30" t="n"/>
      <c r="B112" s="30" t="n"/>
      <c r="C112" s="30" t="n"/>
      <c r="D112" s="346" t="n"/>
      <c r="E112" s="346" t="n"/>
      <c r="F112" s="343" t="n"/>
      <c r="G112" s="343" t="n"/>
      <c r="H112" s="343" t="n"/>
      <c r="I112" s="30" t="n"/>
      <c r="J112" s="30" t="n"/>
      <c r="K112" s="30" t="n"/>
      <c r="L112" s="30" t="n"/>
      <c r="M112" s="30" t="n"/>
    </row>
    <row r="113">
      <c r="A113" s="30" t="n"/>
      <c r="B113" s="30" t="n"/>
      <c r="C113" s="30" t="n"/>
      <c r="D113" s="346" t="n"/>
      <c r="E113" s="346" t="n"/>
      <c r="F113" s="343" t="n"/>
      <c r="G113" s="343" t="n"/>
      <c r="H113" s="343" t="n"/>
      <c r="I113" s="30" t="n"/>
      <c r="J113" s="30" t="n"/>
      <c r="K113" s="30" t="n"/>
      <c r="L113" s="30" t="n"/>
      <c r="M113" s="30" t="n"/>
    </row>
    <row r="114">
      <c r="A114" s="30" t="n"/>
      <c r="B114" s="30" t="n"/>
      <c r="C114" s="30" t="n"/>
      <c r="D114" s="346" t="n"/>
      <c r="E114" s="346" t="n"/>
      <c r="F114" s="343" t="n"/>
      <c r="G114" s="343" t="n"/>
      <c r="H114" s="343" t="n"/>
      <c r="I114" s="30" t="n"/>
      <c r="J114" s="30" t="n"/>
      <c r="K114" s="30" t="n"/>
      <c r="L114" s="30" t="n"/>
      <c r="M114" s="30" t="n"/>
    </row>
    <row r="115">
      <c r="A115" s="30" t="n"/>
      <c r="B115" s="30" t="n"/>
      <c r="C115" s="30" t="n"/>
      <c r="D115" s="346" t="n"/>
      <c r="E115" s="346" t="n"/>
      <c r="F115" s="343" t="n"/>
      <c r="G115" s="343" t="n"/>
      <c r="H115" s="343" t="n"/>
      <c r="I115" s="30" t="n"/>
      <c r="J115" s="30" t="n"/>
      <c r="K115" s="30" t="n"/>
      <c r="L115" s="30" t="n"/>
      <c r="M115" s="30" t="n"/>
    </row>
    <row r="116">
      <c r="A116" s="30" t="n"/>
      <c r="B116" s="30" t="n"/>
      <c r="C116" s="30" t="n"/>
      <c r="D116" s="346" t="n"/>
      <c r="E116" s="346" t="n"/>
      <c r="F116" s="343" t="n"/>
      <c r="G116" s="343" t="n"/>
      <c r="H116" s="343" t="n"/>
      <c r="I116" s="30" t="n"/>
      <c r="J116" s="30" t="n"/>
      <c r="K116" s="30" t="n"/>
      <c r="L116" s="30" t="n"/>
      <c r="M116" s="30" t="n"/>
    </row>
    <row r="117">
      <c r="A117" s="30" t="n"/>
      <c r="B117" s="30" t="n"/>
      <c r="C117" s="30" t="n"/>
      <c r="D117" s="346" t="n"/>
      <c r="E117" s="346" t="n"/>
      <c r="F117" s="343" t="n"/>
      <c r="G117" s="343" t="n"/>
      <c r="H117" s="343" t="n"/>
      <c r="I117" s="30" t="n"/>
      <c r="J117" s="30" t="n"/>
      <c r="K117" s="30" t="n"/>
      <c r="L117" s="30" t="n"/>
      <c r="M117" s="30" t="n"/>
    </row>
    <row r="118">
      <c r="A118" s="30" t="n"/>
      <c r="B118" s="30" t="n"/>
      <c r="C118" s="30" t="n"/>
      <c r="D118" s="346" t="n"/>
      <c r="E118" s="346" t="n"/>
      <c r="F118" s="343" t="n"/>
      <c r="G118" s="343" t="n"/>
      <c r="H118" s="343" t="n"/>
      <c r="I118" s="30" t="n"/>
      <c r="J118" s="30" t="n"/>
      <c r="K118" s="30" t="n"/>
      <c r="L118" s="30" t="n"/>
      <c r="M118" s="30" t="n"/>
    </row>
    <row r="119">
      <c r="A119" s="30" t="n"/>
      <c r="B119" s="30" t="n"/>
      <c r="C119" s="30" t="n"/>
      <c r="D119" s="346" t="n"/>
      <c r="E119" s="346" t="n"/>
      <c r="F119" s="343" t="n"/>
      <c r="G119" s="343" t="n"/>
      <c r="H119" s="343" t="n"/>
      <c r="I119" s="30" t="n"/>
      <c r="J119" s="30" t="n"/>
      <c r="K119" s="30" t="n"/>
      <c r="L119" s="30" t="n"/>
      <c r="M119" s="30" t="n"/>
    </row>
    <row r="120">
      <c r="A120" s="30" t="n"/>
      <c r="B120" s="30" t="n"/>
      <c r="C120" s="30" t="n"/>
      <c r="D120" s="346" t="n"/>
      <c r="E120" s="346" t="n"/>
      <c r="F120" s="343" t="n"/>
      <c r="G120" s="343" t="n"/>
      <c r="H120" s="343" t="n"/>
      <c r="I120" s="30" t="n"/>
      <c r="J120" s="30" t="n"/>
      <c r="K120" s="30" t="n"/>
      <c r="L120" s="30" t="n"/>
      <c r="M120" s="30" t="n"/>
    </row>
    <row r="121">
      <c r="A121" s="30" t="n"/>
      <c r="B121" s="30" t="n"/>
      <c r="C121" s="30" t="n"/>
      <c r="D121" s="346" t="n"/>
      <c r="E121" s="346" t="n"/>
      <c r="F121" s="343" t="n"/>
      <c r="G121" s="343" t="n"/>
      <c r="H121" s="343" t="n"/>
      <c r="I121" s="30" t="n"/>
      <c r="J121" s="30" t="n"/>
      <c r="K121" s="30" t="n"/>
      <c r="L121" s="30" t="n"/>
      <c r="M121" s="30" t="n"/>
    </row>
    <row r="122">
      <c r="A122" s="30" t="n"/>
      <c r="B122" s="30" t="n"/>
      <c r="C122" s="30" t="n"/>
      <c r="D122" s="346" t="n"/>
      <c r="E122" s="346" t="n"/>
      <c r="F122" s="343" t="n"/>
      <c r="G122" s="343" t="n"/>
      <c r="H122" s="343" t="n"/>
      <c r="I122" s="30" t="n"/>
      <c r="J122" s="30" t="n"/>
      <c r="K122" s="30" t="n"/>
      <c r="L122" s="30" t="n"/>
      <c r="M122" s="30" t="n"/>
    </row>
    <row r="123">
      <c r="A123" s="30" t="n"/>
      <c r="B123" s="30" t="n"/>
      <c r="C123" s="30" t="n"/>
      <c r="D123" s="346" t="n"/>
      <c r="E123" s="346" t="n"/>
      <c r="F123" s="343" t="n"/>
      <c r="G123" s="343" t="n"/>
      <c r="H123" s="343" t="n"/>
      <c r="I123" s="30" t="n"/>
      <c r="J123" s="30" t="n"/>
      <c r="K123" s="30" t="n"/>
      <c r="L123" s="30" t="n"/>
      <c r="M123" s="30" t="n"/>
    </row>
    <row r="124">
      <c r="A124" s="30" t="n"/>
      <c r="B124" s="30" t="n"/>
      <c r="C124" s="30" t="n"/>
      <c r="D124" s="346" t="n"/>
      <c r="E124" s="346" t="n"/>
      <c r="F124" s="343" t="n"/>
      <c r="G124" s="343" t="n"/>
      <c r="H124" s="343" t="n"/>
      <c r="I124" s="30" t="n"/>
      <c r="J124" s="30" t="n"/>
      <c r="K124" s="30" t="n"/>
      <c r="L124" s="30" t="n"/>
      <c r="M124" s="30" t="n"/>
    </row>
    <row r="125">
      <c r="A125" s="30" t="n"/>
      <c r="B125" s="30" t="n"/>
      <c r="C125" s="30" t="n"/>
      <c r="D125" s="346" t="n"/>
      <c r="E125" s="346" t="n"/>
      <c r="F125" s="343" t="n"/>
      <c r="G125" s="343" t="n"/>
      <c r="H125" s="343" t="n"/>
      <c r="I125" s="30" t="n"/>
      <c r="J125" s="30" t="n"/>
      <c r="K125" s="30" t="n"/>
      <c r="L125" s="30" t="n"/>
      <c r="M125" s="30" t="n"/>
    </row>
    <row r="126">
      <c r="A126" s="30" t="n"/>
      <c r="B126" s="30" t="n"/>
      <c r="C126" s="30" t="n"/>
      <c r="D126" s="346" t="n"/>
      <c r="E126" s="346" t="n"/>
      <c r="F126" s="343" t="n"/>
      <c r="G126" s="343" t="n"/>
      <c r="H126" s="343" t="n"/>
      <c r="I126" s="30" t="n"/>
      <c r="J126" s="30" t="n"/>
      <c r="K126" s="30" t="n"/>
      <c r="L126" s="30" t="n"/>
      <c r="M126" s="30" t="n"/>
    </row>
    <row r="127">
      <c r="A127" s="30" t="n"/>
      <c r="B127" s="30" t="n"/>
      <c r="C127" s="30" t="n"/>
      <c r="D127" s="346" t="n"/>
      <c r="E127" s="346" t="n"/>
      <c r="F127" s="343" t="n"/>
      <c r="G127" s="343" t="n"/>
      <c r="H127" s="343" t="n"/>
      <c r="I127" s="30" t="n"/>
      <c r="J127" s="30" t="n"/>
      <c r="K127" s="30" t="n"/>
      <c r="L127" s="30" t="n"/>
      <c r="M127" s="30" t="n"/>
    </row>
    <row r="128">
      <c r="A128" s="30" t="n"/>
      <c r="B128" s="30" t="n"/>
      <c r="C128" s="30" t="n"/>
      <c r="D128" s="346" t="n"/>
      <c r="E128" s="346" t="n"/>
      <c r="F128" s="343" t="n"/>
      <c r="G128" s="343" t="n"/>
      <c r="H128" s="343" t="n"/>
      <c r="I128" s="30" t="n"/>
      <c r="J128" s="30" t="n"/>
      <c r="K128" s="30" t="n"/>
      <c r="L128" s="30" t="n"/>
      <c r="M128" s="30" t="n"/>
    </row>
    <row r="129">
      <c r="A129" s="30" t="n"/>
      <c r="B129" s="30" t="n"/>
      <c r="C129" s="30" t="n"/>
      <c r="D129" s="346" t="n"/>
      <c r="E129" s="346" t="n"/>
      <c r="F129" s="343" t="n"/>
      <c r="G129" s="343" t="n"/>
      <c r="H129" s="343" t="n"/>
      <c r="I129" s="30" t="n"/>
      <c r="J129" s="30" t="n"/>
      <c r="K129" s="30" t="n"/>
      <c r="L129" s="30" t="n"/>
      <c r="M129" s="30" t="n"/>
    </row>
    <row r="130">
      <c r="A130" s="30" t="n"/>
      <c r="B130" s="30" t="n"/>
      <c r="C130" s="30" t="n"/>
      <c r="D130" s="346" t="n"/>
      <c r="E130" s="346" t="n"/>
      <c r="F130" s="343" t="n"/>
      <c r="G130" s="343" t="n"/>
      <c r="H130" s="343" t="n"/>
      <c r="I130" s="30" t="n"/>
      <c r="J130" s="30" t="n"/>
      <c r="K130" s="30" t="n"/>
      <c r="L130" s="30" t="n"/>
      <c r="M130" s="30" t="n"/>
    </row>
    <row r="131">
      <c r="A131" s="30" t="n"/>
      <c r="B131" s="30" t="n"/>
      <c r="C131" s="30" t="n"/>
      <c r="D131" s="346" t="n"/>
      <c r="E131" s="346" t="n"/>
      <c r="F131" s="343" t="n"/>
      <c r="G131" s="343" t="n"/>
      <c r="H131" s="343" t="n"/>
      <c r="I131" s="30" t="n"/>
      <c r="J131" s="30" t="n"/>
      <c r="K131" s="30" t="n"/>
      <c r="L131" s="30" t="n"/>
      <c r="M131" s="30" t="n"/>
    </row>
    <row r="132">
      <c r="A132" s="30" t="n"/>
      <c r="B132" s="30" t="n"/>
      <c r="C132" s="30" t="n"/>
      <c r="D132" s="346" t="n"/>
      <c r="E132" s="346" t="n"/>
      <c r="F132" s="343" t="n"/>
      <c r="G132" s="343" t="n"/>
      <c r="H132" s="343" t="n"/>
      <c r="I132" s="30" t="n"/>
      <c r="J132" s="30" t="n"/>
      <c r="K132" s="30" t="n"/>
      <c r="L132" s="30" t="n"/>
      <c r="M132" s="30" t="n"/>
    </row>
    <row r="133">
      <c r="A133" s="30" t="n"/>
      <c r="B133" s="30" t="n"/>
      <c r="C133" s="30" t="n"/>
      <c r="D133" s="346" t="n"/>
      <c r="E133" s="346" t="n"/>
      <c r="F133" s="343" t="n"/>
      <c r="G133" s="343" t="n"/>
      <c r="H133" s="343" t="n"/>
      <c r="I133" s="30" t="n"/>
      <c r="J133" s="30" t="n"/>
      <c r="K133" s="30" t="n"/>
      <c r="L133" s="30" t="n"/>
      <c r="M133" s="30" t="n"/>
    </row>
    <row r="134">
      <c r="A134" s="30" t="n"/>
      <c r="B134" s="30" t="n"/>
      <c r="C134" s="30" t="n"/>
      <c r="D134" s="346" t="n"/>
      <c r="E134" s="346" t="n"/>
      <c r="F134" s="343" t="n"/>
      <c r="G134" s="343" t="n"/>
      <c r="H134" s="343" t="n"/>
      <c r="I134" s="30" t="n"/>
      <c r="J134" s="30" t="n"/>
      <c r="K134" s="30" t="n"/>
      <c r="L134" s="30" t="n"/>
      <c r="M134" s="30" t="n"/>
    </row>
    <row r="135">
      <c r="A135" s="30" t="n"/>
      <c r="B135" s="30" t="n"/>
      <c r="C135" s="30" t="n"/>
      <c r="D135" s="346" t="n"/>
      <c r="E135" s="346" t="n"/>
      <c r="F135" s="343" t="n"/>
      <c r="G135" s="343" t="n"/>
      <c r="H135" s="343" t="n"/>
      <c r="I135" s="30" t="n"/>
      <c r="J135" s="30" t="n"/>
      <c r="K135" s="30" t="n"/>
      <c r="L135" s="30" t="n"/>
      <c r="M135" s="30" t="n"/>
    </row>
    <row r="136">
      <c r="A136" s="30" t="n"/>
      <c r="B136" s="30" t="n"/>
      <c r="C136" s="30" t="n"/>
      <c r="D136" s="346" t="n"/>
      <c r="E136" s="346" t="n"/>
      <c r="F136" s="343" t="n"/>
      <c r="G136" s="343" t="n"/>
      <c r="H136" s="343" t="n"/>
      <c r="I136" s="30" t="n"/>
      <c r="J136" s="30" t="n"/>
      <c r="K136" s="30" t="n"/>
      <c r="L136" s="30" t="n"/>
      <c r="M136" s="30" t="n"/>
    </row>
    <row r="137">
      <c r="A137" s="30" t="n"/>
      <c r="B137" s="30" t="n"/>
      <c r="C137" s="30" t="n"/>
      <c r="D137" s="346" t="n"/>
      <c r="E137" s="346" t="n"/>
      <c r="F137" s="343" t="n"/>
      <c r="G137" s="343" t="n"/>
      <c r="H137" s="343" t="n"/>
      <c r="I137" s="30" t="n"/>
      <c r="J137" s="30" t="n"/>
      <c r="K137" s="30" t="n"/>
      <c r="L137" s="30" t="n"/>
      <c r="M137" s="30" t="n"/>
    </row>
    <row r="138">
      <c r="A138" s="30" t="n"/>
      <c r="B138" s="30" t="n"/>
      <c r="C138" s="30" t="n"/>
      <c r="D138" s="346" t="n"/>
      <c r="E138" s="346" t="n"/>
      <c r="F138" s="343" t="n"/>
      <c r="G138" s="343" t="n"/>
      <c r="H138" s="343" t="n"/>
      <c r="I138" s="30" t="n"/>
      <c r="J138" s="30" t="n"/>
      <c r="K138" s="30" t="n"/>
      <c r="L138" s="30" t="n"/>
      <c r="M138" s="30" t="n"/>
    </row>
    <row r="139">
      <c r="A139" s="30" t="n"/>
      <c r="B139" s="30" t="n"/>
      <c r="C139" s="30" t="n"/>
      <c r="D139" s="346" t="n"/>
      <c r="E139" s="346" t="n"/>
      <c r="F139" s="343" t="n"/>
      <c r="G139" s="343" t="n"/>
      <c r="H139" s="343" t="n"/>
      <c r="I139" s="30" t="n"/>
      <c r="J139" s="30" t="n"/>
      <c r="K139" s="30" t="n"/>
      <c r="L139" s="30" t="n"/>
      <c r="M139" s="30" t="n"/>
    </row>
    <row r="140">
      <c r="A140" s="30" t="n"/>
      <c r="B140" s="30" t="n"/>
      <c r="C140" s="30" t="n"/>
      <c r="D140" s="346" t="n"/>
      <c r="E140" s="346" t="n"/>
      <c r="F140" s="343" t="n"/>
      <c r="G140" s="343" t="n"/>
      <c r="H140" s="343" t="n"/>
      <c r="I140" s="30" t="n"/>
      <c r="J140" s="30" t="n"/>
      <c r="K140" s="30" t="n"/>
      <c r="L140" s="30" t="n"/>
      <c r="M140" s="30" t="n"/>
    </row>
    <row r="141">
      <c r="A141" s="30" t="n"/>
      <c r="B141" s="30" t="n"/>
      <c r="C141" s="30" t="n"/>
      <c r="D141" s="346" t="n"/>
      <c r="E141" s="346" t="n"/>
      <c r="F141" s="343" t="n"/>
      <c r="G141" s="343" t="n"/>
      <c r="H141" s="343" t="n"/>
      <c r="I141" s="30" t="n"/>
      <c r="J141" s="30" t="n"/>
      <c r="K141" s="30" t="n"/>
      <c r="L141" s="30" t="n"/>
      <c r="M141" s="30" t="n"/>
    </row>
    <row r="142">
      <c r="A142" s="30" t="n"/>
      <c r="B142" s="30" t="n"/>
      <c r="C142" s="30" t="n"/>
      <c r="D142" s="346" t="n"/>
      <c r="E142" s="346" t="n"/>
      <c r="F142" s="343" t="n"/>
      <c r="G142" s="343" t="n"/>
      <c r="H142" s="343" t="n"/>
      <c r="I142" s="30" t="n"/>
      <c r="J142" s="30" t="n"/>
      <c r="K142" s="30" t="n"/>
      <c r="L142" s="30" t="n"/>
      <c r="M142" s="30" t="n"/>
    </row>
    <row r="143">
      <c r="A143" s="30" t="n"/>
      <c r="B143" s="30" t="n"/>
      <c r="C143" s="30" t="n"/>
      <c r="D143" s="346" t="n"/>
      <c r="E143" s="346" t="n"/>
      <c r="F143" s="343" t="n"/>
      <c r="G143" s="343" t="n"/>
      <c r="H143" s="343" t="n"/>
      <c r="I143" s="30" t="n"/>
      <c r="J143" s="30" t="n"/>
      <c r="K143" s="30" t="n"/>
      <c r="L143" s="30" t="n"/>
      <c r="M143" s="30" t="n"/>
    </row>
    <row r="144">
      <c r="A144" s="30" t="n"/>
      <c r="B144" s="30" t="n"/>
      <c r="C144" s="30" t="n"/>
      <c r="D144" s="346" t="n"/>
      <c r="E144" s="346" t="n"/>
      <c r="F144" s="343" t="n"/>
      <c r="G144" s="343" t="n"/>
      <c r="H144" s="343" t="n"/>
      <c r="I144" s="30" t="n"/>
      <c r="J144" s="30" t="n"/>
      <c r="K144" s="30" t="n"/>
      <c r="L144" s="30" t="n"/>
      <c r="M144" s="30" t="n"/>
    </row>
    <row r="145">
      <c r="A145" s="30" t="n"/>
      <c r="B145" s="30" t="n"/>
      <c r="C145" s="30" t="n"/>
      <c r="D145" s="346" t="n"/>
      <c r="E145" s="346" t="n"/>
      <c r="F145" s="343" t="n"/>
      <c r="G145" s="343" t="n"/>
      <c r="H145" s="343" t="n"/>
      <c r="I145" s="30" t="n"/>
      <c r="J145" s="30" t="n"/>
      <c r="K145" s="30" t="n"/>
      <c r="L145" s="30" t="n"/>
      <c r="M145" s="30" t="n"/>
    </row>
    <row r="146">
      <c r="A146" s="30" t="n"/>
      <c r="B146" s="30" t="n"/>
      <c r="C146" s="30" t="n"/>
      <c r="D146" s="346" t="n"/>
      <c r="E146" s="346" t="n"/>
      <c r="F146" s="343" t="n"/>
      <c r="G146" s="343" t="n"/>
      <c r="H146" s="343" t="n"/>
      <c r="I146" s="30" t="n"/>
      <c r="J146" s="30" t="n"/>
      <c r="K146" s="30" t="n"/>
      <c r="L146" s="30" t="n"/>
      <c r="M146" s="30" t="n"/>
    </row>
    <row r="147">
      <c r="A147" s="30" t="n"/>
      <c r="B147" s="30" t="n"/>
      <c r="C147" s="30" t="n"/>
      <c r="D147" s="346" t="n"/>
      <c r="E147" s="346" t="n"/>
      <c r="F147" s="343" t="n"/>
      <c r="G147" s="343" t="n"/>
      <c r="H147" s="343" t="n"/>
      <c r="I147" s="30" t="n"/>
      <c r="J147" s="30" t="n"/>
      <c r="K147" s="30" t="n"/>
      <c r="L147" s="30" t="n"/>
      <c r="M147" s="30" t="n"/>
    </row>
    <row r="148">
      <c r="A148" s="30" t="n"/>
      <c r="B148" s="30" t="n"/>
      <c r="C148" s="30" t="n"/>
      <c r="D148" s="346" t="n"/>
      <c r="E148" s="346" t="n"/>
      <c r="F148" s="343" t="n"/>
      <c r="G148" s="343" t="n"/>
      <c r="H148" s="343" t="n"/>
      <c r="I148" s="30" t="n"/>
      <c r="J148" s="30" t="n"/>
      <c r="K148" s="30" t="n"/>
      <c r="L148" s="30" t="n"/>
      <c r="M148" s="30" t="n"/>
    </row>
    <row r="149">
      <c r="A149" s="30" t="n"/>
      <c r="B149" s="30" t="n"/>
      <c r="C149" s="30" t="n"/>
      <c r="D149" s="346" t="n"/>
      <c r="E149" s="346" t="n"/>
      <c r="F149" s="343" t="n"/>
      <c r="G149" s="343" t="n"/>
      <c r="H149" s="343" t="n"/>
      <c r="I149" s="30" t="n"/>
      <c r="J149" s="30" t="n"/>
      <c r="K149" s="30" t="n"/>
      <c r="L149" s="30" t="n"/>
      <c r="M149" s="30" t="n"/>
    </row>
    <row r="150">
      <c r="A150" s="30" t="n"/>
      <c r="B150" s="30" t="n"/>
      <c r="C150" s="30" t="n"/>
      <c r="D150" s="346" t="n"/>
      <c r="E150" s="346" t="n"/>
      <c r="F150" s="343" t="n"/>
      <c r="G150" s="343" t="n"/>
      <c r="H150" s="343" t="n"/>
      <c r="I150" s="30" t="n"/>
      <c r="J150" s="30" t="n"/>
      <c r="K150" s="30" t="n"/>
      <c r="L150" s="30" t="n"/>
      <c r="M150" s="30" t="n"/>
    </row>
    <row r="151">
      <c r="A151" s="30" t="n"/>
      <c r="B151" s="30" t="n"/>
      <c r="C151" s="30" t="n"/>
      <c r="D151" s="346" t="n"/>
      <c r="E151" s="346" t="n"/>
      <c r="F151" s="343" t="n"/>
      <c r="G151" s="343" t="n"/>
      <c r="H151" s="343" t="n"/>
      <c r="I151" s="30" t="n"/>
      <c r="J151" s="30" t="n"/>
      <c r="K151" s="30" t="n"/>
      <c r="L151" s="30" t="n"/>
      <c r="M151" s="30" t="n"/>
    </row>
    <row r="152">
      <c r="A152" s="30" t="n"/>
      <c r="B152" s="30" t="n"/>
      <c r="C152" s="30" t="n"/>
      <c r="D152" s="346" t="n"/>
      <c r="E152" s="346" t="n"/>
      <c r="F152" s="343" t="n"/>
      <c r="G152" s="343" t="n"/>
      <c r="H152" s="343" t="n"/>
      <c r="I152" s="30" t="n"/>
      <c r="J152" s="30" t="n"/>
      <c r="K152" s="30" t="n"/>
      <c r="L152" s="30" t="n"/>
      <c r="M152" s="30" t="n"/>
    </row>
    <row r="153">
      <c r="A153" s="30" t="n"/>
      <c r="B153" s="30" t="n"/>
      <c r="C153" s="30" t="n"/>
      <c r="D153" s="346" t="n"/>
      <c r="E153" s="346" t="n"/>
      <c r="F153" s="343" t="n"/>
      <c r="G153" s="343" t="n"/>
      <c r="H153" s="343" t="n"/>
      <c r="I153" s="30" t="n"/>
      <c r="J153" s="30" t="n"/>
      <c r="K153" s="30" t="n"/>
      <c r="L153" s="30" t="n"/>
      <c r="M153" s="30" t="n"/>
    </row>
    <row r="154">
      <c r="A154" s="30" t="n"/>
      <c r="B154" s="30" t="n"/>
      <c r="C154" s="30" t="n"/>
      <c r="D154" s="346" t="n"/>
      <c r="E154" s="346" t="n"/>
      <c r="F154" s="343" t="n"/>
      <c r="G154" s="343" t="n"/>
      <c r="H154" s="343" t="n"/>
      <c r="I154" s="30" t="n"/>
      <c r="J154" s="30" t="n"/>
      <c r="K154" s="30" t="n"/>
      <c r="L154" s="30" t="n"/>
      <c r="M154" s="30" t="n"/>
    </row>
    <row r="155">
      <c r="A155" s="30" t="n"/>
      <c r="B155" s="30" t="n"/>
      <c r="C155" s="30" t="n"/>
      <c r="D155" s="346" t="n"/>
      <c r="E155" s="346" t="n"/>
      <c r="F155" s="343" t="n"/>
      <c r="G155" s="343" t="n"/>
      <c r="H155" s="343" t="n"/>
      <c r="I155" s="30" t="n"/>
      <c r="J155" s="30" t="n"/>
      <c r="K155" s="30" t="n"/>
      <c r="L155" s="30" t="n"/>
      <c r="M155" s="30" t="n"/>
    </row>
    <row r="156">
      <c r="A156" s="30" t="n"/>
      <c r="B156" s="30" t="n"/>
      <c r="C156" s="30" t="n"/>
      <c r="D156" s="346" t="n"/>
      <c r="E156" s="346" t="n"/>
      <c r="F156" s="343" t="n"/>
      <c r="G156" s="343" t="n"/>
      <c r="H156" s="343" t="n"/>
      <c r="I156" s="30" t="n"/>
      <c r="J156" s="30" t="n"/>
      <c r="K156" s="30" t="n"/>
      <c r="L156" s="30" t="n"/>
      <c r="M156" s="30" t="n"/>
    </row>
    <row r="157">
      <c r="A157" s="30" t="n"/>
      <c r="B157" s="30" t="n"/>
      <c r="C157" s="30" t="n"/>
      <c r="D157" s="346" t="n"/>
      <c r="E157" s="346" t="n"/>
      <c r="F157" s="343" t="n"/>
      <c r="G157" s="343" t="n"/>
      <c r="H157" s="343" t="n"/>
      <c r="I157" s="30" t="n"/>
      <c r="J157" s="30" t="n"/>
      <c r="K157" s="30" t="n"/>
      <c r="L157" s="30" t="n"/>
      <c r="M157" s="30" t="n"/>
    </row>
    <row r="158">
      <c r="A158" s="30" t="n"/>
      <c r="B158" s="30" t="n"/>
      <c r="C158" s="30" t="n"/>
      <c r="D158" s="346" t="n"/>
      <c r="E158" s="346" t="n"/>
      <c r="F158" s="343" t="n"/>
      <c r="G158" s="343" t="n"/>
      <c r="H158" s="343" t="n"/>
      <c r="I158" s="30" t="n"/>
      <c r="J158" s="30" t="n"/>
      <c r="K158" s="30" t="n"/>
      <c r="L158" s="30" t="n"/>
      <c r="M158" s="30" t="n"/>
    </row>
    <row r="159">
      <c r="A159" s="30" t="n"/>
      <c r="B159" s="30" t="n"/>
      <c r="C159" s="30" t="n"/>
      <c r="D159" s="346" t="n"/>
      <c r="E159" s="346" t="n"/>
      <c r="F159" s="343" t="n"/>
      <c r="G159" s="343" t="n"/>
      <c r="H159" s="343" t="n"/>
      <c r="I159" s="30" t="n"/>
      <c r="J159" s="30" t="n"/>
      <c r="K159" s="30" t="n"/>
      <c r="L159" s="30" t="n"/>
      <c r="M159" s="30" t="n"/>
    </row>
    <row r="160">
      <c r="A160" s="30" t="n"/>
      <c r="B160" s="30" t="n"/>
      <c r="C160" s="30" t="n"/>
      <c r="D160" s="346" t="n"/>
      <c r="E160" s="346" t="n"/>
      <c r="F160" s="343" t="n"/>
      <c r="G160" s="343" t="n"/>
      <c r="H160" s="343" t="n"/>
      <c r="I160" s="30" t="n"/>
      <c r="J160" s="30" t="n"/>
      <c r="K160" s="30" t="n"/>
      <c r="L160" s="30" t="n"/>
      <c r="M160" s="30" t="n"/>
    </row>
    <row r="161">
      <c r="A161" s="30" t="n"/>
      <c r="B161" s="30" t="n"/>
      <c r="C161" s="30" t="n"/>
      <c r="D161" s="346" t="n"/>
      <c r="E161" s="346" t="n"/>
      <c r="F161" s="343" t="n"/>
      <c r="G161" s="343" t="n"/>
      <c r="H161" s="343" t="n"/>
      <c r="I161" s="30" t="n"/>
      <c r="J161" s="30" t="n"/>
      <c r="K161" s="30" t="n"/>
      <c r="L161" s="30" t="n"/>
      <c r="M161" s="30" t="n"/>
    </row>
    <row r="162">
      <c r="A162" s="30" t="n"/>
      <c r="B162" s="30" t="n"/>
      <c r="C162" s="30" t="n"/>
      <c r="D162" s="346" t="n"/>
      <c r="E162" s="346" t="n"/>
      <c r="F162" s="343" t="n"/>
      <c r="G162" s="343" t="n"/>
      <c r="H162" s="343" t="n"/>
      <c r="I162" s="30" t="n"/>
      <c r="J162" s="30" t="n"/>
      <c r="K162" s="30" t="n"/>
      <c r="L162" s="30" t="n"/>
      <c r="M162" s="30" t="n"/>
    </row>
    <row r="163">
      <c r="A163" s="30" t="n"/>
      <c r="B163" s="30" t="n"/>
      <c r="C163" s="30" t="n"/>
      <c r="D163" s="346" t="n"/>
      <c r="E163" s="346" t="n"/>
      <c r="F163" s="343" t="n"/>
      <c r="G163" s="343" t="n"/>
      <c r="H163" s="343" t="n"/>
      <c r="I163" s="30" t="n"/>
      <c r="J163" s="30" t="n"/>
      <c r="K163" s="30" t="n"/>
      <c r="L163" s="30" t="n"/>
      <c r="M163" s="30" t="n"/>
    </row>
    <row r="164">
      <c r="A164" s="30" t="n"/>
      <c r="B164" s="30" t="n"/>
      <c r="C164" s="30" t="n"/>
      <c r="D164" s="346" t="n"/>
      <c r="E164" s="346" t="n"/>
      <c r="F164" s="343" t="n"/>
      <c r="G164" s="343" t="n"/>
      <c r="H164" s="343" t="n"/>
      <c r="I164" s="30" t="n"/>
      <c r="J164" s="30" t="n"/>
      <c r="K164" s="30" t="n"/>
      <c r="L164" s="30" t="n"/>
      <c r="M164" s="30" t="n"/>
    </row>
    <row r="165">
      <c r="A165" s="30" t="n"/>
      <c r="B165" s="30" t="n"/>
      <c r="C165" s="30" t="n"/>
      <c r="D165" s="346" t="n"/>
      <c r="E165" s="346" t="n"/>
      <c r="F165" s="343" t="n"/>
      <c r="G165" s="343" t="n"/>
      <c r="H165" s="343" t="n"/>
      <c r="I165" s="30" t="n"/>
      <c r="J165" s="30" t="n"/>
      <c r="K165" s="30" t="n"/>
      <c r="L165" s="30" t="n"/>
      <c r="M165" s="30" t="n"/>
    </row>
    <row r="166">
      <c r="A166" s="30" t="n"/>
      <c r="B166" s="30" t="n"/>
      <c r="C166" s="30" t="n"/>
      <c r="D166" s="346" t="n"/>
      <c r="E166" s="346" t="n"/>
      <c r="F166" s="343" t="n"/>
      <c r="G166" s="343" t="n"/>
      <c r="H166" s="343" t="n"/>
      <c r="I166" s="30" t="n"/>
      <c r="J166" s="30" t="n"/>
      <c r="K166" s="30" t="n"/>
      <c r="L166" s="30" t="n"/>
      <c r="M166" s="30" t="n"/>
    </row>
    <row r="167">
      <c r="A167" s="30" t="n"/>
      <c r="B167" s="30" t="n"/>
      <c r="C167" s="30" t="n"/>
      <c r="D167" s="346" t="n"/>
      <c r="E167" s="346" t="n"/>
      <c r="F167" s="343" t="n"/>
      <c r="G167" s="343" t="n"/>
      <c r="H167" s="343" t="n"/>
      <c r="I167" s="30" t="n"/>
      <c r="J167" s="30" t="n"/>
      <c r="K167" s="30" t="n"/>
      <c r="L167" s="30" t="n"/>
      <c r="M167" s="30" t="n"/>
    </row>
    <row r="168">
      <c r="A168" s="30" t="n"/>
      <c r="B168" s="30" t="n"/>
      <c r="C168" s="30" t="n"/>
      <c r="D168" s="346" t="n"/>
      <c r="E168" s="346" t="n"/>
      <c r="F168" s="343" t="n"/>
      <c r="G168" s="343" t="n"/>
      <c r="H168" s="343" t="n"/>
      <c r="I168" s="30" t="n"/>
      <c r="J168" s="30" t="n"/>
      <c r="K168" s="30" t="n"/>
      <c r="L168" s="30" t="n"/>
      <c r="M168" s="30" t="n"/>
    </row>
    <row r="169">
      <c r="A169" s="30" t="n"/>
      <c r="B169" s="30" t="n"/>
      <c r="C169" s="30" t="n"/>
      <c r="D169" s="346" t="n"/>
      <c r="E169" s="346" t="n"/>
      <c r="F169" s="343" t="n"/>
      <c r="G169" s="343" t="n"/>
      <c r="H169" s="343" t="n"/>
      <c r="I169" s="30" t="n"/>
      <c r="J169" s="30" t="n"/>
      <c r="K169" s="30" t="n"/>
      <c r="L169" s="30" t="n"/>
      <c r="M169" s="30" t="n"/>
    </row>
    <row r="170">
      <c r="A170" s="30" t="n"/>
      <c r="B170" s="30" t="n"/>
      <c r="C170" s="30" t="n"/>
      <c r="D170" s="346" t="n"/>
      <c r="E170" s="346" t="n"/>
      <c r="F170" s="343" t="n"/>
      <c r="G170" s="343" t="n"/>
      <c r="H170" s="343" t="n"/>
      <c r="I170" s="30" t="n"/>
      <c r="J170" s="30" t="n"/>
      <c r="K170" s="30" t="n"/>
      <c r="L170" s="30" t="n"/>
      <c r="M170" s="30" t="n"/>
    </row>
    <row r="171">
      <c r="A171" s="30" t="n"/>
      <c r="B171" s="30" t="n"/>
      <c r="C171" s="30" t="n"/>
      <c r="D171" s="346" t="n"/>
      <c r="E171" s="346" t="n"/>
      <c r="F171" s="343" t="n"/>
      <c r="G171" s="343" t="n"/>
      <c r="H171" s="343" t="n"/>
      <c r="I171" s="30" t="n"/>
      <c r="J171" s="30" t="n"/>
      <c r="K171" s="30" t="n"/>
      <c r="L171" s="30" t="n"/>
      <c r="M171" s="30" t="n"/>
    </row>
    <row r="172">
      <c r="A172" s="30" t="n"/>
      <c r="B172" s="30" t="n"/>
      <c r="C172" s="30" t="n"/>
      <c r="D172" s="346" t="n"/>
      <c r="E172" s="346" t="n"/>
      <c r="F172" s="343" t="n"/>
      <c r="G172" s="343" t="n"/>
      <c r="H172" s="343" t="n"/>
      <c r="I172" s="30" t="n"/>
      <c r="J172" s="30" t="n"/>
      <c r="K172" s="30" t="n"/>
      <c r="L172" s="30" t="n"/>
      <c r="M172" s="30" t="n"/>
    </row>
    <row r="173">
      <c r="A173" s="30" t="n"/>
      <c r="B173" s="30" t="n"/>
      <c r="C173" s="30" t="n"/>
      <c r="D173" s="346" t="n"/>
      <c r="E173" s="346" t="n"/>
      <c r="F173" s="343" t="n"/>
      <c r="G173" s="343" t="n"/>
      <c r="H173" s="343" t="n"/>
      <c r="I173" s="30" t="n"/>
      <c r="J173" s="30" t="n"/>
      <c r="K173" s="30" t="n"/>
      <c r="L173" s="30" t="n"/>
      <c r="M173" s="30" t="n"/>
    </row>
    <row r="174">
      <c r="A174" s="30" t="n"/>
      <c r="B174" s="30" t="n"/>
      <c r="C174" s="30" t="n"/>
      <c r="D174" s="346" t="n"/>
      <c r="E174" s="346" t="n"/>
      <c r="F174" s="343" t="n"/>
      <c r="G174" s="343" t="n"/>
      <c r="H174" s="343" t="n"/>
      <c r="I174" s="30" t="n"/>
      <c r="J174" s="30" t="n"/>
      <c r="K174" s="30" t="n"/>
      <c r="L174" s="30" t="n"/>
      <c r="M174" s="30" t="n"/>
    </row>
    <row r="175">
      <c r="A175" s="30" t="n"/>
      <c r="B175" s="30" t="n"/>
      <c r="C175" s="30" t="n"/>
      <c r="D175" s="346" t="n"/>
      <c r="E175" s="346" t="n"/>
      <c r="F175" s="343" t="n"/>
      <c r="G175" s="343" t="n"/>
      <c r="H175" s="343" t="n"/>
      <c r="I175" s="30" t="n"/>
      <c r="J175" s="30" t="n"/>
      <c r="K175" s="30" t="n"/>
      <c r="L175" s="30" t="n"/>
      <c r="M175" s="30" t="n"/>
    </row>
    <row r="176">
      <c r="A176" s="30" t="n"/>
      <c r="B176" s="30" t="n"/>
      <c r="C176" s="30" t="n"/>
      <c r="D176" s="346" t="n"/>
      <c r="E176" s="346" t="n"/>
      <c r="F176" s="343" t="n"/>
      <c r="G176" s="343" t="n"/>
      <c r="H176" s="343" t="n"/>
      <c r="I176" s="30" t="n"/>
      <c r="J176" s="30" t="n"/>
      <c r="K176" s="30" t="n"/>
      <c r="L176" s="30" t="n"/>
      <c r="M176" s="30" t="n"/>
    </row>
    <row r="177">
      <c r="A177" s="30" t="n"/>
      <c r="B177" s="30" t="n"/>
      <c r="C177" s="30" t="n"/>
      <c r="D177" s="346" t="n"/>
      <c r="E177" s="346" t="n"/>
      <c r="F177" s="343" t="n"/>
      <c r="G177" s="343" t="n"/>
      <c r="H177" s="343" t="n"/>
      <c r="I177" s="30" t="n"/>
      <c r="J177" s="30" t="n"/>
      <c r="K177" s="30" t="n"/>
      <c r="L177" s="30" t="n"/>
      <c r="M177" s="30" t="n"/>
    </row>
    <row r="178">
      <c r="A178" s="30" t="n"/>
      <c r="B178" s="30" t="n"/>
      <c r="C178" s="30" t="n"/>
      <c r="D178" s="346" t="n"/>
      <c r="E178" s="346" t="n"/>
      <c r="F178" s="343" t="n"/>
      <c r="G178" s="343" t="n"/>
      <c r="H178" s="343" t="n"/>
      <c r="I178" s="30" t="n"/>
      <c r="J178" s="30" t="n"/>
      <c r="K178" s="30" t="n"/>
      <c r="L178" s="30" t="n"/>
      <c r="M178" s="30" t="n"/>
    </row>
    <row r="179">
      <c r="A179" s="30" t="n"/>
      <c r="B179" s="30" t="n"/>
      <c r="C179" s="30" t="n"/>
      <c r="D179" s="346" t="n"/>
      <c r="E179" s="346" t="n"/>
      <c r="F179" s="343" t="n"/>
      <c r="G179" s="343" t="n"/>
      <c r="H179" s="343" t="n"/>
      <c r="I179" s="30" t="n"/>
      <c r="J179" s="30" t="n"/>
      <c r="K179" s="30" t="n"/>
      <c r="L179" s="30" t="n"/>
      <c r="M179" s="30" t="n"/>
    </row>
    <row r="180">
      <c r="A180" s="30" t="n"/>
      <c r="B180" s="30" t="n"/>
      <c r="C180" s="30" t="n"/>
      <c r="D180" s="346" t="n"/>
      <c r="E180" s="346" t="n"/>
      <c r="F180" s="343" t="n"/>
      <c r="G180" s="343" t="n"/>
      <c r="H180" s="343" t="n"/>
      <c r="I180" s="30" t="n"/>
      <c r="J180" s="30" t="n"/>
      <c r="K180" s="30" t="n"/>
      <c r="L180" s="30" t="n"/>
      <c r="M180" s="30" t="n"/>
    </row>
    <row r="181">
      <c r="A181" s="30" t="n"/>
      <c r="B181" s="30" t="n"/>
      <c r="C181" s="30" t="n"/>
      <c r="D181" s="346" t="n"/>
      <c r="E181" s="346" t="n"/>
      <c r="F181" s="343" t="n"/>
      <c r="G181" s="343" t="n"/>
      <c r="H181" s="343" t="n"/>
      <c r="I181" s="30" t="n"/>
      <c r="J181" s="30" t="n"/>
      <c r="K181" s="30" t="n"/>
      <c r="L181" s="30" t="n"/>
      <c r="M181" s="30" t="n"/>
    </row>
    <row r="182">
      <c r="A182" s="30" t="n"/>
      <c r="B182" s="30" t="n"/>
      <c r="C182" s="30" t="n"/>
      <c r="D182" s="346" t="n"/>
      <c r="E182" s="346" t="n"/>
      <c r="F182" s="343" t="n"/>
      <c r="G182" s="343" t="n"/>
      <c r="H182" s="343" t="n"/>
      <c r="I182" s="30" t="n"/>
      <c r="J182" s="30" t="n"/>
      <c r="K182" s="30" t="n"/>
      <c r="L182" s="30" t="n"/>
      <c r="M182" s="30" t="n"/>
    </row>
    <row r="183">
      <c r="A183" s="30" t="n"/>
      <c r="B183" s="30" t="n"/>
      <c r="C183" s="30" t="n"/>
      <c r="D183" s="346" t="n"/>
      <c r="E183" s="346" t="n"/>
      <c r="F183" s="343" t="n"/>
      <c r="G183" s="343" t="n"/>
      <c r="H183" s="343" t="n"/>
      <c r="I183" s="30" t="n"/>
      <c r="J183" s="30" t="n"/>
      <c r="K183" s="30" t="n"/>
      <c r="L183" s="30" t="n"/>
      <c r="M183" s="30" t="n"/>
    </row>
    <row r="184">
      <c r="A184" s="30" t="n"/>
      <c r="B184" s="30" t="n"/>
      <c r="C184" s="30" t="n"/>
      <c r="D184" s="346" t="n"/>
      <c r="E184" s="346" t="n"/>
      <c r="F184" s="343" t="n"/>
      <c r="G184" s="343" t="n"/>
      <c r="H184" s="343" t="n"/>
      <c r="I184" s="30" t="n"/>
      <c r="J184" s="30" t="n"/>
      <c r="K184" s="30" t="n"/>
      <c r="L184" s="30" t="n"/>
      <c r="M184" s="30" t="n"/>
    </row>
    <row r="185">
      <c r="A185" s="30" t="n"/>
      <c r="B185" s="30" t="n"/>
      <c r="C185" s="30" t="n"/>
      <c r="D185" s="346" t="n"/>
      <c r="E185" s="346" t="n"/>
      <c r="F185" s="343" t="n"/>
      <c r="G185" s="343" t="n"/>
      <c r="H185" s="343" t="n"/>
      <c r="I185" s="30" t="n"/>
      <c r="J185" s="30" t="n"/>
      <c r="K185" s="30" t="n"/>
      <c r="L185" s="30" t="n"/>
      <c r="M185" s="30" t="n"/>
    </row>
    <row r="186">
      <c r="A186" s="30" t="n"/>
      <c r="B186" s="30" t="n"/>
      <c r="C186" s="30" t="n"/>
      <c r="D186" s="346" t="n"/>
      <c r="E186" s="346" t="n"/>
      <c r="F186" s="343" t="n"/>
      <c r="G186" s="343" t="n"/>
      <c r="H186" s="343" t="n"/>
      <c r="I186" s="30" t="n"/>
      <c r="J186" s="30" t="n"/>
      <c r="K186" s="30" t="n"/>
      <c r="L186" s="30" t="n"/>
      <c r="M186" s="30" t="n"/>
    </row>
    <row r="187">
      <c r="A187" s="30" t="n"/>
      <c r="B187" s="30" t="n"/>
      <c r="C187" s="30" t="n"/>
      <c r="D187" s="346" t="n"/>
      <c r="E187" s="346" t="n"/>
      <c r="F187" s="343" t="n"/>
      <c r="G187" s="343" t="n"/>
      <c r="H187" s="343" t="n"/>
      <c r="I187" s="30" t="n"/>
      <c r="J187" s="30" t="n"/>
      <c r="K187" s="30" t="n"/>
      <c r="L187" s="30" t="n"/>
      <c r="M187" s="30" t="n"/>
    </row>
    <row r="188">
      <c r="A188" s="30" t="n"/>
      <c r="B188" s="30" t="n"/>
      <c r="C188" s="30" t="n"/>
      <c r="D188" s="346" t="n"/>
      <c r="E188" s="346" t="n"/>
      <c r="F188" s="343" t="n"/>
      <c r="G188" s="343" t="n"/>
      <c r="H188" s="343" t="n"/>
      <c r="I188" s="30" t="n"/>
      <c r="J188" s="30" t="n"/>
      <c r="K188" s="30" t="n"/>
      <c r="L188" s="30" t="n"/>
      <c r="M188" s="30" t="n"/>
    </row>
    <row r="189">
      <c r="A189" s="30" t="n"/>
      <c r="B189" s="30" t="n"/>
      <c r="C189" s="30" t="n"/>
      <c r="D189" s="346" t="n"/>
      <c r="E189" s="346" t="n"/>
      <c r="F189" s="343" t="n"/>
      <c r="G189" s="343" t="n"/>
      <c r="H189" s="343" t="n"/>
      <c r="I189" s="30" t="n"/>
      <c r="J189" s="30" t="n"/>
      <c r="K189" s="30" t="n"/>
      <c r="L189" s="30" t="n"/>
      <c r="M189" s="30" t="n"/>
    </row>
    <row r="190">
      <c r="A190" s="30" t="n"/>
      <c r="B190" s="30" t="n"/>
      <c r="C190" s="30" t="n"/>
      <c r="D190" s="346" t="n"/>
      <c r="E190" s="346" t="n"/>
      <c r="F190" s="343" t="n"/>
      <c r="G190" s="343" t="n"/>
      <c r="H190" s="343" t="n"/>
      <c r="I190" s="30" t="n"/>
      <c r="J190" s="30" t="n"/>
      <c r="K190" s="30" t="n"/>
      <c r="L190" s="30" t="n"/>
      <c r="M190" s="30" t="n"/>
    </row>
    <row r="191">
      <c r="A191" s="30" t="n"/>
      <c r="B191" s="30" t="n"/>
      <c r="C191" s="30" t="n"/>
      <c r="D191" s="346" t="n"/>
      <c r="E191" s="346" t="n"/>
      <c r="F191" s="343" t="n"/>
      <c r="G191" s="343" t="n"/>
      <c r="H191" s="343" t="n"/>
      <c r="I191" s="30" t="n"/>
      <c r="J191" s="30" t="n"/>
      <c r="K191" s="30" t="n"/>
      <c r="L191" s="30" t="n"/>
      <c r="M191" s="30" t="n"/>
    </row>
    <row r="192">
      <c r="A192" s="30" t="n"/>
      <c r="B192" s="30" t="n"/>
      <c r="C192" s="30" t="n"/>
      <c r="D192" s="346" t="n"/>
      <c r="E192" s="346" t="n"/>
      <c r="F192" s="343" t="n"/>
      <c r="G192" s="343" t="n"/>
      <c r="H192" s="343" t="n"/>
      <c r="I192" s="30" t="n"/>
      <c r="J192" s="30" t="n"/>
      <c r="K192" s="30" t="n"/>
      <c r="L192" s="30" t="n"/>
      <c r="M192" s="30" t="n"/>
    </row>
    <row r="193">
      <c r="A193" s="30" t="n"/>
      <c r="B193" s="30" t="n"/>
      <c r="C193" s="30" t="n"/>
      <c r="D193" s="346" t="n"/>
      <c r="E193" s="346" t="n"/>
      <c r="F193" s="343" t="n"/>
      <c r="G193" s="343" t="n"/>
      <c r="H193" s="343" t="n"/>
      <c r="I193" s="30" t="n"/>
      <c r="J193" s="30" t="n"/>
      <c r="K193" s="30" t="n"/>
      <c r="L193" s="30" t="n"/>
      <c r="M193" s="30" t="n"/>
    </row>
    <row r="194">
      <c r="A194" s="30" t="n"/>
      <c r="B194" s="30" t="n"/>
      <c r="C194" s="30" t="n"/>
      <c r="D194" s="346" t="n"/>
      <c r="E194" s="346" t="n"/>
      <c r="F194" s="343" t="n"/>
      <c r="G194" s="343" t="n"/>
      <c r="H194" s="343" t="n"/>
      <c r="I194" s="30" t="n"/>
      <c r="J194" s="30" t="n"/>
      <c r="K194" s="30" t="n"/>
      <c r="L194" s="30" t="n"/>
      <c r="M194" s="30" t="n"/>
    </row>
    <row r="195">
      <c r="A195" s="30" t="n"/>
      <c r="B195" s="30" t="n"/>
      <c r="C195" s="30" t="n"/>
      <c r="D195" s="346" t="n"/>
      <c r="E195" s="346" t="n"/>
      <c r="F195" s="343" t="n"/>
      <c r="G195" s="343" t="n"/>
      <c r="H195" s="343" t="n"/>
      <c r="I195" s="30" t="n"/>
      <c r="J195" s="30" t="n"/>
      <c r="K195" s="30" t="n"/>
      <c r="L195" s="30" t="n"/>
      <c r="M195" s="30" t="n"/>
    </row>
    <row r="196">
      <c r="A196" s="30" t="n"/>
      <c r="B196" s="30" t="n"/>
      <c r="C196" s="30" t="n"/>
      <c r="D196" s="346" t="n"/>
      <c r="E196" s="346" t="n"/>
      <c r="F196" s="343" t="n"/>
      <c r="G196" s="343" t="n"/>
      <c r="H196" s="343" t="n"/>
      <c r="I196" s="30" t="n"/>
      <c r="J196" s="30" t="n"/>
      <c r="K196" s="30" t="n"/>
      <c r="L196" s="30" t="n"/>
      <c r="M196" s="30" t="n"/>
    </row>
    <row r="197">
      <c r="A197" s="30" t="n"/>
      <c r="B197" s="30" t="n"/>
      <c r="C197" s="30" t="n"/>
      <c r="D197" s="346" t="n"/>
      <c r="E197" s="346" t="n"/>
      <c r="F197" s="343" t="n"/>
      <c r="G197" s="343" t="n"/>
      <c r="H197" s="343" t="n"/>
      <c r="I197" s="30" t="n"/>
      <c r="J197" s="30" t="n"/>
      <c r="K197" s="30" t="n"/>
      <c r="L197" s="30" t="n"/>
      <c r="M197" s="30" t="n"/>
    </row>
    <row r="198">
      <c r="A198" s="30" t="n"/>
      <c r="B198" s="30" t="n"/>
      <c r="C198" s="30" t="n"/>
      <c r="D198" s="346" t="n"/>
      <c r="E198" s="346" t="n"/>
      <c r="F198" s="343" t="n"/>
      <c r="G198" s="343" t="n"/>
      <c r="H198" s="343" t="n"/>
      <c r="I198" s="30" t="n"/>
      <c r="J198" s="30" t="n"/>
      <c r="K198" s="30" t="n"/>
      <c r="L198" s="30" t="n"/>
      <c r="M198" s="30" t="n"/>
    </row>
    <row r="199">
      <c r="A199" s="30" t="n"/>
      <c r="B199" s="30" t="n"/>
      <c r="C199" s="30" t="n"/>
      <c r="D199" s="346" t="n"/>
      <c r="E199" s="346" t="n"/>
      <c r="F199" s="343" t="n"/>
      <c r="G199" s="343" t="n"/>
      <c r="H199" s="343" t="n"/>
      <c r="I199" s="30" t="n"/>
      <c r="J199" s="30" t="n"/>
      <c r="K199" s="30" t="n"/>
      <c r="L199" s="30" t="n"/>
      <c r="M199" s="30" t="n"/>
    </row>
    <row r="200">
      <c r="A200" s="30" t="n"/>
      <c r="B200" s="30" t="n"/>
      <c r="C200" s="30" t="n"/>
      <c r="D200" s="346" t="n"/>
      <c r="E200" s="346" t="n"/>
      <c r="F200" s="343" t="n"/>
      <c r="G200" s="343" t="n"/>
      <c r="H200" s="343" t="n"/>
      <c r="I200" s="30" t="n"/>
      <c r="J200" s="30" t="n"/>
      <c r="K200" s="30" t="n"/>
      <c r="L200" s="30" t="n"/>
      <c r="M200" s="30" t="n"/>
    </row>
    <row r="201">
      <c r="A201" s="30" t="n"/>
      <c r="B201" s="30" t="n"/>
      <c r="C201" s="30" t="n"/>
      <c r="D201" s="346" t="n"/>
      <c r="E201" s="346" t="n"/>
      <c r="F201" s="343" t="n"/>
      <c r="G201" s="343" t="n"/>
      <c r="H201" s="343" t="n"/>
      <c r="I201" s="30" t="n"/>
      <c r="J201" s="30" t="n"/>
      <c r="K201" s="30" t="n"/>
      <c r="L201" s="30" t="n"/>
      <c r="M201" s="30" t="n"/>
    </row>
    <row r="202">
      <c r="A202" s="30" t="n"/>
      <c r="B202" s="30" t="n"/>
      <c r="C202" s="30" t="n"/>
      <c r="D202" s="346" t="n"/>
      <c r="E202" s="346" t="n"/>
      <c r="F202" s="343" t="n"/>
      <c r="G202" s="343" t="n"/>
      <c r="H202" s="343" t="n"/>
      <c r="I202" s="30" t="n"/>
      <c r="J202" s="30" t="n"/>
      <c r="K202" s="30" t="n"/>
      <c r="L202" s="30" t="n"/>
      <c r="M202" s="30" t="n"/>
    </row>
    <row r="203">
      <c r="A203" s="30" t="n"/>
      <c r="B203" s="30" t="n"/>
      <c r="C203" s="30" t="n"/>
      <c r="D203" s="346" t="n"/>
      <c r="E203" s="346" t="n"/>
      <c r="F203" s="343" t="n"/>
      <c r="G203" s="343" t="n"/>
      <c r="H203" s="343" t="n"/>
      <c r="I203" s="30" t="n"/>
      <c r="J203" s="30" t="n"/>
      <c r="K203" s="30" t="n"/>
      <c r="L203" s="30" t="n"/>
      <c r="M203" s="30" t="n"/>
    </row>
    <row r="204">
      <c r="A204" s="30" t="n"/>
      <c r="B204" s="30" t="n"/>
      <c r="C204" s="30" t="n"/>
      <c r="D204" s="346" t="n"/>
      <c r="E204" s="346" t="n"/>
      <c r="F204" s="343" t="n"/>
      <c r="G204" s="343" t="n"/>
      <c r="H204" s="343" t="n"/>
      <c r="I204" s="30" t="n"/>
      <c r="J204" s="30" t="n"/>
      <c r="K204" s="30" t="n"/>
      <c r="L204" s="30" t="n"/>
      <c r="M204" s="30" t="n"/>
    </row>
    <row r="205">
      <c r="A205" s="30" t="n"/>
      <c r="B205" s="30" t="n"/>
      <c r="C205" s="30" t="n"/>
      <c r="D205" s="346" t="n"/>
      <c r="E205" s="346" t="n"/>
      <c r="F205" s="343" t="n"/>
      <c r="G205" s="343" t="n"/>
      <c r="H205" s="343" t="n"/>
      <c r="I205" s="30" t="n"/>
      <c r="J205" s="30" t="n"/>
      <c r="K205" s="30" t="n"/>
      <c r="L205" s="30" t="n"/>
      <c r="M205" s="30" t="n"/>
    </row>
    <row r="206">
      <c r="A206" s="30" t="n"/>
      <c r="B206" s="30" t="n"/>
      <c r="C206" s="30" t="n"/>
      <c r="D206" s="346" t="n"/>
      <c r="E206" s="346" t="n"/>
      <c r="F206" s="343" t="n"/>
      <c r="G206" s="343" t="n"/>
      <c r="H206" s="343" t="n"/>
      <c r="I206" s="30" t="n"/>
      <c r="J206" s="30" t="n"/>
      <c r="K206" s="30" t="n"/>
      <c r="L206" s="30" t="n"/>
      <c r="M206" s="30" t="n"/>
    </row>
    <row r="207">
      <c r="A207" s="30" t="n"/>
      <c r="B207" s="30" t="n"/>
      <c r="C207" s="30" t="n"/>
      <c r="D207" s="346" t="n"/>
      <c r="E207" s="346" t="n"/>
      <c r="F207" s="343" t="n"/>
      <c r="G207" s="343" t="n"/>
      <c r="H207" s="343" t="n"/>
      <c r="I207" s="30" t="n"/>
      <c r="J207" s="30" t="n"/>
      <c r="K207" s="30" t="n"/>
      <c r="L207" s="30" t="n"/>
      <c r="M207" s="30" t="n"/>
    </row>
    <row r="208">
      <c r="A208" s="30" t="n"/>
      <c r="B208" s="30" t="n"/>
      <c r="C208" s="30" t="n"/>
      <c r="D208" s="346" t="n"/>
      <c r="E208" s="346" t="n"/>
      <c r="F208" s="343" t="n"/>
      <c r="G208" s="343" t="n"/>
      <c r="H208" s="343" t="n"/>
      <c r="I208" s="30" t="n"/>
      <c r="J208" s="30" t="n"/>
      <c r="K208" s="30" t="n"/>
      <c r="L208" s="30" t="n"/>
      <c r="M208" s="30" t="n"/>
    </row>
    <row r="209">
      <c r="A209" s="30" t="n"/>
      <c r="B209" s="30" t="n"/>
      <c r="C209" s="30" t="n"/>
      <c r="D209" s="346" t="n"/>
      <c r="E209" s="346" t="n"/>
      <c r="F209" s="343" t="n"/>
      <c r="G209" s="343" t="n"/>
      <c r="H209" s="343" t="n"/>
      <c r="I209" s="30" t="n"/>
      <c r="J209" s="30" t="n"/>
      <c r="K209" s="30" t="n"/>
      <c r="L209" s="30" t="n"/>
      <c r="M209" s="30" t="n"/>
    </row>
    <row r="210">
      <c r="A210" s="30" t="n"/>
      <c r="B210" s="30" t="n"/>
      <c r="C210" s="30" t="n"/>
      <c r="D210" s="346" t="n"/>
      <c r="E210" s="346" t="n"/>
      <c r="F210" s="343" t="n"/>
      <c r="G210" s="343" t="n"/>
      <c r="H210" s="343" t="n"/>
      <c r="I210" s="30" t="n"/>
      <c r="J210" s="30" t="n"/>
      <c r="K210" s="30" t="n"/>
      <c r="L210" s="30" t="n"/>
      <c r="M210" s="30" t="n"/>
    </row>
    <row r="211">
      <c r="A211" s="30" t="n"/>
      <c r="B211" s="30" t="n"/>
      <c r="C211" s="30" t="n"/>
      <c r="D211" s="346" t="n"/>
      <c r="E211" s="346" t="n"/>
      <c r="F211" s="343" t="n"/>
      <c r="G211" s="343" t="n"/>
      <c r="H211" s="343" t="n"/>
      <c r="I211" s="30" t="n"/>
      <c r="J211" s="30" t="n"/>
      <c r="K211" s="30" t="n"/>
      <c r="L211" s="30" t="n"/>
      <c r="M211" s="30" t="n"/>
    </row>
    <row r="212">
      <c r="A212" s="30" t="n"/>
      <c r="B212" s="30" t="n"/>
      <c r="C212" s="30" t="n"/>
      <c r="D212" s="346" t="n"/>
      <c r="E212" s="346" t="n"/>
      <c r="F212" s="343" t="n"/>
      <c r="G212" s="343" t="n"/>
      <c r="H212" s="343" t="n"/>
      <c r="I212" s="30" t="n"/>
      <c r="J212" s="30" t="n"/>
      <c r="K212" s="30" t="n"/>
      <c r="L212" s="30" t="n"/>
      <c r="M212" s="30" t="n"/>
    </row>
    <row r="213">
      <c r="A213" s="30" t="n"/>
      <c r="B213" s="30" t="n"/>
      <c r="C213" s="30" t="n"/>
      <c r="D213" s="346" t="n"/>
      <c r="E213" s="346" t="n"/>
      <c r="F213" s="343" t="n"/>
      <c r="G213" s="343" t="n"/>
      <c r="H213" s="343" t="n"/>
      <c r="I213" s="30" t="n"/>
      <c r="J213" s="30" t="n"/>
      <c r="K213" s="30" t="n"/>
      <c r="L213" s="30" t="n"/>
      <c r="M213" s="30" t="n"/>
    </row>
    <row r="214">
      <c r="A214" s="30" t="n"/>
      <c r="B214" s="30" t="n"/>
      <c r="C214" s="30" t="n"/>
      <c r="D214" s="346" t="n"/>
      <c r="E214" s="346" t="n"/>
      <c r="F214" s="343" t="n"/>
      <c r="G214" s="343" t="n"/>
      <c r="H214" s="343" t="n"/>
      <c r="I214" s="30" t="n"/>
      <c r="J214" s="30" t="n"/>
      <c r="K214" s="30" t="n"/>
      <c r="L214" s="30" t="n"/>
      <c r="M214" s="30" t="n"/>
    </row>
    <row r="215">
      <c r="A215" s="30" t="n"/>
      <c r="B215" s="30" t="n"/>
      <c r="C215" s="30" t="n"/>
      <c r="D215" s="346" t="n"/>
      <c r="E215" s="346" t="n"/>
      <c r="F215" s="343" t="n"/>
      <c r="G215" s="343" t="n"/>
      <c r="H215" s="343" t="n"/>
      <c r="I215" s="30" t="n"/>
      <c r="J215" s="30" t="n"/>
      <c r="K215" s="30" t="n"/>
      <c r="L215" s="30" t="n"/>
      <c r="M215" s="30" t="n"/>
    </row>
    <row r="216">
      <c r="A216" s="30" t="n"/>
      <c r="B216" s="30" t="n"/>
      <c r="C216" s="30" t="n"/>
      <c r="D216" s="346" t="n"/>
      <c r="E216" s="346" t="n"/>
      <c r="F216" s="343" t="n"/>
      <c r="G216" s="343" t="n"/>
      <c r="H216" s="343" t="n"/>
      <c r="I216" s="30" t="n"/>
      <c r="J216" s="30" t="n"/>
      <c r="K216" s="30" t="n"/>
      <c r="L216" s="30" t="n"/>
      <c r="M216" s="30" t="n"/>
    </row>
    <row r="217">
      <c r="A217" s="30" t="n"/>
      <c r="B217" s="30" t="n"/>
      <c r="C217" s="30" t="n"/>
      <c r="D217" s="346" t="n"/>
      <c r="E217" s="346" t="n"/>
      <c r="F217" s="343" t="n"/>
      <c r="G217" s="343" t="n"/>
      <c r="H217" s="343" t="n"/>
      <c r="I217" s="30" t="n"/>
      <c r="J217" s="30" t="n"/>
      <c r="K217" s="30" t="n"/>
      <c r="L217" s="30" t="n"/>
      <c r="M217" s="30" t="n"/>
    </row>
    <row r="218">
      <c r="A218" s="30" t="n"/>
      <c r="B218" s="30" t="n"/>
      <c r="C218" s="30" t="n"/>
      <c r="D218" s="346" t="n"/>
      <c r="E218" s="346" t="n"/>
      <c r="F218" s="343" t="n"/>
      <c r="G218" s="343" t="n"/>
      <c r="H218" s="343" t="n"/>
      <c r="I218" s="30" t="n"/>
      <c r="J218" s="30" t="n"/>
      <c r="K218" s="30" t="n"/>
      <c r="L218" s="30" t="n"/>
      <c r="M218" s="30" t="n"/>
    </row>
    <row r="219">
      <c r="A219" s="30" t="n"/>
      <c r="B219" s="30" t="n"/>
      <c r="C219" s="30" t="n"/>
      <c r="D219" s="346" t="n"/>
      <c r="E219" s="346" t="n"/>
      <c r="F219" s="343" t="n"/>
      <c r="G219" s="343" t="n"/>
      <c r="H219" s="343" t="n"/>
      <c r="I219" s="30" t="n"/>
      <c r="J219" s="30" t="n"/>
      <c r="K219" s="30" t="n"/>
      <c r="L219" s="30" t="n"/>
      <c r="M219" s="30" t="n"/>
    </row>
    <row r="220">
      <c r="A220" s="30" t="n"/>
      <c r="B220" s="30" t="n"/>
      <c r="C220" s="30" t="n"/>
      <c r="D220" s="346" t="n"/>
      <c r="E220" s="346" t="n"/>
      <c r="F220" s="343" t="n"/>
      <c r="G220" s="343" t="n"/>
      <c r="H220" s="343" t="n"/>
      <c r="I220" s="30" t="n"/>
      <c r="J220" s="30" t="n"/>
      <c r="K220" s="30" t="n"/>
      <c r="L220" s="30" t="n"/>
      <c r="M220" s="30" t="n"/>
    </row>
    <row r="221">
      <c r="A221" s="30" t="n"/>
      <c r="B221" s="30" t="n"/>
      <c r="C221" s="30" t="n"/>
      <c r="D221" s="346" t="n"/>
      <c r="E221" s="346" t="n"/>
      <c r="F221" s="343" t="n"/>
      <c r="G221" s="343" t="n"/>
      <c r="H221" s="343" t="n"/>
      <c r="I221" s="30" t="n"/>
      <c r="J221" s="30" t="n"/>
      <c r="K221" s="30" t="n"/>
      <c r="L221" s="30" t="n"/>
      <c r="M221" s="30" t="n"/>
    </row>
    <row r="222">
      <c r="A222" s="30" t="n"/>
      <c r="B222" s="30" t="n"/>
      <c r="C222" s="30" t="n"/>
      <c r="D222" s="346" t="n"/>
      <c r="E222" s="346" t="n"/>
      <c r="F222" s="343" t="n"/>
      <c r="G222" s="343" t="n"/>
      <c r="H222" s="343" t="n"/>
      <c r="I222" s="30" t="n"/>
      <c r="J222" s="30" t="n"/>
      <c r="K222" s="30" t="n"/>
      <c r="L222" s="30" t="n"/>
      <c r="M222" s="30" t="n"/>
    </row>
    <row r="223">
      <c r="A223" s="30" t="n"/>
      <c r="B223" s="30" t="n"/>
      <c r="C223" s="30" t="n"/>
      <c r="D223" s="346" t="n"/>
      <c r="E223" s="346" t="n"/>
      <c r="F223" s="343" t="n"/>
      <c r="G223" s="343" t="n"/>
      <c r="H223" s="343" t="n"/>
      <c r="I223" s="30" t="n"/>
      <c r="J223" s="30" t="n"/>
      <c r="K223" s="30" t="n"/>
      <c r="L223" s="30" t="n"/>
      <c r="M223" s="30" t="n"/>
    </row>
    <row r="224">
      <c r="A224" s="30" t="n"/>
      <c r="B224" s="30" t="n"/>
      <c r="C224" s="30" t="n"/>
      <c r="D224" s="346" t="n"/>
      <c r="E224" s="346" t="n"/>
      <c r="F224" s="343" t="n"/>
      <c r="G224" s="343" t="n"/>
      <c r="H224" s="343" t="n"/>
      <c r="I224" s="30" t="n"/>
      <c r="J224" s="30" t="n"/>
      <c r="K224" s="30" t="n"/>
      <c r="L224" s="30" t="n"/>
      <c r="M224" s="30" t="n"/>
    </row>
    <row r="225">
      <c r="A225" s="30" t="n"/>
      <c r="B225" s="30" t="n"/>
      <c r="C225" s="30" t="n"/>
      <c r="D225" s="346" t="n"/>
      <c r="E225" s="346" t="n"/>
      <c r="F225" s="343" t="n"/>
      <c r="G225" s="343" t="n"/>
      <c r="H225" s="343" t="n"/>
      <c r="I225" s="30" t="n"/>
      <c r="J225" s="30" t="n"/>
      <c r="K225" s="30" t="n"/>
      <c r="L225" s="30" t="n"/>
      <c r="M225" s="30" t="n"/>
    </row>
    <row r="226">
      <c r="A226" s="30" t="n"/>
      <c r="B226" s="30" t="n"/>
      <c r="C226" s="30" t="n"/>
      <c r="D226" s="346" t="n"/>
      <c r="E226" s="346" t="n"/>
      <c r="F226" s="343" t="n"/>
      <c r="G226" s="343" t="n"/>
      <c r="H226" s="343" t="n"/>
      <c r="I226" s="30" t="n"/>
      <c r="J226" s="30" t="n"/>
      <c r="K226" s="30" t="n"/>
      <c r="L226" s="30" t="n"/>
      <c r="M226" s="30" t="n"/>
    </row>
    <row r="227">
      <c r="A227" s="30" t="n"/>
      <c r="B227" s="30" t="n"/>
      <c r="C227" s="30" t="n"/>
      <c r="D227" s="346" t="n"/>
      <c r="E227" s="346" t="n"/>
      <c r="F227" s="343" t="n"/>
      <c r="G227" s="343" t="n"/>
      <c r="H227" s="343" t="n"/>
      <c r="I227" s="30" t="n"/>
      <c r="J227" s="30" t="n"/>
      <c r="K227" s="30" t="n"/>
      <c r="L227" s="30" t="n"/>
      <c r="M227" s="30" t="n"/>
    </row>
    <row r="228">
      <c r="A228" s="30" t="n"/>
      <c r="B228" s="30" t="n"/>
      <c r="C228" s="30" t="n"/>
      <c r="D228" s="346" t="n"/>
      <c r="E228" s="346" t="n"/>
      <c r="F228" s="343" t="n"/>
      <c r="G228" s="343" t="n"/>
      <c r="H228" s="343" t="n"/>
      <c r="I228" s="30" t="n"/>
      <c r="J228" s="30" t="n"/>
      <c r="K228" s="30" t="n"/>
      <c r="L228" s="30" t="n"/>
      <c r="M228" s="30" t="n"/>
    </row>
    <row r="229">
      <c r="A229" s="30" t="n"/>
      <c r="B229" s="30" t="n"/>
      <c r="C229" s="30" t="n"/>
      <c r="D229" s="346" t="n"/>
      <c r="E229" s="346" t="n"/>
      <c r="F229" s="343" t="n"/>
      <c r="G229" s="343" t="n"/>
      <c r="H229" s="343" t="n"/>
      <c r="I229" s="30" t="n"/>
      <c r="J229" s="30" t="n"/>
      <c r="K229" s="30" t="n"/>
      <c r="L229" s="30" t="n"/>
      <c r="M229" s="30" t="n"/>
    </row>
    <row r="230">
      <c r="A230" s="30" t="n"/>
      <c r="B230" s="30" t="n"/>
      <c r="C230" s="30" t="n"/>
      <c r="D230" s="346" t="n"/>
      <c r="E230" s="346" t="n"/>
      <c r="F230" s="343" t="n"/>
      <c r="G230" s="343" t="n"/>
      <c r="H230" s="343" t="n"/>
      <c r="I230" s="30" t="n"/>
      <c r="J230" s="30" t="n"/>
      <c r="K230" s="30" t="n"/>
      <c r="L230" s="30" t="n"/>
      <c r="M230" s="30" t="n"/>
    </row>
    <row r="231">
      <c r="A231" s="30" t="n"/>
      <c r="B231" s="30" t="n"/>
      <c r="C231" s="30" t="n"/>
      <c r="D231" s="346" t="n"/>
      <c r="E231" s="346" t="n"/>
      <c r="F231" s="343" t="n"/>
      <c r="G231" s="343" t="n"/>
      <c r="H231" s="343" t="n"/>
      <c r="I231" s="30" t="n"/>
      <c r="J231" s="30" t="n"/>
      <c r="K231" s="30" t="n"/>
      <c r="L231" s="30" t="n"/>
      <c r="M231" s="30" t="n"/>
    </row>
    <row r="232">
      <c r="A232" s="30" t="n"/>
      <c r="B232" s="30" t="n"/>
      <c r="C232" s="30" t="n"/>
      <c r="D232" s="346" t="n"/>
      <c r="E232" s="346" t="n"/>
      <c r="F232" s="343" t="n"/>
      <c r="G232" s="343" t="n"/>
      <c r="H232" s="343" t="n"/>
      <c r="I232" s="30" t="n"/>
      <c r="J232" s="30" t="n"/>
      <c r="K232" s="30" t="n"/>
      <c r="L232" s="30" t="n"/>
      <c r="M232" s="30" t="n"/>
    </row>
    <row r="233">
      <c r="A233" s="30" t="n"/>
      <c r="B233" s="30" t="n"/>
      <c r="C233" s="30" t="n"/>
      <c r="D233" s="346" t="n"/>
      <c r="E233" s="346" t="n"/>
      <c r="F233" s="343" t="n"/>
      <c r="G233" s="343" t="n"/>
      <c r="H233" s="343" t="n"/>
      <c r="I233" s="30" t="n"/>
      <c r="J233" s="30" t="n"/>
      <c r="K233" s="30" t="n"/>
      <c r="L233" s="30" t="n"/>
      <c r="M233" s="30" t="n"/>
    </row>
    <row r="234">
      <c r="A234" s="30" t="n"/>
      <c r="B234" s="30" t="n"/>
      <c r="C234" s="30" t="n"/>
      <c r="D234" s="346" t="n"/>
      <c r="E234" s="346" t="n"/>
      <c r="F234" s="343" t="n"/>
      <c r="G234" s="343" t="n"/>
      <c r="H234" s="343" t="n"/>
      <c r="I234" s="30" t="n"/>
      <c r="J234" s="30" t="n"/>
      <c r="K234" s="30" t="n"/>
      <c r="L234" s="30" t="n"/>
      <c r="M234" s="30" t="n"/>
    </row>
    <row r="235">
      <c r="A235" s="30" t="n"/>
      <c r="B235" s="30" t="n"/>
      <c r="C235" s="30" t="n"/>
      <c r="D235" s="346" t="n"/>
      <c r="E235" s="346" t="n"/>
      <c r="F235" s="343" t="n"/>
      <c r="G235" s="343" t="n"/>
      <c r="H235" s="343" t="n"/>
      <c r="I235" s="30" t="n"/>
      <c r="J235" s="30" t="n"/>
      <c r="K235" s="30" t="n"/>
      <c r="L235" s="30" t="n"/>
      <c r="M235" s="30" t="n"/>
    </row>
    <row r="236">
      <c r="A236" s="30" t="n"/>
      <c r="B236" s="30" t="n"/>
      <c r="C236" s="30" t="n"/>
      <c r="D236" s="346" t="n"/>
      <c r="E236" s="346" t="n"/>
      <c r="F236" s="343" t="n"/>
      <c r="G236" s="343" t="n"/>
      <c r="H236" s="343" t="n"/>
      <c r="I236" s="30" t="n"/>
      <c r="J236" s="30" t="n"/>
      <c r="K236" s="30" t="n"/>
      <c r="L236" s="30" t="n"/>
      <c r="M236" s="30" t="n"/>
    </row>
    <row r="237">
      <c r="A237" s="30" t="n"/>
      <c r="B237" s="30" t="n"/>
      <c r="C237" s="30" t="n"/>
      <c r="D237" s="346" t="n"/>
      <c r="E237" s="346" t="n"/>
      <c r="F237" s="343" t="n"/>
      <c r="G237" s="343" t="n"/>
      <c r="H237" s="343" t="n"/>
      <c r="I237" s="30" t="n"/>
      <c r="J237" s="30" t="n"/>
      <c r="K237" s="30" t="n"/>
      <c r="L237" s="30" t="n"/>
      <c r="M237" s="30" t="n"/>
    </row>
    <row r="238">
      <c r="A238" s="30" t="n"/>
      <c r="B238" s="30" t="n"/>
      <c r="C238" s="30" t="n"/>
      <c r="D238" s="346" t="n"/>
      <c r="E238" s="346" t="n"/>
      <c r="F238" s="343" t="n"/>
      <c r="G238" s="343" t="n"/>
      <c r="H238" s="343" t="n"/>
      <c r="I238" s="30" t="n"/>
      <c r="J238" s="30" t="n"/>
      <c r="K238" s="30" t="n"/>
      <c r="L238" s="30" t="n"/>
      <c r="M238" s="30" t="n"/>
    </row>
    <row r="239">
      <c r="A239" s="30" t="n"/>
      <c r="B239" s="30" t="n"/>
      <c r="C239" s="30" t="n"/>
      <c r="D239" s="346" t="n"/>
      <c r="E239" s="346" t="n"/>
      <c r="F239" s="343" t="n"/>
      <c r="G239" s="343" t="n"/>
      <c r="H239" s="343" t="n"/>
      <c r="I239" s="30" t="n"/>
      <c r="J239" s="30" t="n"/>
      <c r="K239" s="30" t="n"/>
      <c r="L239" s="30" t="n"/>
      <c r="M239" s="30" t="n"/>
    </row>
    <row r="240">
      <c r="A240" s="30" t="n"/>
      <c r="B240" s="30" t="n"/>
      <c r="C240" s="30" t="n"/>
      <c r="D240" s="346" t="n"/>
      <c r="E240" s="346" t="n"/>
      <c r="F240" s="343" t="n"/>
      <c r="G240" s="343" t="n"/>
      <c r="H240" s="343" t="n"/>
      <c r="I240" s="30" t="n"/>
      <c r="J240" s="30" t="n"/>
      <c r="K240" s="30" t="n"/>
      <c r="L240" s="30" t="n"/>
      <c r="M240" s="30" t="n"/>
    </row>
    <row r="241">
      <c r="A241" s="30" t="n"/>
      <c r="B241" s="30" t="n"/>
      <c r="C241" s="30" t="n"/>
      <c r="D241" s="346" t="n"/>
      <c r="E241" s="346" t="n"/>
      <c r="F241" s="343" t="n"/>
      <c r="G241" s="343" t="n"/>
      <c r="H241" s="343" t="n"/>
      <c r="I241" s="30" t="n"/>
      <c r="J241" s="30" t="n"/>
      <c r="K241" s="30" t="n"/>
      <c r="L241" s="30" t="n"/>
      <c r="M241" s="30" t="n"/>
    </row>
    <row r="242">
      <c r="A242" s="30" t="n"/>
      <c r="B242" s="30" t="n"/>
      <c r="C242" s="30" t="n"/>
      <c r="D242" s="346" t="n"/>
      <c r="E242" s="346" t="n"/>
      <c r="F242" s="343" t="n"/>
      <c r="G242" s="343" t="n"/>
      <c r="H242" s="343" t="n"/>
      <c r="I242" s="30" t="n"/>
      <c r="J242" s="30" t="n"/>
      <c r="K242" s="30" t="n"/>
      <c r="L242" s="30" t="n"/>
      <c r="M242" s="30" t="n"/>
    </row>
    <row r="243">
      <c r="A243" s="30" t="n"/>
      <c r="B243" s="30" t="n"/>
      <c r="C243" s="30" t="n"/>
      <c r="D243" s="346" t="n"/>
      <c r="E243" s="346" t="n"/>
      <c r="F243" s="343" t="n"/>
      <c r="G243" s="343" t="n"/>
      <c r="H243" s="343" t="n"/>
      <c r="I243" s="30" t="n"/>
      <c r="J243" s="30" t="n"/>
      <c r="K243" s="30" t="n"/>
      <c r="L243" s="30" t="n"/>
      <c r="M243" s="30" t="n"/>
    </row>
    <row r="244">
      <c r="A244" s="30" t="n"/>
      <c r="B244" s="30" t="n"/>
      <c r="C244" s="30" t="n"/>
      <c r="D244" s="346" t="n"/>
      <c r="E244" s="346" t="n"/>
      <c r="F244" s="343" t="n"/>
      <c r="G244" s="343" t="n"/>
      <c r="H244" s="343" t="n"/>
      <c r="I244" s="30" t="n"/>
      <c r="J244" s="30" t="n"/>
      <c r="K244" s="30" t="n"/>
      <c r="L244" s="30" t="n"/>
      <c r="M244" s="30" t="n"/>
    </row>
    <row r="245">
      <c r="A245" s="30" t="n"/>
      <c r="B245" s="30" t="n"/>
      <c r="C245" s="30" t="n"/>
      <c r="D245" s="346" t="n"/>
      <c r="E245" s="346" t="n"/>
      <c r="F245" s="343" t="n"/>
      <c r="G245" s="343" t="n"/>
      <c r="H245" s="343" t="n"/>
      <c r="I245" s="30" t="n"/>
      <c r="J245" s="30" t="n"/>
      <c r="K245" s="30" t="n"/>
      <c r="L245" s="30" t="n"/>
      <c r="M245" s="30" t="n"/>
    </row>
    <row r="246">
      <c r="A246" s="30" t="n"/>
      <c r="B246" s="30" t="n"/>
      <c r="C246" s="30" t="n"/>
      <c r="D246" s="346" t="n"/>
      <c r="E246" s="346" t="n"/>
      <c r="F246" s="343" t="n"/>
      <c r="G246" s="343" t="n"/>
      <c r="H246" s="343" t="n"/>
      <c r="I246" s="30" t="n"/>
      <c r="J246" s="30" t="n"/>
      <c r="K246" s="30" t="n"/>
      <c r="L246" s="30" t="n"/>
      <c r="M246" s="30" t="n"/>
    </row>
    <row r="247">
      <c r="A247" s="30" t="n"/>
      <c r="B247" s="30" t="n"/>
      <c r="C247" s="30" t="n"/>
      <c r="D247" s="346" t="n"/>
      <c r="E247" s="346" t="n"/>
      <c r="F247" s="343" t="n"/>
      <c r="G247" s="343" t="n"/>
      <c r="H247" s="343" t="n"/>
      <c r="I247" s="30" t="n"/>
      <c r="J247" s="30" t="n"/>
      <c r="K247" s="30" t="n"/>
      <c r="L247" s="30" t="n"/>
      <c r="M247" s="30" t="n"/>
    </row>
    <row r="248">
      <c r="A248" s="30" t="n"/>
      <c r="B248" s="30" t="n"/>
      <c r="C248" s="30" t="n"/>
      <c r="D248" s="346" t="n"/>
      <c r="E248" s="346" t="n"/>
      <c r="F248" s="343" t="n"/>
      <c r="G248" s="343" t="n"/>
      <c r="H248" s="343" t="n"/>
      <c r="I248" s="30" t="n"/>
      <c r="J248" s="30" t="n"/>
      <c r="K248" s="30" t="n"/>
      <c r="L248" s="30" t="n"/>
      <c r="M248" s="30" t="n"/>
    </row>
    <row r="249">
      <c r="A249" s="30" t="n"/>
      <c r="B249" s="30" t="n"/>
      <c r="C249" s="30" t="n"/>
      <c r="D249" s="346" t="n"/>
      <c r="E249" s="346" t="n"/>
      <c r="F249" s="343" t="n"/>
      <c r="G249" s="343" t="n"/>
      <c r="H249" s="343" t="n"/>
      <c r="I249" s="30" t="n"/>
      <c r="J249" s="30" t="n"/>
      <c r="K249" s="30" t="n"/>
      <c r="L249" s="30" t="n"/>
      <c r="M249" s="30" t="n"/>
    </row>
    <row r="250">
      <c r="A250" s="30" t="n"/>
      <c r="B250" s="30" t="n"/>
      <c r="C250" s="30" t="n"/>
      <c r="D250" s="346" t="n"/>
      <c r="E250" s="346" t="n"/>
      <c r="F250" s="343" t="n"/>
      <c r="G250" s="343" t="n"/>
      <c r="H250" s="343" t="n"/>
      <c r="I250" s="30" t="n"/>
      <c r="J250" s="30" t="n"/>
      <c r="K250" s="30" t="n"/>
      <c r="L250" s="30" t="n"/>
      <c r="M250" s="30" t="n"/>
    </row>
    <row r="251">
      <c r="A251" s="30" t="n"/>
      <c r="B251" s="30" t="n"/>
      <c r="C251" s="30" t="n"/>
      <c r="D251" s="346" t="n"/>
      <c r="E251" s="346" t="n"/>
      <c r="F251" s="343" t="n"/>
      <c r="G251" s="343" t="n"/>
      <c r="H251" s="343" t="n"/>
      <c r="I251" s="30" t="n"/>
      <c r="J251" s="30" t="n"/>
      <c r="K251" s="30" t="n"/>
      <c r="L251" s="30" t="n"/>
      <c r="M251" s="30" t="n"/>
    </row>
    <row r="252">
      <c r="A252" s="30" t="n"/>
      <c r="B252" s="30" t="n"/>
      <c r="C252" s="30" t="n"/>
      <c r="D252" s="346" t="n"/>
      <c r="E252" s="346" t="n"/>
      <c r="F252" s="343" t="n"/>
      <c r="G252" s="343" t="n"/>
      <c r="H252" s="343" t="n"/>
      <c r="I252" s="30" t="n"/>
      <c r="J252" s="30" t="n"/>
      <c r="K252" s="30" t="n"/>
      <c r="L252" s="30" t="n"/>
      <c r="M252" s="30" t="n"/>
    </row>
    <row r="253">
      <c r="A253" s="30" t="n"/>
      <c r="B253" s="30" t="n"/>
      <c r="C253" s="30" t="n"/>
      <c r="D253" s="346" t="n"/>
      <c r="E253" s="346" t="n"/>
      <c r="F253" s="343" t="n"/>
      <c r="G253" s="343" t="n"/>
      <c r="H253" s="343" t="n"/>
      <c r="I253" s="30" t="n"/>
      <c r="J253" s="30" t="n"/>
      <c r="K253" s="30" t="n"/>
      <c r="L253" s="30" t="n"/>
      <c r="M253" s="30" t="n"/>
    </row>
    <row r="254">
      <c r="A254" s="30" t="n"/>
      <c r="B254" s="30" t="n"/>
      <c r="C254" s="30" t="n"/>
      <c r="D254" s="346" t="n"/>
      <c r="E254" s="346" t="n"/>
      <c r="F254" s="343" t="n"/>
      <c r="G254" s="343" t="n"/>
      <c r="H254" s="343" t="n"/>
      <c r="I254" s="30" t="n"/>
      <c r="J254" s="30" t="n"/>
      <c r="K254" s="30" t="n"/>
      <c r="L254" s="30" t="n"/>
      <c r="M254" s="30" t="n"/>
    </row>
    <row r="255">
      <c r="A255" s="30" t="n"/>
      <c r="B255" s="30" t="n"/>
      <c r="C255" s="30" t="n"/>
      <c r="D255" s="346" t="n"/>
      <c r="E255" s="346" t="n"/>
      <c r="F255" s="343" t="n"/>
      <c r="G255" s="343" t="n"/>
      <c r="H255" s="343" t="n"/>
      <c r="I255" s="30" t="n"/>
      <c r="J255" s="30" t="n"/>
      <c r="K255" s="30" t="n"/>
      <c r="L255" s="30" t="n"/>
      <c r="M255" s="30" t="n"/>
    </row>
    <row r="256">
      <c r="A256" s="30" t="n"/>
      <c r="B256" s="30" t="n"/>
      <c r="C256" s="30" t="n"/>
      <c r="D256" s="346" t="n"/>
      <c r="E256" s="346" t="n"/>
      <c r="F256" s="343" t="n"/>
      <c r="G256" s="343" t="n"/>
      <c r="H256" s="343" t="n"/>
      <c r="I256" s="30" t="n"/>
      <c r="J256" s="30" t="n"/>
      <c r="K256" s="30" t="n"/>
      <c r="L256" s="30" t="n"/>
      <c r="M256" s="30" t="n"/>
    </row>
    <row r="257">
      <c r="A257" s="30" t="n"/>
      <c r="B257" s="30" t="n"/>
      <c r="C257" s="30" t="n"/>
      <c r="D257" s="346" t="n"/>
      <c r="E257" s="346" t="n"/>
      <c r="F257" s="343" t="n"/>
      <c r="G257" s="343" t="n"/>
      <c r="H257" s="343" t="n"/>
      <c r="I257" s="30" t="n"/>
      <c r="J257" s="30" t="n"/>
      <c r="K257" s="30" t="n"/>
      <c r="L257" s="30" t="n"/>
      <c r="M257" s="30" t="n"/>
    </row>
    <row r="258">
      <c r="A258" s="30" t="n"/>
      <c r="B258" s="30" t="n"/>
      <c r="C258" s="30" t="n"/>
      <c r="D258" s="346" t="n"/>
      <c r="E258" s="346" t="n"/>
      <c r="F258" s="343" t="n"/>
      <c r="G258" s="343" t="n"/>
      <c r="H258" s="343" t="n"/>
      <c r="I258" s="30" t="n"/>
      <c r="J258" s="30" t="n"/>
      <c r="K258" s="30" t="n"/>
      <c r="L258" s="30" t="n"/>
      <c r="M258" s="30" t="n"/>
    </row>
  </sheetData>
  <mergeCells count="5">
    <mergeCell ref="B5:D5"/>
    <mergeCell ref="C1:M1"/>
    <mergeCell ref="C2:M2"/>
    <mergeCell ref="A7:M7"/>
    <mergeCell ref="A1:B2"/>
  </mergeCells>
  <dataValidations count="2">
    <dataValidation sqref="G5" showDropDown="0" showInputMessage="0" showErrorMessage="0" allowBlank="0" type="list">
      <formula1>"All Open,Current,1-30,31-60,61-90,90+"</formula1>
    </dataValidation>
    <dataValidation sqref="J5" showDropDown="0" showInputMessage="0" showErrorMessage="0" allowBlank="0" type="list">
      <formula1>Setup!$A$56:$A$66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style="78" min="1" max="1"/>
    <col width="11" customWidth="1" style="78" min="2" max="2"/>
    <col width="13" customWidth="1" style="78" min="3" max="3"/>
    <col width="12" customWidth="1" style="78" min="4" max="4"/>
    <col width="13" customWidth="1" style="78" min="5" max="5"/>
    <col width="10" customWidth="1" style="78" min="6" max="6"/>
    <col width="3" customWidth="1" style="78" min="7" max="7"/>
    <col width="28" customWidth="1" style="78" min="8" max="8"/>
    <col width="14" customWidth="1" style="78" min="9" max="9"/>
    <col width="13" customWidth="1" style="78" min="10" max="10"/>
    <col width="10" customWidth="1" style="78" min="11" max="11"/>
    <col width="13" customWidth="1" style="78" min="12" max="12"/>
    <col width="14" customWidth="1" style="78" min="13" max="13"/>
    <col width="13" customWidth="1" style="78" min="14" max="14"/>
  </cols>
  <sheetData>
    <row r="1" ht="30" customHeight="1" s="78">
      <c r="A1" s="293" t="n"/>
      <c r="B1" s="293" t="n"/>
      <c r="C1" s="294" t="inlineStr">
        <is>
          <t>REPORTS</t>
        </is>
      </c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5" t="n"/>
      <c r="N1" s="295" t="n"/>
    </row>
    <row r="2" ht="24" customHeight="1" s="78">
      <c r="A2" s="293" t="n"/>
      <c r="B2" s="293" t="n"/>
      <c r="C2" s="296" t="inlineStr">
        <is>
          <t>Consolidated product, account and sales-rep analysis from the canonical ledgers.</t>
        </is>
      </c>
      <c r="D2" s="295" t="n"/>
      <c r="E2" s="295" t="n"/>
      <c r="F2" s="295" t="n"/>
      <c r="G2" s="295" t="n"/>
      <c r="H2" s="295" t="n"/>
      <c r="I2" s="295" t="n"/>
      <c r="J2" s="295" t="n"/>
      <c r="K2" s="295" t="n"/>
      <c r="L2" s="295" t="n"/>
      <c r="M2" s="295" t="n"/>
      <c r="N2" s="295" t="n"/>
    </row>
    <row r="3" ht="8" customHeight="1" s="78">
      <c r="A3" s="249" t="n"/>
      <c r="B3" s="249" t="n"/>
      <c r="C3" s="249" t="n"/>
      <c r="D3" s="249" t="n"/>
      <c r="E3" s="249" t="n"/>
      <c r="F3" s="249" t="n"/>
      <c r="G3" s="249" t="n"/>
      <c r="H3" s="249" t="n"/>
      <c r="I3" s="249" t="n"/>
      <c r="J3" s="249" t="n"/>
      <c r="K3" s="249" t="n"/>
      <c r="L3" s="249" t="n"/>
      <c r="M3" s="249" t="n"/>
      <c r="N3" s="249" t="n"/>
    </row>
    <row r="4">
      <c r="A4" s="249" t="n"/>
      <c r="B4" s="249" t="n"/>
      <c r="C4" s="249" t="n"/>
      <c r="D4" s="249" t="n"/>
      <c r="E4" s="249" t="n"/>
      <c r="F4" s="249" t="n"/>
      <c r="G4" s="249" t="n"/>
      <c r="H4" s="249" t="n"/>
      <c r="I4" s="249" t="n"/>
      <c r="J4" s="249" t="n"/>
      <c r="K4" s="249" t="n"/>
      <c r="L4" s="249" t="n"/>
      <c r="M4" s="249" t="n"/>
      <c r="N4" s="249" t="n"/>
    </row>
    <row r="5" ht="30" customHeight="1" s="78">
      <c r="A5" s="190" t="inlineStr">
        <is>
          <t>START DATE</t>
        </is>
      </c>
      <c r="B5" s="320" t="n">
        <v>46023</v>
      </c>
      <c r="C5" s="320" t="str"/>
      <c r="D5" s="357" t="inlineStr">
        <is>
          <t>END DATE</t>
        </is>
      </c>
      <c r="E5" s="320" t="n">
        <v>46387</v>
      </c>
      <c r="F5" s="187" t="str"/>
      <c r="G5" s="191" t="inlineStr">
        <is>
          <t>SALES REP</t>
        </is>
      </c>
      <c r="H5" s="187" t="inlineStr">
        <is>
          <t>All</t>
        </is>
      </c>
      <c r="I5" s="187" t="str"/>
      <c r="J5" s="191" t="inlineStr">
        <is>
          <t>ACCOUNT</t>
        </is>
      </c>
      <c r="K5" s="187" t="inlineStr">
        <is>
          <t>All</t>
        </is>
      </c>
      <c r="L5" s="187" t="str"/>
      <c r="M5" s="191" t="inlineStr">
        <is>
          <t>PRODUCT LINE</t>
        </is>
      </c>
      <c r="N5" s="189" t="inlineStr">
        <is>
          <t>All</t>
        </is>
      </c>
    </row>
    <row r="6">
      <c r="A6" s="249" t="n"/>
      <c r="B6" s="249" t="n"/>
      <c r="C6" s="249" t="n"/>
      <c r="D6" s="249" t="n"/>
      <c r="E6" s="249" t="n"/>
      <c r="F6" s="249" t="n"/>
      <c r="G6" s="249" t="n"/>
      <c r="H6" s="249" t="n"/>
      <c r="I6" s="249" t="n"/>
      <c r="J6" s="249" t="n"/>
      <c r="K6" s="249" t="n"/>
      <c r="L6" s="249" t="n"/>
      <c r="M6" s="249" t="n"/>
      <c r="N6" s="249" t="n"/>
    </row>
    <row r="7" ht="22" customHeight="1" s="78">
      <c r="A7" s="302" t="inlineStr">
        <is>
          <t>Product Performance</t>
        </is>
      </c>
      <c r="B7" s="303" t="n"/>
      <c r="C7" s="303" t="n"/>
      <c r="D7" s="303" t="n"/>
      <c r="E7" s="303" t="n"/>
      <c r="F7" s="303" t="n"/>
      <c r="G7" s="249" t="n"/>
      <c r="H7" s="302" t="inlineStr">
        <is>
          <t>Account Performance</t>
        </is>
      </c>
      <c r="I7" s="303" t="n"/>
      <c r="J7" s="303" t="n"/>
      <c r="K7" s="303" t="n"/>
      <c r="L7" s="303" t="n"/>
      <c r="M7" s="303" t="n"/>
      <c r="N7" s="303" t="n"/>
    </row>
    <row r="8">
      <c r="A8" s="249" t="n"/>
      <c r="B8" s="249" t="n"/>
      <c r="C8" s="249" t="n"/>
      <c r="D8" s="249" t="n"/>
      <c r="E8" s="249" t="n"/>
      <c r="F8" s="249" t="n"/>
      <c r="G8" s="249" t="n"/>
      <c r="H8" s="249" t="n"/>
      <c r="I8" s="249" t="n"/>
      <c r="J8" s="249" t="n"/>
      <c r="K8" s="249" t="n"/>
      <c r="L8" s="249" t="n"/>
      <c r="M8" s="249" t="n"/>
      <c r="N8" s="249" t="n"/>
    </row>
    <row r="9" ht="28" customHeight="1" s="78">
      <c r="A9" s="149" t="inlineStr">
        <is>
          <t>Product</t>
        </is>
      </c>
      <c r="B9" s="150" t="inlineStr">
        <is>
          <t>Cases</t>
        </is>
      </c>
      <c r="C9" s="150" t="inlineStr">
        <is>
          <t>Revenue</t>
        </is>
      </c>
      <c r="D9" s="150" t="inlineStr">
        <is>
          <t>COGS</t>
        </is>
      </c>
      <c r="E9" s="150" t="inlineStr">
        <is>
          <t>Gross Profit</t>
        </is>
      </c>
      <c r="F9" s="151" t="inlineStr">
        <is>
          <t>Margin</t>
        </is>
      </c>
      <c r="G9" s="249" t="n"/>
      <c r="H9" s="149" t="inlineStr">
        <is>
          <t>Account</t>
        </is>
      </c>
      <c r="I9" s="150" t="inlineStr">
        <is>
          <t>City</t>
        </is>
      </c>
      <c r="J9" s="150" t="inlineStr">
        <is>
          <t>Revenue</t>
        </is>
      </c>
      <c r="K9" s="150" t="inlineStr">
        <is>
          <t>Cases</t>
        </is>
      </c>
      <c r="L9" s="150" t="inlineStr">
        <is>
          <t>Invoice Count</t>
        </is>
      </c>
      <c r="M9" s="150" t="inlineStr">
        <is>
          <t>Current Open AR</t>
        </is>
      </c>
      <c r="N9" s="151" t="inlineStr">
        <is>
          <t>Last Order</t>
        </is>
      </c>
    </row>
    <row r="10">
      <c r="A10" s="304">
        <f>Setup!A9</f>
        <v/>
      </c>
      <c r="B10" s="306">
        <f>IF($A10="","",SUMIFS(Depletion!$C$9:$C$208,Depletion!$B$9:$B$208,$A10,Depletion!$K$9:$K$208,"&gt;="&amp;$B$5,Depletion!$K$9:$K$208,"&lt;="&amp;$E$5,Depletion!$M$9:$M$208,IF($H$5="All","*",$H$5),Depletion!$L$9:$L$208,IF($K$5="All","*",$K$5),Depletion!$G$9:$G$208,IF($N$5="All","*",$N$5)))</f>
        <v/>
      </c>
      <c r="C10" s="305">
        <f>IF($A10="","",SUMIFS(Depletion!$E$9:$E$208,Depletion!$B$9:$B$208,$A10,Depletion!$K$9:$K$208,"&gt;="&amp;$B$5,Depletion!$K$9:$K$208,"&lt;="&amp;$E$5,Depletion!$M$9:$M$208,IF($H$5="All","*",$H$5),Depletion!$L$9:$L$208,IF($K$5="All","*",$K$5),Depletion!$G$9:$G$208,IF($N$5="All","*",$N$5)))</f>
        <v/>
      </c>
      <c r="D10" s="305">
        <f>IF($A10="","",SUMIFS(Depletion!$I$9:$I$208,Depletion!$B$9:$B$208,$A10,Depletion!$K$9:$K$208,"&gt;="&amp;$B$5,Depletion!$K$9:$K$208,"&lt;="&amp;$E$5,Depletion!$M$9:$M$208,IF($H$5="All","*",$H$5),Depletion!$L$9:$L$208,IF($K$5="All","*",$K$5),Depletion!$G$9:$G$208,IF($N$5="All","*",$N$5)))</f>
        <v/>
      </c>
      <c r="E10" s="305">
        <f>IF($A10="","",$C10-$D10)</f>
        <v/>
      </c>
      <c r="F10" s="307">
        <f>IFERROR($E10/$C10,0)</f>
        <v/>
      </c>
      <c r="G10" s="249" t="n"/>
      <c r="H10" s="304">
        <f>Setup!A36</f>
        <v/>
      </c>
      <c r="I10" s="308">
        <f>IF($H10="","",IFERROR(VLOOKUP($H10,Setup!$A$36:$D$50,2,FALSE),""))</f>
        <v/>
      </c>
      <c r="J10" s="305">
        <f>IF($H10="","",SUMIFS(Invoices!$L$9:$L$108,Invoices!$C$9:$C$108,$H10,Invoices!$B$9:$B$108,"&gt;="&amp;$B$5,Invoices!$B$9:$B$108,"&lt;="&amp;$E$5,Invoices!$D$9:$D$108,IF($H$5="All","*",$H$5)))</f>
        <v/>
      </c>
      <c r="K10" s="306">
        <f>IF($H10="","",SUMIFS(Invoices!$M$9:$M$108,Invoices!$C$9:$C$108,$H10,Invoices!$B$9:$B$108,"&gt;="&amp;$B$5,Invoices!$B$9:$B$108,"&lt;="&amp;$E$5,Invoices!$D$9:$D$108,IF($H$5="All","*",$H$5)))</f>
        <v/>
      </c>
      <c r="L10" s="308">
        <f>IF($H10="","",COUNTIFS(Invoices!$C$9:$C$108,$H10,Invoices!$B$9:$B$108,"&gt;="&amp;$B$5,Invoices!$B$9:$B$108,"&lt;="&amp;$E$5,Invoices!$D$9:$D$108,IF($H$5="All","*",$H$5)))</f>
        <v/>
      </c>
      <c r="M10" s="305">
        <f>IF($H10="","",SUMIF(Invoices!$C$9:$C$108,$H10,Invoices!$Q$9:$Q$108))</f>
        <v/>
      </c>
      <c r="N10" s="358">
        <f>IF($H10="","",IFERROR(MAXIFS(Invoices!$B$9:$B$108,Invoices!$C$9:$C$108,$H10),""))</f>
        <v/>
      </c>
    </row>
    <row r="11">
      <c r="A11" s="304">
        <f>Setup!A10</f>
        <v/>
      </c>
      <c r="B11" s="306">
        <f>IF($A11="","",SUMIFS(Depletion!$C$9:$C$208,Depletion!$B$9:$B$208,$A11,Depletion!$K$9:$K$208,"&gt;="&amp;$B$5,Depletion!$K$9:$K$208,"&lt;="&amp;$E$5,Depletion!$M$9:$M$208,IF($H$5="All","*",$H$5),Depletion!$L$9:$L$208,IF($K$5="All","*",$K$5),Depletion!$G$9:$G$208,IF($N$5="All","*",$N$5)))</f>
        <v/>
      </c>
      <c r="C11" s="305">
        <f>IF($A11="","",SUMIFS(Depletion!$E$9:$E$208,Depletion!$B$9:$B$208,$A11,Depletion!$K$9:$K$208,"&gt;="&amp;$B$5,Depletion!$K$9:$K$208,"&lt;="&amp;$E$5,Depletion!$M$9:$M$208,IF($H$5="All","*",$H$5),Depletion!$L$9:$L$208,IF($K$5="All","*",$K$5),Depletion!$G$9:$G$208,IF($N$5="All","*",$N$5)))</f>
        <v/>
      </c>
      <c r="D11" s="305">
        <f>IF($A11="","",SUMIFS(Depletion!$I$9:$I$208,Depletion!$B$9:$B$208,$A11,Depletion!$K$9:$K$208,"&gt;="&amp;$B$5,Depletion!$K$9:$K$208,"&lt;="&amp;$E$5,Depletion!$M$9:$M$208,IF($H$5="All","*",$H$5),Depletion!$L$9:$L$208,IF($K$5="All","*",$K$5),Depletion!$G$9:$G$208,IF($N$5="All","*",$N$5)))</f>
        <v/>
      </c>
      <c r="E11" s="305">
        <f>IF($A11="","",$C11-$D11)</f>
        <v/>
      </c>
      <c r="F11" s="307">
        <f>IFERROR($E11/$C11,0)</f>
        <v/>
      </c>
      <c r="G11" s="249" t="n"/>
      <c r="H11" s="304">
        <f>Setup!A37</f>
        <v/>
      </c>
      <c r="I11" s="308">
        <f>IF($H11="","",IFERROR(VLOOKUP($H11,Setup!$A$36:$D$50,2,FALSE),""))</f>
        <v/>
      </c>
      <c r="J11" s="305">
        <f>IF($H11="","",SUMIFS(Invoices!$L$9:$L$108,Invoices!$C$9:$C$108,$H11,Invoices!$B$9:$B$108,"&gt;="&amp;$B$5,Invoices!$B$9:$B$108,"&lt;="&amp;$E$5,Invoices!$D$9:$D$108,IF($H$5="All","*",$H$5)))</f>
        <v/>
      </c>
      <c r="K11" s="306">
        <f>IF($H11="","",SUMIFS(Invoices!$M$9:$M$108,Invoices!$C$9:$C$108,$H11,Invoices!$B$9:$B$108,"&gt;="&amp;$B$5,Invoices!$B$9:$B$108,"&lt;="&amp;$E$5,Invoices!$D$9:$D$108,IF($H$5="All","*",$H$5)))</f>
        <v/>
      </c>
      <c r="L11" s="308">
        <f>IF($H11="","",COUNTIFS(Invoices!$C$9:$C$108,$H11,Invoices!$B$9:$B$108,"&gt;="&amp;$B$5,Invoices!$B$9:$B$108,"&lt;="&amp;$E$5,Invoices!$D$9:$D$108,IF($H$5="All","*",$H$5)))</f>
        <v/>
      </c>
      <c r="M11" s="305">
        <f>IF($H11="","",SUMIF(Invoices!$C$9:$C$108,$H11,Invoices!$Q$9:$Q$108))</f>
        <v/>
      </c>
      <c r="N11" s="358">
        <f>IF($H11="","",IFERROR(MAXIFS(Invoices!$B$9:$B$108,Invoices!$C$9:$C$108,$H11),""))</f>
        <v/>
      </c>
    </row>
    <row r="12">
      <c r="A12" s="304">
        <f>Setup!A11</f>
        <v/>
      </c>
      <c r="B12" s="306">
        <f>IF($A12="","",SUMIFS(Depletion!$C$9:$C$208,Depletion!$B$9:$B$208,$A12,Depletion!$K$9:$K$208,"&gt;="&amp;$B$5,Depletion!$K$9:$K$208,"&lt;="&amp;$E$5,Depletion!$M$9:$M$208,IF($H$5="All","*",$H$5),Depletion!$L$9:$L$208,IF($K$5="All","*",$K$5),Depletion!$G$9:$G$208,IF($N$5="All","*",$N$5)))</f>
        <v/>
      </c>
      <c r="C12" s="305">
        <f>IF($A12="","",SUMIFS(Depletion!$E$9:$E$208,Depletion!$B$9:$B$208,$A12,Depletion!$K$9:$K$208,"&gt;="&amp;$B$5,Depletion!$K$9:$K$208,"&lt;="&amp;$E$5,Depletion!$M$9:$M$208,IF($H$5="All","*",$H$5),Depletion!$L$9:$L$208,IF($K$5="All","*",$K$5),Depletion!$G$9:$G$208,IF($N$5="All","*",$N$5)))</f>
        <v/>
      </c>
      <c r="D12" s="305">
        <f>IF($A12="","",SUMIFS(Depletion!$I$9:$I$208,Depletion!$B$9:$B$208,$A12,Depletion!$K$9:$K$208,"&gt;="&amp;$B$5,Depletion!$K$9:$K$208,"&lt;="&amp;$E$5,Depletion!$M$9:$M$208,IF($H$5="All","*",$H$5),Depletion!$L$9:$L$208,IF($K$5="All","*",$K$5),Depletion!$G$9:$G$208,IF($N$5="All","*",$N$5)))</f>
        <v/>
      </c>
      <c r="E12" s="305">
        <f>IF($A12="","",$C12-$D12)</f>
        <v/>
      </c>
      <c r="F12" s="307">
        <f>IFERROR($E12/$C12,0)</f>
        <v/>
      </c>
      <c r="G12" s="249" t="n"/>
      <c r="H12" s="304">
        <f>Setup!A38</f>
        <v/>
      </c>
      <c r="I12" s="308">
        <f>IF($H12="","",IFERROR(VLOOKUP($H12,Setup!$A$36:$D$50,2,FALSE),""))</f>
        <v/>
      </c>
      <c r="J12" s="305">
        <f>IF($H12="","",SUMIFS(Invoices!$L$9:$L$108,Invoices!$C$9:$C$108,$H12,Invoices!$B$9:$B$108,"&gt;="&amp;$B$5,Invoices!$B$9:$B$108,"&lt;="&amp;$E$5,Invoices!$D$9:$D$108,IF($H$5="All","*",$H$5)))</f>
        <v/>
      </c>
      <c r="K12" s="306">
        <f>IF($H12="","",SUMIFS(Invoices!$M$9:$M$108,Invoices!$C$9:$C$108,$H12,Invoices!$B$9:$B$108,"&gt;="&amp;$B$5,Invoices!$B$9:$B$108,"&lt;="&amp;$E$5,Invoices!$D$9:$D$108,IF($H$5="All","*",$H$5)))</f>
        <v/>
      </c>
      <c r="L12" s="308">
        <f>IF($H12="","",COUNTIFS(Invoices!$C$9:$C$108,$H12,Invoices!$B$9:$B$108,"&gt;="&amp;$B$5,Invoices!$B$9:$B$108,"&lt;="&amp;$E$5,Invoices!$D$9:$D$108,IF($H$5="All","*",$H$5)))</f>
        <v/>
      </c>
      <c r="M12" s="305">
        <f>IF($H12="","",SUMIF(Invoices!$C$9:$C$108,$H12,Invoices!$Q$9:$Q$108))</f>
        <v/>
      </c>
      <c r="N12" s="358">
        <f>IF($H12="","",IFERROR(MAXIFS(Invoices!$B$9:$B$108,Invoices!$C$9:$C$108,$H12),""))</f>
        <v/>
      </c>
    </row>
    <row r="13">
      <c r="A13" s="304">
        <f>Setup!A12</f>
        <v/>
      </c>
      <c r="B13" s="306">
        <f>IF($A13="","",SUMIFS(Depletion!$C$9:$C$208,Depletion!$B$9:$B$208,$A13,Depletion!$K$9:$K$208,"&gt;="&amp;$B$5,Depletion!$K$9:$K$208,"&lt;="&amp;$E$5,Depletion!$M$9:$M$208,IF($H$5="All","*",$H$5),Depletion!$L$9:$L$208,IF($K$5="All","*",$K$5),Depletion!$G$9:$G$208,IF($N$5="All","*",$N$5)))</f>
        <v/>
      </c>
      <c r="C13" s="305">
        <f>IF($A13="","",SUMIFS(Depletion!$E$9:$E$208,Depletion!$B$9:$B$208,$A13,Depletion!$K$9:$K$208,"&gt;="&amp;$B$5,Depletion!$K$9:$K$208,"&lt;="&amp;$E$5,Depletion!$M$9:$M$208,IF($H$5="All","*",$H$5),Depletion!$L$9:$L$208,IF($K$5="All","*",$K$5),Depletion!$G$9:$G$208,IF($N$5="All","*",$N$5)))</f>
        <v/>
      </c>
      <c r="D13" s="305">
        <f>IF($A13="","",SUMIFS(Depletion!$I$9:$I$208,Depletion!$B$9:$B$208,$A13,Depletion!$K$9:$K$208,"&gt;="&amp;$B$5,Depletion!$K$9:$K$208,"&lt;="&amp;$E$5,Depletion!$M$9:$M$208,IF($H$5="All","*",$H$5),Depletion!$L$9:$L$208,IF($K$5="All","*",$K$5),Depletion!$G$9:$G$208,IF($N$5="All","*",$N$5)))</f>
        <v/>
      </c>
      <c r="E13" s="305">
        <f>IF($A13="","",$C13-$D13)</f>
        <v/>
      </c>
      <c r="F13" s="307">
        <f>IFERROR($E13/$C13,0)</f>
        <v/>
      </c>
      <c r="G13" s="249" t="n"/>
      <c r="H13" s="304">
        <f>Setup!A39</f>
        <v/>
      </c>
      <c r="I13" s="308">
        <f>IF($H13="","",IFERROR(VLOOKUP($H13,Setup!$A$36:$D$50,2,FALSE),""))</f>
        <v/>
      </c>
      <c r="J13" s="305">
        <f>IF($H13="","",SUMIFS(Invoices!$L$9:$L$108,Invoices!$C$9:$C$108,$H13,Invoices!$B$9:$B$108,"&gt;="&amp;$B$5,Invoices!$B$9:$B$108,"&lt;="&amp;$E$5,Invoices!$D$9:$D$108,IF($H$5="All","*",$H$5)))</f>
        <v/>
      </c>
      <c r="K13" s="306">
        <f>IF($H13="","",SUMIFS(Invoices!$M$9:$M$108,Invoices!$C$9:$C$108,$H13,Invoices!$B$9:$B$108,"&gt;="&amp;$B$5,Invoices!$B$9:$B$108,"&lt;="&amp;$E$5,Invoices!$D$9:$D$108,IF($H$5="All","*",$H$5)))</f>
        <v/>
      </c>
      <c r="L13" s="308">
        <f>IF($H13="","",COUNTIFS(Invoices!$C$9:$C$108,$H13,Invoices!$B$9:$B$108,"&gt;="&amp;$B$5,Invoices!$B$9:$B$108,"&lt;="&amp;$E$5,Invoices!$D$9:$D$108,IF($H$5="All","*",$H$5)))</f>
        <v/>
      </c>
      <c r="M13" s="305">
        <f>IF($H13="","",SUMIF(Invoices!$C$9:$C$108,$H13,Invoices!$Q$9:$Q$108))</f>
        <v/>
      </c>
      <c r="N13" s="358">
        <f>IF($H13="","",IFERROR(MAXIFS(Invoices!$B$9:$B$108,Invoices!$C$9:$C$108,$H13),""))</f>
        <v/>
      </c>
    </row>
    <row r="14">
      <c r="A14" s="304">
        <f>Setup!A13</f>
        <v/>
      </c>
      <c r="B14" s="306">
        <f>IF($A14="","",SUMIFS(Depletion!$C$9:$C$208,Depletion!$B$9:$B$208,$A14,Depletion!$K$9:$K$208,"&gt;="&amp;$B$5,Depletion!$K$9:$K$208,"&lt;="&amp;$E$5,Depletion!$M$9:$M$208,IF($H$5="All","*",$H$5),Depletion!$L$9:$L$208,IF($K$5="All","*",$K$5),Depletion!$G$9:$G$208,IF($N$5="All","*",$N$5)))</f>
        <v/>
      </c>
      <c r="C14" s="305">
        <f>IF($A14="","",SUMIFS(Depletion!$E$9:$E$208,Depletion!$B$9:$B$208,$A14,Depletion!$K$9:$K$208,"&gt;="&amp;$B$5,Depletion!$K$9:$K$208,"&lt;="&amp;$E$5,Depletion!$M$9:$M$208,IF($H$5="All","*",$H$5),Depletion!$L$9:$L$208,IF($K$5="All","*",$K$5),Depletion!$G$9:$G$208,IF($N$5="All","*",$N$5)))</f>
        <v/>
      </c>
      <c r="D14" s="305">
        <f>IF($A14="","",SUMIFS(Depletion!$I$9:$I$208,Depletion!$B$9:$B$208,$A14,Depletion!$K$9:$K$208,"&gt;="&amp;$B$5,Depletion!$K$9:$K$208,"&lt;="&amp;$E$5,Depletion!$M$9:$M$208,IF($H$5="All","*",$H$5),Depletion!$L$9:$L$208,IF($K$5="All","*",$K$5),Depletion!$G$9:$G$208,IF($N$5="All","*",$N$5)))</f>
        <v/>
      </c>
      <c r="E14" s="305">
        <f>IF($A14="","",$C14-$D14)</f>
        <v/>
      </c>
      <c r="F14" s="307">
        <f>IFERROR($E14/$C14,0)</f>
        <v/>
      </c>
      <c r="G14" s="249" t="n"/>
      <c r="H14" s="304">
        <f>Setup!A40</f>
        <v/>
      </c>
      <c r="I14" s="308">
        <f>IF($H14="","",IFERROR(VLOOKUP($H14,Setup!$A$36:$D$50,2,FALSE),""))</f>
        <v/>
      </c>
      <c r="J14" s="305">
        <f>IF($H14="","",SUMIFS(Invoices!$L$9:$L$108,Invoices!$C$9:$C$108,$H14,Invoices!$B$9:$B$108,"&gt;="&amp;$B$5,Invoices!$B$9:$B$108,"&lt;="&amp;$E$5,Invoices!$D$9:$D$108,IF($H$5="All","*",$H$5)))</f>
        <v/>
      </c>
      <c r="K14" s="306">
        <f>IF($H14="","",SUMIFS(Invoices!$M$9:$M$108,Invoices!$C$9:$C$108,$H14,Invoices!$B$9:$B$108,"&gt;="&amp;$B$5,Invoices!$B$9:$B$108,"&lt;="&amp;$E$5,Invoices!$D$9:$D$108,IF($H$5="All","*",$H$5)))</f>
        <v/>
      </c>
      <c r="L14" s="308">
        <f>IF($H14="","",COUNTIFS(Invoices!$C$9:$C$108,$H14,Invoices!$B$9:$B$108,"&gt;="&amp;$B$5,Invoices!$B$9:$B$108,"&lt;="&amp;$E$5,Invoices!$D$9:$D$108,IF($H$5="All","*",$H$5)))</f>
        <v/>
      </c>
      <c r="M14" s="305">
        <f>IF($H14="","",SUMIF(Invoices!$C$9:$C$108,$H14,Invoices!$Q$9:$Q$108))</f>
        <v/>
      </c>
      <c r="N14" s="358">
        <f>IF($H14="","",IFERROR(MAXIFS(Invoices!$B$9:$B$108,Invoices!$C$9:$C$108,$H14),""))</f>
        <v/>
      </c>
    </row>
    <row r="15">
      <c r="A15" s="304">
        <f>Setup!A14</f>
        <v/>
      </c>
      <c r="B15" s="306">
        <f>IF($A15="","",SUMIFS(Depletion!$C$9:$C$208,Depletion!$B$9:$B$208,$A15,Depletion!$K$9:$K$208,"&gt;="&amp;$B$5,Depletion!$K$9:$K$208,"&lt;="&amp;$E$5,Depletion!$M$9:$M$208,IF($H$5="All","*",$H$5),Depletion!$L$9:$L$208,IF($K$5="All","*",$K$5),Depletion!$G$9:$G$208,IF($N$5="All","*",$N$5)))</f>
        <v/>
      </c>
      <c r="C15" s="305">
        <f>IF($A15="","",SUMIFS(Depletion!$E$9:$E$208,Depletion!$B$9:$B$208,$A15,Depletion!$K$9:$K$208,"&gt;="&amp;$B$5,Depletion!$K$9:$K$208,"&lt;="&amp;$E$5,Depletion!$M$9:$M$208,IF($H$5="All","*",$H$5),Depletion!$L$9:$L$208,IF($K$5="All","*",$K$5),Depletion!$G$9:$G$208,IF($N$5="All","*",$N$5)))</f>
        <v/>
      </c>
      <c r="D15" s="305">
        <f>IF($A15="","",SUMIFS(Depletion!$I$9:$I$208,Depletion!$B$9:$B$208,$A15,Depletion!$K$9:$K$208,"&gt;="&amp;$B$5,Depletion!$K$9:$K$208,"&lt;="&amp;$E$5,Depletion!$M$9:$M$208,IF($H$5="All","*",$H$5),Depletion!$L$9:$L$208,IF($K$5="All","*",$K$5),Depletion!$G$9:$G$208,IF($N$5="All","*",$N$5)))</f>
        <v/>
      </c>
      <c r="E15" s="305">
        <f>IF($A15="","",$C15-$D15)</f>
        <v/>
      </c>
      <c r="F15" s="307">
        <f>IFERROR($E15/$C15,0)</f>
        <v/>
      </c>
      <c r="G15" s="249" t="n"/>
      <c r="H15" s="304">
        <f>Setup!A41</f>
        <v/>
      </c>
      <c r="I15" s="308">
        <f>IF($H15="","",IFERROR(VLOOKUP($H15,Setup!$A$36:$D$50,2,FALSE),""))</f>
        <v/>
      </c>
      <c r="J15" s="305">
        <f>IF($H15="","",SUMIFS(Invoices!$L$9:$L$108,Invoices!$C$9:$C$108,$H15,Invoices!$B$9:$B$108,"&gt;="&amp;$B$5,Invoices!$B$9:$B$108,"&lt;="&amp;$E$5,Invoices!$D$9:$D$108,IF($H$5="All","*",$H$5)))</f>
        <v/>
      </c>
      <c r="K15" s="306">
        <f>IF($H15="","",SUMIFS(Invoices!$M$9:$M$108,Invoices!$C$9:$C$108,$H15,Invoices!$B$9:$B$108,"&gt;="&amp;$B$5,Invoices!$B$9:$B$108,"&lt;="&amp;$E$5,Invoices!$D$9:$D$108,IF($H$5="All","*",$H$5)))</f>
        <v/>
      </c>
      <c r="L15" s="308">
        <f>IF($H15="","",COUNTIFS(Invoices!$C$9:$C$108,$H15,Invoices!$B$9:$B$108,"&gt;="&amp;$B$5,Invoices!$B$9:$B$108,"&lt;="&amp;$E$5,Invoices!$D$9:$D$108,IF($H$5="All","*",$H$5)))</f>
        <v/>
      </c>
      <c r="M15" s="305">
        <f>IF($H15="","",SUMIF(Invoices!$C$9:$C$108,$H15,Invoices!$Q$9:$Q$108))</f>
        <v/>
      </c>
      <c r="N15" s="358">
        <f>IF($H15="","",IFERROR(MAXIFS(Invoices!$B$9:$B$108,Invoices!$C$9:$C$108,$H15),""))</f>
        <v/>
      </c>
    </row>
    <row r="16">
      <c r="A16" s="304">
        <f>Setup!A15</f>
        <v/>
      </c>
      <c r="B16" s="306">
        <f>IF($A16="","",SUMIFS(Depletion!$C$9:$C$208,Depletion!$B$9:$B$208,$A16,Depletion!$K$9:$K$208,"&gt;="&amp;$B$5,Depletion!$K$9:$K$208,"&lt;="&amp;$E$5,Depletion!$M$9:$M$208,IF($H$5="All","*",$H$5),Depletion!$L$9:$L$208,IF($K$5="All","*",$K$5),Depletion!$G$9:$G$208,IF($N$5="All","*",$N$5)))</f>
        <v/>
      </c>
      <c r="C16" s="305">
        <f>IF($A16="","",SUMIFS(Depletion!$E$9:$E$208,Depletion!$B$9:$B$208,$A16,Depletion!$K$9:$K$208,"&gt;="&amp;$B$5,Depletion!$K$9:$K$208,"&lt;="&amp;$E$5,Depletion!$M$9:$M$208,IF($H$5="All","*",$H$5),Depletion!$L$9:$L$208,IF($K$5="All","*",$K$5),Depletion!$G$9:$G$208,IF($N$5="All","*",$N$5)))</f>
        <v/>
      </c>
      <c r="D16" s="305">
        <f>IF($A16="","",SUMIFS(Depletion!$I$9:$I$208,Depletion!$B$9:$B$208,$A16,Depletion!$K$9:$K$208,"&gt;="&amp;$B$5,Depletion!$K$9:$K$208,"&lt;="&amp;$E$5,Depletion!$M$9:$M$208,IF($H$5="All","*",$H$5),Depletion!$L$9:$L$208,IF($K$5="All","*",$K$5),Depletion!$G$9:$G$208,IF($N$5="All","*",$N$5)))</f>
        <v/>
      </c>
      <c r="E16" s="305">
        <f>IF($A16="","",$C16-$D16)</f>
        <v/>
      </c>
      <c r="F16" s="307">
        <f>IFERROR($E16/$C16,0)</f>
        <v/>
      </c>
      <c r="G16" s="249" t="n"/>
      <c r="H16" s="304">
        <f>Setup!A42</f>
        <v/>
      </c>
      <c r="I16" s="308">
        <f>IF($H16="","",IFERROR(VLOOKUP($H16,Setup!$A$36:$D$50,2,FALSE),""))</f>
        <v/>
      </c>
      <c r="J16" s="305">
        <f>IF($H16="","",SUMIFS(Invoices!$L$9:$L$108,Invoices!$C$9:$C$108,$H16,Invoices!$B$9:$B$108,"&gt;="&amp;$B$5,Invoices!$B$9:$B$108,"&lt;="&amp;$E$5,Invoices!$D$9:$D$108,IF($H$5="All","*",$H$5)))</f>
        <v/>
      </c>
      <c r="K16" s="306">
        <f>IF($H16="","",SUMIFS(Invoices!$M$9:$M$108,Invoices!$C$9:$C$108,$H16,Invoices!$B$9:$B$108,"&gt;="&amp;$B$5,Invoices!$B$9:$B$108,"&lt;="&amp;$E$5,Invoices!$D$9:$D$108,IF($H$5="All","*",$H$5)))</f>
        <v/>
      </c>
      <c r="L16" s="308">
        <f>IF($H16="","",COUNTIFS(Invoices!$C$9:$C$108,$H16,Invoices!$B$9:$B$108,"&gt;="&amp;$B$5,Invoices!$B$9:$B$108,"&lt;="&amp;$E$5,Invoices!$D$9:$D$108,IF($H$5="All","*",$H$5)))</f>
        <v/>
      </c>
      <c r="M16" s="305">
        <f>IF($H16="","",SUMIF(Invoices!$C$9:$C$108,$H16,Invoices!$Q$9:$Q$108))</f>
        <v/>
      </c>
      <c r="N16" s="358">
        <f>IF($H16="","",IFERROR(MAXIFS(Invoices!$B$9:$B$108,Invoices!$C$9:$C$108,$H16),""))</f>
        <v/>
      </c>
    </row>
    <row r="17">
      <c r="A17" s="304">
        <f>Setup!A16</f>
        <v/>
      </c>
      <c r="B17" s="306">
        <f>IF($A17="","",SUMIFS(Depletion!$C$9:$C$208,Depletion!$B$9:$B$208,$A17,Depletion!$K$9:$K$208,"&gt;="&amp;$B$5,Depletion!$K$9:$K$208,"&lt;="&amp;$E$5,Depletion!$M$9:$M$208,IF($H$5="All","*",$H$5),Depletion!$L$9:$L$208,IF($K$5="All","*",$K$5),Depletion!$G$9:$G$208,IF($N$5="All","*",$N$5)))</f>
        <v/>
      </c>
      <c r="C17" s="305">
        <f>IF($A17="","",SUMIFS(Depletion!$E$9:$E$208,Depletion!$B$9:$B$208,$A17,Depletion!$K$9:$K$208,"&gt;="&amp;$B$5,Depletion!$K$9:$K$208,"&lt;="&amp;$E$5,Depletion!$M$9:$M$208,IF($H$5="All","*",$H$5),Depletion!$L$9:$L$208,IF($K$5="All","*",$K$5),Depletion!$G$9:$G$208,IF($N$5="All","*",$N$5)))</f>
        <v/>
      </c>
      <c r="D17" s="305">
        <f>IF($A17="","",SUMIFS(Depletion!$I$9:$I$208,Depletion!$B$9:$B$208,$A17,Depletion!$K$9:$K$208,"&gt;="&amp;$B$5,Depletion!$K$9:$K$208,"&lt;="&amp;$E$5,Depletion!$M$9:$M$208,IF($H$5="All","*",$H$5),Depletion!$L$9:$L$208,IF($K$5="All","*",$K$5),Depletion!$G$9:$G$208,IF($N$5="All","*",$N$5)))</f>
        <v/>
      </c>
      <c r="E17" s="305">
        <f>IF($A17="","",$C17-$D17)</f>
        <v/>
      </c>
      <c r="F17" s="307">
        <f>IFERROR($E17/$C17,0)</f>
        <v/>
      </c>
      <c r="G17" s="249" t="n"/>
      <c r="H17" s="304">
        <f>Setup!A43</f>
        <v/>
      </c>
      <c r="I17" s="308">
        <f>IF($H17="","",IFERROR(VLOOKUP($H17,Setup!$A$36:$D$50,2,FALSE),""))</f>
        <v/>
      </c>
      <c r="J17" s="305">
        <f>IF($H17="","",SUMIFS(Invoices!$L$9:$L$108,Invoices!$C$9:$C$108,$H17,Invoices!$B$9:$B$108,"&gt;="&amp;$B$5,Invoices!$B$9:$B$108,"&lt;="&amp;$E$5,Invoices!$D$9:$D$108,IF($H$5="All","*",$H$5)))</f>
        <v/>
      </c>
      <c r="K17" s="306">
        <f>IF($H17="","",SUMIFS(Invoices!$M$9:$M$108,Invoices!$C$9:$C$108,$H17,Invoices!$B$9:$B$108,"&gt;="&amp;$B$5,Invoices!$B$9:$B$108,"&lt;="&amp;$E$5,Invoices!$D$9:$D$108,IF($H$5="All","*",$H$5)))</f>
        <v/>
      </c>
      <c r="L17" s="308">
        <f>IF($H17="","",COUNTIFS(Invoices!$C$9:$C$108,$H17,Invoices!$B$9:$B$108,"&gt;="&amp;$B$5,Invoices!$B$9:$B$108,"&lt;="&amp;$E$5,Invoices!$D$9:$D$108,IF($H$5="All","*",$H$5)))</f>
        <v/>
      </c>
      <c r="M17" s="305">
        <f>IF($H17="","",SUMIF(Invoices!$C$9:$C$108,$H17,Invoices!$Q$9:$Q$108))</f>
        <v/>
      </c>
      <c r="N17" s="358">
        <f>IF($H17="","",IFERROR(MAXIFS(Invoices!$B$9:$B$108,Invoices!$C$9:$C$108,$H17),""))</f>
        <v/>
      </c>
    </row>
    <row r="18">
      <c r="A18" s="304">
        <f>Setup!A17</f>
        <v/>
      </c>
      <c r="B18" s="306">
        <f>IF($A18="","",SUMIFS(Depletion!$C$9:$C$208,Depletion!$B$9:$B$208,$A18,Depletion!$K$9:$K$208,"&gt;="&amp;$B$5,Depletion!$K$9:$K$208,"&lt;="&amp;$E$5,Depletion!$M$9:$M$208,IF($H$5="All","*",$H$5),Depletion!$L$9:$L$208,IF($K$5="All","*",$K$5),Depletion!$G$9:$G$208,IF($N$5="All","*",$N$5)))</f>
        <v/>
      </c>
      <c r="C18" s="305">
        <f>IF($A18="","",SUMIFS(Depletion!$E$9:$E$208,Depletion!$B$9:$B$208,$A18,Depletion!$K$9:$K$208,"&gt;="&amp;$B$5,Depletion!$K$9:$K$208,"&lt;="&amp;$E$5,Depletion!$M$9:$M$208,IF($H$5="All","*",$H$5),Depletion!$L$9:$L$208,IF($K$5="All","*",$K$5),Depletion!$G$9:$G$208,IF($N$5="All","*",$N$5)))</f>
        <v/>
      </c>
      <c r="D18" s="305">
        <f>IF($A18="","",SUMIFS(Depletion!$I$9:$I$208,Depletion!$B$9:$B$208,$A18,Depletion!$K$9:$K$208,"&gt;="&amp;$B$5,Depletion!$K$9:$K$208,"&lt;="&amp;$E$5,Depletion!$M$9:$M$208,IF($H$5="All","*",$H$5),Depletion!$L$9:$L$208,IF($K$5="All","*",$K$5),Depletion!$G$9:$G$208,IF($N$5="All","*",$N$5)))</f>
        <v/>
      </c>
      <c r="E18" s="305">
        <f>IF($A18="","",$C18-$D18)</f>
        <v/>
      </c>
      <c r="F18" s="307">
        <f>IFERROR($E18/$C18,0)</f>
        <v/>
      </c>
      <c r="G18" s="249" t="n"/>
      <c r="H18" s="304">
        <f>Setup!A44</f>
        <v/>
      </c>
      <c r="I18" s="308">
        <f>IF($H18="","",IFERROR(VLOOKUP($H18,Setup!$A$36:$D$50,2,FALSE),""))</f>
        <v/>
      </c>
      <c r="J18" s="305">
        <f>IF($H18="","",SUMIFS(Invoices!$L$9:$L$108,Invoices!$C$9:$C$108,$H18,Invoices!$B$9:$B$108,"&gt;="&amp;$B$5,Invoices!$B$9:$B$108,"&lt;="&amp;$E$5,Invoices!$D$9:$D$108,IF($H$5="All","*",$H$5)))</f>
        <v/>
      </c>
      <c r="K18" s="306">
        <f>IF($H18="","",SUMIFS(Invoices!$M$9:$M$108,Invoices!$C$9:$C$108,$H18,Invoices!$B$9:$B$108,"&gt;="&amp;$B$5,Invoices!$B$9:$B$108,"&lt;="&amp;$E$5,Invoices!$D$9:$D$108,IF($H$5="All","*",$H$5)))</f>
        <v/>
      </c>
      <c r="L18" s="308">
        <f>IF($H18="","",COUNTIFS(Invoices!$C$9:$C$108,$H18,Invoices!$B$9:$B$108,"&gt;="&amp;$B$5,Invoices!$B$9:$B$108,"&lt;="&amp;$E$5,Invoices!$D$9:$D$108,IF($H$5="All","*",$H$5)))</f>
        <v/>
      </c>
      <c r="M18" s="305">
        <f>IF($H18="","",SUMIF(Invoices!$C$9:$C$108,$H18,Invoices!$Q$9:$Q$108))</f>
        <v/>
      </c>
      <c r="N18" s="358">
        <f>IF($H18="","",IFERROR(MAXIFS(Invoices!$B$9:$B$108,Invoices!$C$9:$C$108,$H18),""))</f>
        <v/>
      </c>
    </row>
    <row r="19">
      <c r="A19" s="304">
        <f>Setup!A18</f>
        <v/>
      </c>
      <c r="B19" s="306">
        <f>IF($A19="","",SUMIFS(Depletion!$C$9:$C$208,Depletion!$B$9:$B$208,$A19,Depletion!$K$9:$K$208,"&gt;="&amp;$B$5,Depletion!$K$9:$K$208,"&lt;="&amp;$E$5,Depletion!$M$9:$M$208,IF($H$5="All","*",$H$5),Depletion!$L$9:$L$208,IF($K$5="All","*",$K$5),Depletion!$G$9:$G$208,IF($N$5="All","*",$N$5)))</f>
        <v/>
      </c>
      <c r="C19" s="305">
        <f>IF($A19="","",SUMIFS(Depletion!$E$9:$E$208,Depletion!$B$9:$B$208,$A19,Depletion!$K$9:$K$208,"&gt;="&amp;$B$5,Depletion!$K$9:$K$208,"&lt;="&amp;$E$5,Depletion!$M$9:$M$208,IF($H$5="All","*",$H$5),Depletion!$L$9:$L$208,IF($K$5="All","*",$K$5),Depletion!$G$9:$G$208,IF($N$5="All","*",$N$5)))</f>
        <v/>
      </c>
      <c r="D19" s="305">
        <f>IF($A19="","",SUMIFS(Depletion!$I$9:$I$208,Depletion!$B$9:$B$208,$A19,Depletion!$K$9:$K$208,"&gt;="&amp;$B$5,Depletion!$K$9:$K$208,"&lt;="&amp;$E$5,Depletion!$M$9:$M$208,IF($H$5="All","*",$H$5),Depletion!$L$9:$L$208,IF($K$5="All","*",$K$5),Depletion!$G$9:$G$208,IF($N$5="All","*",$N$5)))</f>
        <v/>
      </c>
      <c r="E19" s="305">
        <f>IF($A19="","",$C19-$D19)</f>
        <v/>
      </c>
      <c r="F19" s="307">
        <f>IFERROR($E19/$C19,0)</f>
        <v/>
      </c>
      <c r="G19" s="249" t="n"/>
      <c r="H19" s="304">
        <f>Setup!A45</f>
        <v/>
      </c>
      <c r="I19" s="308">
        <f>IF($H19="","",IFERROR(VLOOKUP($H19,Setup!$A$36:$D$50,2,FALSE),""))</f>
        <v/>
      </c>
      <c r="J19" s="305">
        <f>IF($H19="","",SUMIFS(Invoices!$L$9:$L$108,Invoices!$C$9:$C$108,$H19,Invoices!$B$9:$B$108,"&gt;="&amp;$B$5,Invoices!$B$9:$B$108,"&lt;="&amp;$E$5,Invoices!$D$9:$D$108,IF($H$5="All","*",$H$5)))</f>
        <v/>
      </c>
      <c r="K19" s="306">
        <f>IF($H19="","",SUMIFS(Invoices!$M$9:$M$108,Invoices!$C$9:$C$108,$H19,Invoices!$B$9:$B$108,"&gt;="&amp;$B$5,Invoices!$B$9:$B$108,"&lt;="&amp;$E$5,Invoices!$D$9:$D$108,IF($H$5="All","*",$H$5)))</f>
        <v/>
      </c>
      <c r="L19" s="308">
        <f>IF($H19="","",COUNTIFS(Invoices!$C$9:$C$108,$H19,Invoices!$B$9:$B$108,"&gt;="&amp;$B$5,Invoices!$B$9:$B$108,"&lt;="&amp;$E$5,Invoices!$D$9:$D$108,IF($H$5="All","*",$H$5)))</f>
        <v/>
      </c>
      <c r="M19" s="305">
        <f>IF($H19="","",SUMIF(Invoices!$C$9:$C$108,$H19,Invoices!$Q$9:$Q$108))</f>
        <v/>
      </c>
      <c r="N19" s="358">
        <f>IF($H19="","",IFERROR(MAXIFS(Invoices!$B$9:$B$108,Invoices!$C$9:$C$108,$H19),""))</f>
        <v/>
      </c>
    </row>
    <row r="20">
      <c r="A20" s="304">
        <f>Setup!A19</f>
        <v/>
      </c>
      <c r="B20" s="306">
        <f>IF($A20="","",SUMIFS(Depletion!$C$9:$C$208,Depletion!$B$9:$B$208,$A20,Depletion!$K$9:$K$208,"&gt;="&amp;$B$5,Depletion!$K$9:$K$208,"&lt;="&amp;$E$5,Depletion!$M$9:$M$208,IF($H$5="All","*",$H$5),Depletion!$L$9:$L$208,IF($K$5="All","*",$K$5),Depletion!$G$9:$G$208,IF($N$5="All","*",$N$5)))</f>
        <v/>
      </c>
      <c r="C20" s="305">
        <f>IF($A20="","",SUMIFS(Depletion!$E$9:$E$208,Depletion!$B$9:$B$208,$A20,Depletion!$K$9:$K$208,"&gt;="&amp;$B$5,Depletion!$K$9:$K$208,"&lt;="&amp;$E$5,Depletion!$M$9:$M$208,IF($H$5="All","*",$H$5),Depletion!$L$9:$L$208,IF($K$5="All","*",$K$5),Depletion!$G$9:$G$208,IF($N$5="All","*",$N$5)))</f>
        <v/>
      </c>
      <c r="D20" s="305">
        <f>IF($A20="","",SUMIFS(Depletion!$I$9:$I$208,Depletion!$B$9:$B$208,$A20,Depletion!$K$9:$K$208,"&gt;="&amp;$B$5,Depletion!$K$9:$K$208,"&lt;="&amp;$E$5,Depletion!$M$9:$M$208,IF($H$5="All","*",$H$5),Depletion!$L$9:$L$208,IF($K$5="All","*",$K$5),Depletion!$G$9:$G$208,IF($N$5="All","*",$N$5)))</f>
        <v/>
      </c>
      <c r="E20" s="305">
        <f>IF($A20="","",$C20-$D20)</f>
        <v/>
      </c>
      <c r="F20" s="307">
        <f>IFERROR($E20/$C20,0)</f>
        <v/>
      </c>
      <c r="G20" s="249" t="n"/>
      <c r="H20" s="304">
        <f>Setup!A46</f>
        <v/>
      </c>
      <c r="I20" s="308">
        <f>IF($H20="","",IFERROR(VLOOKUP($H20,Setup!$A$36:$D$50,2,FALSE),""))</f>
        <v/>
      </c>
      <c r="J20" s="305">
        <f>IF($H20="","",SUMIFS(Invoices!$L$9:$L$108,Invoices!$C$9:$C$108,$H20,Invoices!$B$9:$B$108,"&gt;="&amp;$B$5,Invoices!$B$9:$B$108,"&lt;="&amp;$E$5,Invoices!$D$9:$D$108,IF($H$5="All","*",$H$5)))</f>
        <v/>
      </c>
      <c r="K20" s="306">
        <f>IF($H20="","",SUMIFS(Invoices!$M$9:$M$108,Invoices!$C$9:$C$108,$H20,Invoices!$B$9:$B$108,"&gt;="&amp;$B$5,Invoices!$B$9:$B$108,"&lt;="&amp;$E$5,Invoices!$D$9:$D$108,IF($H$5="All","*",$H$5)))</f>
        <v/>
      </c>
      <c r="L20" s="308">
        <f>IF($H20="","",COUNTIFS(Invoices!$C$9:$C$108,$H20,Invoices!$B$9:$B$108,"&gt;="&amp;$B$5,Invoices!$B$9:$B$108,"&lt;="&amp;$E$5,Invoices!$D$9:$D$108,IF($H$5="All","*",$H$5)))</f>
        <v/>
      </c>
      <c r="M20" s="305">
        <f>IF($H20="","",SUMIF(Invoices!$C$9:$C$108,$H20,Invoices!$Q$9:$Q$108))</f>
        <v/>
      </c>
      <c r="N20" s="358">
        <f>IF($H20="","",IFERROR(MAXIFS(Invoices!$B$9:$B$108,Invoices!$C$9:$C$108,$H20),""))</f>
        <v/>
      </c>
    </row>
    <row r="21">
      <c r="A21" s="304">
        <f>Setup!A20</f>
        <v/>
      </c>
      <c r="B21" s="306">
        <f>IF($A21="","",SUMIFS(Depletion!$C$9:$C$208,Depletion!$B$9:$B$208,$A21,Depletion!$K$9:$K$208,"&gt;="&amp;$B$5,Depletion!$K$9:$K$208,"&lt;="&amp;$E$5,Depletion!$M$9:$M$208,IF($H$5="All","*",$H$5),Depletion!$L$9:$L$208,IF($K$5="All","*",$K$5),Depletion!$G$9:$G$208,IF($N$5="All","*",$N$5)))</f>
        <v/>
      </c>
      <c r="C21" s="305">
        <f>IF($A21="","",SUMIFS(Depletion!$E$9:$E$208,Depletion!$B$9:$B$208,$A21,Depletion!$K$9:$K$208,"&gt;="&amp;$B$5,Depletion!$K$9:$K$208,"&lt;="&amp;$E$5,Depletion!$M$9:$M$208,IF($H$5="All","*",$H$5),Depletion!$L$9:$L$208,IF($K$5="All","*",$K$5),Depletion!$G$9:$G$208,IF($N$5="All","*",$N$5)))</f>
        <v/>
      </c>
      <c r="D21" s="305">
        <f>IF($A21="","",SUMIFS(Depletion!$I$9:$I$208,Depletion!$B$9:$B$208,$A21,Depletion!$K$9:$K$208,"&gt;="&amp;$B$5,Depletion!$K$9:$K$208,"&lt;="&amp;$E$5,Depletion!$M$9:$M$208,IF($H$5="All","*",$H$5),Depletion!$L$9:$L$208,IF($K$5="All","*",$K$5),Depletion!$G$9:$G$208,IF($N$5="All","*",$N$5)))</f>
        <v/>
      </c>
      <c r="E21" s="305">
        <f>IF($A21="","",$C21-$D21)</f>
        <v/>
      </c>
      <c r="F21" s="307">
        <f>IFERROR($E21/$C21,0)</f>
        <v/>
      </c>
      <c r="G21" s="249" t="n"/>
      <c r="H21" s="304">
        <f>Setup!A47</f>
        <v/>
      </c>
      <c r="I21" s="308">
        <f>IF($H21="","",IFERROR(VLOOKUP($H21,Setup!$A$36:$D$50,2,FALSE),""))</f>
        <v/>
      </c>
      <c r="J21" s="305">
        <f>IF($H21="","",SUMIFS(Invoices!$L$9:$L$108,Invoices!$C$9:$C$108,$H21,Invoices!$B$9:$B$108,"&gt;="&amp;$B$5,Invoices!$B$9:$B$108,"&lt;="&amp;$E$5,Invoices!$D$9:$D$108,IF($H$5="All","*",$H$5)))</f>
        <v/>
      </c>
      <c r="K21" s="306">
        <f>IF($H21="","",SUMIFS(Invoices!$M$9:$M$108,Invoices!$C$9:$C$108,$H21,Invoices!$B$9:$B$108,"&gt;="&amp;$B$5,Invoices!$B$9:$B$108,"&lt;="&amp;$E$5,Invoices!$D$9:$D$108,IF($H$5="All","*",$H$5)))</f>
        <v/>
      </c>
      <c r="L21" s="308">
        <f>IF($H21="","",COUNTIFS(Invoices!$C$9:$C$108,$H21,Invoices!$B$9:$B$108,"&gt;="&amp;$B$5,Invoices!$B$9:$B$108,"&lt;="&amp;$E$5,Invoices!$D$9:$D$108,IF($H$5="All","*",$H$5)))</f>
        <v/>
      </c>
      <c r="M21" s="305">
        <f>IF($H21="","",SUMIF(Invoices!$C$9:$C$108,$H21,Invoices!$Q$9:$Q$108))</f>
        <v/>
      </c>
      <c r="N21" s="358">
        <f>IF($H21="","",IFERROR(MAXIFS(Invoices!$B$9:$B$108,Invoices!$C$9:$C$108,$H21),""))</f>
        <v/>
      </c>
    </row>
    <row r="22">
      <c r="A22" s="304">
        <f>Setup!A21</f>
        <v/>
      </c>
      <c r="B22" s="306">
        <f>IF($A22="","",SUMIFS(Depletion!$C$9:$C$208,Depletion!$B$9:$B$208,$A22,Depletion!$K$9:$K$208,"&gt;="&amp;$B$5,Depletion!$K$9:$K$208,"&lt;="&amp;$E$5,Depletion!$M$9:$M$208,IF($H$5="All","*",$H$5),Depletion!$L$9:$L$208,IF($K$5="All","*",$K$5),Depletion!$G$9:$G$208,IF($N$5="All","*",$N$5)))</f>
        <v/>
      </c>
      <c r="C22" s="305">
        <f>IF($A22="","",SUMIFS(Depletion!$E$9:$E$208,Depletion!$B$9:$B$208,$A22,Depletion!$K$9:$K$208,"&gt;="&amp;$B$5,Depletion!$K$9:$K$208,"&lt;="&amp;$E$5,Depletion!$M$9:$M$208,IF($H$5="All","*",$H$5),Depletion!$L$9:$L$208,IF($K$5="All","*",$K$5),Depletion!$G$9:$G$208,IF($N$5="All","*",$N$5)))</f>
        <v/>
      </c>
      <c r="D22" s="305">
        <f>IF($A22="","",SUMIFS(Depletion!$I$9:$I$208,Depletion!$B$9:$B$208,$A22,Depletion!$K$9:$K$208,"&gt;="&amp;$B$5,Depletion!$K$9:$K$208,"&lt;="&amp;$E$5,Depletion!$M$9:$M$208,IF($H$5="All","*",$H$5),Depletion!$L$9:$L$208,IF($K$5="All","*",$K$5),Depletion!$G$9:$G$208,IF($N$5="All","*",$N$5)))</f>
        <v/>
      </c>
      <c r="E22" s="305">
        <f>IF($A22="","",$C22-$D22)</f>
        <v/>
      </c>
      <c r="F22" s="307">
        <f>IFERROR($E22/$C22,0)</f>
        <v/>
      </c>
      <c r="G22" s="249" t="n"/>
      <c r="H22" s="304">
        <f>Setup!A48</f>
        <v/>
      </c>
      <c r="I22" s="308">
        <f>IF($H22="","",IFERROR(VLOOKUP($H22,Setup!$A$36:$D$50,2,FALSE),""))</f>
        <v/>
      </c>
      <c r="J22" s="305">
        <f>IF($H22="","",SUMIFS(Invoices!$L$9:$L$108,Invoices!$C$9:$C$108,$H22,Invoices!$B$9:$B$108,"&gt;="&amp;$B$5,Invoices!$B$9:$B$108,"&lt;="&amp;$E$5,Invoices!$D$9:$D$108,IF($H$5="All","*",$H$5)))</f>
        <v/>
      </c>
      <c r="K22" s="306">
        <f>IF($H22="","",SUMIFS(Invoices!$M$9:$M$108,Invoices!$C$9:$C$108,$H22,Invoices!$B$9:$B$108,"&gt;="&amp;$B$5,Invoices!$B$9:$B$108,"&lt;="&amp;$E$5,Invoices!$D$9:$D$108,IF($H$5="All","*",$H$5)))</f>
        <v/>
      </c>
      <c r="L22" s="308">
        <f>IF($H22="","",COUNTIFS(Invoices!$C$9:$C$108,$H22,Invoices!$B$9:$B$108,"&gt;="&amp;$B$5,Invoices!$B$9:$B$108,"&lt;="&amp;$E$5,Invoices!$D$9:$D$108,IF($H$5="All","*",$H$5)))</f>
        <v/>
      </c>
      <c r="M22" s="305">
        <f>IF($H22="","",SUMIF(Invoices!$C$9:$C$108,$H22,Invoices!$Q$9:$Q$108))</f>
        <v/>
      </c>
      <c r="N22" s="358">
        <f>IF($H22="","",IFERROR(MAXIFS(Invoices!$B$9:$B$108,Invoices!$C$9:$C$108,$H22),""))</f>
        <v/>
      </c>
    </row>
    <row r="23">
      <c r="A23" s="304">
        <f>Setup!A22</f>
        <v/>
      </c>
      <c r="B23" s="306">
        <f>IF($A23="","",SUMIFS(Depletion!$C$9:$C$208,Depletion!$B$9:$B$208,$A23,Depletion!$K$9:$K$208,"&gt;="&amp;$B$5,Depletion!$K$9:$K$208,"&lt;="&amp;$E$5,Depletion!$M$9:$M$208,IF($H$5="All","*",$H$5),Depletion!$L$9:$L$208,IF($K$5="All","*",$K$5),Depletion!$G$9:$G$208,IF($N$5="All","*",$N$5)))</f>
        <v/>
      </c>
      <c r="C23" s="305">
        <f>IF($A23="","",SUMIFS(Depletion!$E$9:$E$208,Depletion!$B$9:$B$208,$A23,Depletion!$K$9:$K$208,"&gt;="&amp;$B$5,Depletion!$K$9:$K$208,"&lt;="&amp;$E$5,Depletion!$M$9:$M$208,IF($H$5="All","*",$H$5),Depletion!$L$9:$L$208,IF($K$5="All","*",$K$5),Depletion!$G$9:$G$208,IF($N$5="All","*",$N$5)))</f>
        <v/>
      </c>
      <c r="D23" s="305">
        <f>IF($A23="","",SUMIFS(Depletion!$I$9:$I$208,Depletion!$B$9:$B$208,$A23,Depletion!$K$9:$K$208,"&gt;="&amp;$B$5,Depletion!$K$9:$K$208,"&lt;="&amp;$E$5,Depletion!$M$9:$M$208,IF($H$5="All","*",$H$5),Depletion!$L$9:$L$208,IF($K$5="All","*",$K$5),Depletion!$G$9:$G$208,IF($N$5="All","*",$N$5)))</f>
        <v/>
      </c>
      <c r="E23" s="305">
        <f>IF($A23="","",$C23-$D23)</f>
        <v/>
      </c>
      <c r="F23" s="307">
        <f>IFERROR($E23/$C23,0)</f>
        <v/>
      </c>
      <c r="G23" s="249" t="n"/>
      <c r="H23" s="304">
        <f>Setup!A49</f>
        <v/>
      </c>
      <c r="I23" s="308">
        <f>IF($H23="","",IFERROR(VLOOKUP($H23,Setup!$A$36:$D$50,2,FALSE),""))</f>
        <v/>
      </c>
      <c r="J23" s="305">
        <f>IF($H23="","",SUMIFS(Invoices!$L$9:$L$108,Invoices!$C$9:$C$108,$H23,Invoices!$B$9:$B$108,"&gt;="&amp;$B$5,Invoices!$B$9:$B$108,"&lt;="&amp;$E$5,Invoices!$D$9:$D$108,IF($H$5="All","*",$H$5)))</f>
        <v/>
      </c>
      <c r="K23" s="306">
        <f>IF($H23="","",SUMIFS(Invoices!$M$9:$M$108,Invoices!$C$9:$C$108,$H23,Invoices!$B$9:$B$108,"&gt;="&amp;$B$5,Invoices!$B$9:$B$108,"&lt;="&amp;$E$5,Invoices!$D$9:$D$108,IF($H$5="All","*",$H$5)))</f>
        <v/>
      </c>
      <c r="L23" s="308">
        <f>IF($H23="","",COUNTIFS(Invoices!$C$9:$C$108,$H23,Invoices!$B$9:$B$108,"&gt;="&amp;$B$5,Invoices!$B$9:$B$108,"&lt;="&amp;$E$5,Invoices!$D$9:$D$108,IF($H$5="All","*",$H$5)))</f>
        <v/>
      </c>
      <c r="M23" s="305">
        <f>IF($H23="","",SUMIF(Invoices!$C$9:$C$108,$H23,Invoices!$Q$9:$Q$108))</f>
        <v/>
      </c>
      <c r="N23" s="358">
        <f>IF($H23="","",IFERROR(MAXIFS(Invoices!$B$9:$B$108,Invoices!$C$9:$C$108,$H23),""))</f>
        <v/>
      </c>
    </row>
    <row r="24">
      <c r="A24" s="304">
        <f>Setup!A23</f>
        <v/>
      </c>
      <c r="B24" s="306">
        <f>IF($A24="","",SUMIFS(Depletion!$C$9:$C$208,Depletion!$B$9:$B$208,$A24,Depletion!$K$9:$K$208,"&gt;="&amp;$B$5,Depletion!$K$9:$K$208,"&lt;="&amp;$E$5,Depletion!$M$9:$M$208,IF($H$5="All","*",$H$5),Depletion!$L$9:$L$208,IF($K$5="All","*",$K$5),Depletion!$G$9:$G$208,IF($N$5="All","*",$N$5)))</f>
        <v/>
      </c>
      <c r="C24" s="305">
        <f>IF($A24="","",SUMIFS(Depletion!$E$9:$E$208,Depletion!$B$9:$B$208,$A24,Depletion!$K$9:$K$208,"&gt;="&amp;$B$5,Depletion!$K$9:$K$208,"&lt;="&amp;$E$5,Depletion!$M$9:$M$208,IF($H$5="All","*",$H$5),Depletion!$L$9:$L$208,IF($K$5="All","*",$K$5),Depletion!$G$9:$G$208,IF($N$5="All","*",$N$5)))</f>
        <v/>
      </c>
      <c r="D24" s="305">
        <f>IF($A24="","",SUMIFS(Depletion!$I$9:$I$208,Depletion!$B$9:$B$208,$A24,Depletion!$K$9:$K$208,"&gt;="&amp;$B$5,Depletion!$K$9:$K$208,"&lt;="&amp;$E$5,Depletion!$M$9:$M$208,IF($H$5="All","*",$H$5),Depletion!$L$9:$L$208,IF($K$5="All","*",$K$5),Depletion!$G$9:$G$208,IF($N$5="All","*",$N$5)))</f>
        <v/>
      </c>
      <c r="E24" s="305">
        <f>IF($A24="","",$C24-$D24)</f>
        <v/>
      </c>
      <c r="F24" s="307">
        <f>IFERROR($E24/$C24,0)</f>
        <v/>
      </c>
      <c r="G24" s="249" t="n"/>
      <c r="H24" s="304">
        <f>Setup!A50</f>
        <v/>
      </c>
      <c r="I24" s="308">
        <f>IF($H24="","",IFERROR(VLOOKUP($H24,Setup!$A$36:$D$50,2,FALSE),""))</f>
        <v/>
      </c>
      <c r="J24" s="305">
        <f>IF($H24="","",SUMIFS(Invoices!$L$9:$L$108,Invoices!$C$9:$C$108,$H24,Invoices!$B$9:$B$108,"&gt;="&amp;$B$5,Invoices!$B$9:$B$108,"&lt;="&amp;$E$5,Invoices!$D$9:$D$108,IF($H$5="All","*",$H$5)))</f>
        <v/>
      </c>
      <c r="K24" s="306">
        <f>IF($H24="","",SUMIFS(Invoices!$M$9:$M$108,Invoices!$C$9:$C$108,$H24,Invoices!$B$9:$B$108,"&gt;="&amp;$B$5,Invoices!$B$9:$B$108,"&lt;="&amp;$E$5,Invoices!$D$9:$D$108,IF($H$5="All","*",$H$5)))</f>
        <v/>
      </c>
      <c r="L24" s="308">
        <f>IF($H24="","",COUNTIFS(Invoices!$C$9:$C$108,$H24,Invoices!$B$9:$B$108,"&gt;="&amp;$B$5,Invoices!$B$9:$B$108,"&lt;="&amp;$E$5,Invoices!$D$9:$D$108,IF($H$5="All","*",$H$5)))</f>
        <v/>
      </c>
      <c r="M24" s="305">
        <f>IF($H24="","",SUMIF(Invoices!$C$9:$C$108,$H24,Invoices!$Q$9:$Q$108))</f>
        <v/>
      </c>
      <c r="N24" s="358">
        <f>IF($H24="","",IFERROR(MAXIFS(Invoices!$B$9:$B$108,Invoices!$C$9:$C$108,$H24),""))</f>
        <v/>
      </c>
    </row>
    <row r="25">
      <c r="A25" s="304">
        <f>Setup!A24</f>
        <v/>
      </c>
      <c r="B25" s="306">
        <f>IF($A25="","",SUMIFS(Depletion!$C$9:$C$208,Depletion!$B$9:$B$208,$A25,Depletion!$K$9:$K$208,"&gt;="&amp;$B$5,Depletion!$K$9:$K$208,"&lt;="&amp;$E$5,Depletion!$M$9:$M$208,IF($H$5="All","*",$H$5),Depletion!$L$9:$L$208,IF($K$5="All","*",$K$5),Depletion!$G$9:$G$208,IF($N$5="All","*",$N$5)))</f>
        <v/>
      </c>
      <c r="C25" s="305">
        <f>IF($A25="","",SUMIFS(Depletion!$E$9:$E$208,Depletion!$B$9:$B$208,$A25,Depletion!$K$9:$K$208,"&gt;="&amp;$B$5,Depletion!$K$9:$K$208,"&lt;="&amp;$E$5,Depletion!$M$9:$M$208,IF($H$5="All","*",$H$5),Depletion!$L$9:$L$208,IF($K$5="All","*",$K$5),Depletion!$G$9:$G$208,IF($N$5="All","*",$N$5)))</f>
        <v/>
      </c>
      <c r="D25" s="305">
        <f>IF($A25="","",SUMIFS(Depletion!$I$9:$I$208,Depletion!$B$9:$B$208,$A25,Depletion!$K$9:$K$208,"&gt;="&amp;$B$5,Depletion!$K$9:$K$208,"&lt;="&amp;$E$5,Depletion!$M$9:$M$208,IF($H$5="All","*",$H$5),Depletion!$L$9:$L$208,IF($K$5="All","*",$K$5),Depletion!$G$9:$G$208,IF($N$5="All","*",$N$5)))</f>
        <v/>
      </c>
      <c r="E25" s="305">
        <f>IF($A25="","",$C25-$D25)</f>
        <v/>
      </c>
      <c r="F25" s="307">
        <f>IFERROR($E25/$C25,0)</f>
        <v/>
      </c>
      <c r="G25" s="249" t="n"/>
      <c r="H25" s="166" t="n"/>
      <c r="I25" s="174" t="n"/>
      <c r="J25" s="359" t="n"/>
      <c r="K25" s="174" t="n"/>
      <c r="L25" s="174" t="n"/>
      <c r="M25" s="359" t="n"/>
      <c r="N25" s="360" t="n"/>
    </row>
    <row r="26">
      <c r="A26" s="304">
        <f>Setup!A25</f>
        <v/>
      </c>
      <c r="B26" s="306">
        <f>IF($A26="","",SUMIFS(Depletion!$C$9:$C$208,Depletion!$B$9:$B$208,$A26,Depletion!$K$9:$K$208,"&gt;="&amp;$B$5,Depletion!$K$9:$K$208,"&lt;="&amp;$E$5,Depletion!$M$9:$M$208,IF($H$5="All","*",$H$5),Depletion!$L$9:$L$208,IF($K$5="All","*",$K$5),Depletion!$G$9:$G$208,IF($N$5="All","*",$N$5)))</f>
        <v/>
      </c>
      <c r="C26" s="305">
        <f>IF($A26="","",SUMIFS(Depletion!$E$9:$E$208,Depletion!$B$9:$B$208,$A26,Depletion!$K$9:$K$208,"&gt;="&amp;$B$5,Depletion!$K$9:$K$208,"&lt;="&amp;$E$5,Depletion!$M$9:$M$208,IF($H$5="All","*",$H$5),Depletion!$L$9:$L$208,IF($K$5="All","*",$K$5),Depletion!$G$9:$G$208,IF($N$5="All","*",$N$5)))</f>
        <v/>
      </c>
      <c r="D26" s="305">
        <f>IF($A26="","",SUMIFS(Depletion!$I$9:$I$208,Depletion!$B$9:$B$208,$A26,Depletion!$K$9:$K$208,"&gt;="&amp;$B$5,Depletion!$K$9:$K$208,"&lt;="&amp;$E$5,Depletion!$M$9:$M$208,IF($H$5="All","*",$H$5),Depletion!$L$9:$L$208,IF($K$5="All","*",$K$5),Depletion!$G$9:$G$208,IF($N$5="All","*",$N$5)))</f>
        <v/>
      </c>
      <c r="E26" s="305">
        <f>IF($A26="","",$C26-$D26)</f>
        <v/>
      </c>
      <c r="F26" s="307">
        <f>IFERROR($E26/$C26,0)</f>
        <v/>
      </c>
      <c r="G26" s="249" t="n"/>
      <c r="H26" s="166" t="n"/>
      <c r="I26" s="174" t="n"/>
      <c r="J26" s="359" t="n"/>
      <c r="K26" s="174" t="n"/>
      <c r="L26" s="174" t="n"/>
      <c r="M26" s="359" t="n"/>
      <c r="N26" s="360" t="n"/>
    </row>
    <row r="27">
      <c r="A27" s="304">
        <f>Setup!A26</f>
        <v/>
      </c>
      <c r="B27" s="306">
        <f>IF($A27="","",SUMIFS(Depletion!$C$9:$C$208,Depletion!$B$9:$B$208,$A27,Depletion!$K$9:$K$208,"&gt;="&amp;$B$5,Depletion!$K$9:$K$208,"&lt;="&amp;$E$5,Depletion!$M$9:$M$208,IF($H$5="All","*",$H$5),Depletion!$L$9:$L$208,IF($K$5="All","*",$K$5),Depletion!$G$9:$G$208,IF($N$5="All","*",$N$5)))</f>
        <v/>
      </c>
      <c r="C27" s="305">
        <f>IF($A27="","",SUMIFS(Depletion!$E$9:$E$208,Depletion!$B$9:$B$208,$A27,Depletion!$K$9:$K$208,"&gt;="&amp;$B$5,Depletion!$K$9:$K$208,"&lt;="&amp;$E$5,Depletion!$M$9:$M$208,IF($H$5="All","*",$H$5),Depletion!$L$9:$L$208,IF($K$5="All","*",$K$5),Depletion!$G$9:$G$208,IF($N$5="All","*",$N$5)))</f>
        <v/>
      </c>
      <c r="D27" s="305">
        <f>IF($A27="","",SUMIFS(Depletion!$I$9:$I$208,Depletion!$B$9:$B$208,$A27,Depletion!$K$9:$K$208,"&gt;="&amp;$B$5,Depletion!$K$9:$K$208,"&lt;="&amp;$E$5,Depletion!$M$9:$M$208,IF($H$5="All","*",$H$5),Depletion!$L$9:$L$208,IF($K$5="All","*",$K$5),Depletion!$G$9:$G$208,IF($N$5="All","*",$N$5)))</f>
        <v/>
      </c>
      <c r="E27" s="305">
        <f>IF($A27="","",$C27-$D27)</f>
        <v/>
      </c>
      <c r="F27" s="307">
        <f>IFERROR($E27/$C27,0)</f>
        <v/>
      </c>
      <c r="G27" s="249" t="n"/>
      <c r="H27" s="166" t="n"/>
      <c r="I27" s="174" t="n"/>
      <c r="J27" s="359" t="n"/>
      <c r="K27" s="174" t="n"/>
      <c r="L27" s="174" t="n"/>
      <c r="M27" s="359" t="n"/>
      <c r="N27" s="360" t="n"/>
    </row>
    <row r="28">
      <c r="A28" s="304">
        <f>Setup!A27</f>
        <v/>
      </c>
      <c r="B28" s="306">
        <f>IF($A28="","",SUMIFS(Depletion!$C$9:$C$208,Depletion!$B$9:$B$208,$A28,Depletion!$K$9:$K$208,"&gt;="&amp;$B$5,Depletion!$K$9:$K$208,"&lt;="&amp;$E$5,Depletion!$M$9:$M$208,IF($H$5="All","*",$H$5),Depletion!$L$9:$L$208,IF($K$5="All","*",$K$5),Depletion!$G$9:$G$208,IF($N$5="All","*",$N$5)))</f>
        <v/>
      </c>
      <c r="C28" s="305">
        <f>IF($A28="","",SUMIFS(Depletion!$E$9:$E$208,Depletion!$B$9:$B$208,$A28,Depletion!$K$9:$K$208,"&gt;="&amp;$B$5,Depletion!$K$9:$K$208,"&lt;="&amp;$E$5,Depletion!$M$9:$M$208,IF($H$5="All","*",$H$5),Depletion!$L$9:$L$208,IF($K$5="All","*",$K$5),Depletion!$G$9:$G$208,IF($N$5="All","*",$N$5)))</f>
        <v/>
      </c>
      <c r="D28" s="305">
        <f>IF($A28="","",SUMIFS(Depletion!$I$9:$I$208,Depletion!$B$9:$B$208,$A28,Depletion!$K$9:$K$208,"&gt;="&amp;$B$5,Depletion!$K$9:$K$208,"&lt;="&amp;$E$5,Depletion!$M$9:$M$208,IF($H$5="All","*",$H$5),Depletion!$L$9:$L$208,IF($K$5="All","*",$K$5),Depletion!$G$9:$G$208,IF($N$5="All","*",$N$5)))</f>
        <v/>
      </c>
      <c r="E28" s="305">
        <f>IF($A28="","",$C28-$D28)</f>
        <v/>
      </c>
      <c r="F28" s="307">
        <f>IFERROR($E28/$C28,0)</f>
        <v/>
      </c>
      <c r="G28" s="249" t="n"/>
      <c r="H28" s="166" t="n"/>
      <c r="I28" s="174" t="n"/>
      <c r="J28" s="359" t="n"/>
      <c r="K28" s="174" t="n"/>
      <c r="L28" s="174" t="n"/>
      <c r="M28" s="359" t="n"/>
      <c r="N28" s="360" t="n"/>
    </row>
    <row r="29">
      <c r="A29" s="304">
        <f>Setup!A28</f>
        <v/>
      </c>
      <c r="B29" s="306">
        <f>IF($A29="","",SUMIFS(Depletion!$C$9:$C$208,Depletion!$B$9:$B$208,$A29,Depletion!$K$9:$K$208,"&gt;="&amp;$B$5,Depletion!$K$9:$K$208,"&lt;="&amp;$E$5,Depletion!$M$9:$M$208,IF($H$5="All","*",$H$5),Depletion!$L$9:$L$208,IF($K$5="All","*",$K$5),Depletion!$G$9:$G$208,IF($N$5="All","*",$N$5)))</f>
        <v/>
      </c>
      <c r="C29" s="305">
        <f>IF($A29="","",SUMIFS(Depletion!$E$9:$E$208,Depletion!$B$9:$B$208,$A29,Depletion!$K$9:$K$208,"&gt;="&amp;$B$5,Depletion!$K$9:$K$208,"&lt;="&amp;$E$5,Depletion!$M$9:$M$208,IF($H$5="All","*",$H$5),Depletion!$L$9:$L$208,IF($K$5="All","*",$K$5),Depletion!$G$9:$G$208,IF($N$5="All","*",$N$5)))</f>
        <v/>
      </c>
      <c r="D29" s="305">
        <f>IF($A29="","",SUMIFS(Depletion!$I$9:$I$208,Depletion!$B$9:$B$208,$A29,Depletion!$K$9:$K$208,"&gt;="&amp;$B$5,Depletion!$K$9:$K$208,"&lt;="&amp;$E$5,Depletion!$M$9:$M$208,IF($H$5="All","*",$H$5),Depletion!$L$9:$L$208,IF($K$5="All","*",$K$5),Depletion!$G$9:$G$208,IF($N$5="All","*",$N$5)))</f>
        <v/>
      </c>
      <c r="E29" s="305">
        <f>IF($A29="","",$C29-$D29)</f>
        <v/>
      </c>
      <c r="F29" s="307">
        <f>IFERROR($E29/$C29,0)</f>
        <v/>
      </c>
      <c r="G29" s="249" t="n"/>
      <c r="H29" s="166" t="n"/>
      <c r="I29" s="174" t="n"/>
      <c r="J29" s="359" t="n"/>
      <c r="K29" s="174" t="n"/>
      <c r="L29" s="174" t="n"/>
      <c r="M29" s="359" t="n"/>
      <c r="N29" s="360" t="n"/>
    </row>
    <row r="30">
      <c r="A30" s="310">
        <f>Setup!A29</f>
        <v/>
      </c>
      <c r="B30" s="317">
        <f>IF($A30="","",SUMIFS(Depletion!$C$9:$C$208,Depletion!$B$9:$B$208,$A30,Depletion!$K$9:$K$208,"&gt;="&amp;$B$5,Depletion!$K$9:$K$208,"&lt;="&amp;$E$5,Depletion!$M$9:$M$208,IF($H$5="All","*",$H$5),Depletion!$L$9:$L$208,IF($K$5="All","*",$K$5),Depletion!$G$9:$G$208,IF($N$5="All","*",$N$5)))</f>
        <v/>
      </c>
      <c r="C30" s="316">
        <f>IF($A30="","",SUMIFS(Depletion!$E$9:$E$208,Depletion!$B$9:$B$208,$A30,Depletion!$K$9:$K$208,"&gt;="&amp;$B$5,Depletion!$K$9:$K$208,"&lt;="&amp;$E$5,Depletion!$M$9:$M$208,IF($H$5="All","*",$H$5),Depletion!$L$9:$L$208,IF($K$5="All","*",$K$5),Depletion!$G$9:$G$208,IF($N$5="All","*",$N$5)))</f>
        <v/>
      </c>
      <c r="D30" s="316">
        <f>IF($A30="","",SUMIFS(Depletion!$I$9:$I$208,Depletion!$B$9:$B$208,$A30,Depletion!$K$9:$K$208,"&gt;="&amp;$B$5,Depletion!$K$9:$K$208,"&lt;="&amp;$E$5,Depletion!$M$9:$M$208,IF($H$5="All","*",$H$5),Depletion!$L$9:$L$208,IF($K$5="All","*",$K$5),Depletion!$G$9:$G$208,IF($N$5="All","*",$N$5)))</f>
        <v/>
      </c>
      <c r="E30" s="316">
        <f>IF($A30="","",$C30-$D30)</f>
        <v/>
      </c>
      <c r="F30" s="318">
        <f>IFERROR($E30/$C30,0)</f>
        <v/>
      </c>
      <c r="G30" s="249" t="n"/>
      <c r="H30" s="170" t="n"/>
      <c r="I30" s="176" t="n"/>
      <c r="J30" s="361" t="n"/>
      <c r="K30" s="176" t="n"/>
      <c r="L30" s="176" t="n"/>
      <c r="M30" s="361" t="n"/>
      <c r="N30" s="362" t="n"/>
    </row>
    <row r="31">
      <c r="A31" s="313">
        <f>Setup!A30</f>
        <v/>
      </c>
      <c r="B31" s="363">
        <f>IF($A31="","",SUMIFS(Depletion!$C$9:$C$208,Depletion!$B$9:$B$208,$A31,Depletion!$K$9:$K$208,"&gt;="&amp;$B$5,Depletion!$K$9:$K$208,"&lt;="&amp;$E$5,Depletion!$M$9:$M$208,IF($H$5="All","*",$H$5),Depletion!$L$9:$L$208,IF($K$5="All","*",$K$5),Depletion!$G$9:$G$208,IF($N$5="All","*",$N$5)))</f>
        <v/>
      </c>
      <c r="C31" s="314">
        <f>IF($A31="","",SUMIFS(Depletion!$E$9:$E$208,Depletion!$B$9:$B$208,$A31,Depletion!$K$9:$K$208,"&gt;="&amp;$B$5,Depletion!$K$9:$K$208,"&lt;="&amp;$E$5,Depletion!$M$9:$M$208,IF($H$5="All","*",$H$5),Depletion!$L$9:$L$208,IF($K$5="All","*",$K$5),Depletion!$G$9:$G$208,IF($N$5="All","*",$N$5)))</f>
        <v/>
      </c>
      <c r="D31" s="314">
        <f>IF($A31="","",SUMIFS(Depletion!$I$9:$I$208,Depletion!$B$9:$B$208,$A31,Depletion!$K$9:$K$208,"&gt;="&amp;$B$5,Depletion!$K$9:$K$208,"&lt;="&amp;$E$5,Depletion!$M$9:$M$208,IF($H$5="All","*",$H$5),Depletion!$L$9:$L$208,IF($K$5="All","*",$K$5),Depletion!$G$9:$G$208,IF($N$5="All","*",$N$5)))</f>
        <v/>
      </c>
      <c r="E31" s="314">
        <f>IF($A31="","",$C31-$D31)</f>
        <v/>
      </c>
      <c r="F31" s="364">
        <f>IFERROR($E31/$C31,0)</f>
        <v/>
      </c>
      <c r="G31" s="249" t="n"/>
      <c r="H31" s="249" t="n"/>
      <c r="I31" s="249" t="n"/>
      <c r="J31" s="249" t="n"/>
      <c r="K31" s="249" t="n"/>
      <c r="L31" s="249" t="n"/>
      <c r="M31" s="249" t="n"/>
      <c r="N31" s="249" t="n"/>
    </row>
    <row r="32">
      <c r="A32" s="249" t="n"/>
      <c r="B32" s="249" t="n"/>
      <c r="C32" s="249" t="n"/>
      <c r="D32" s="249" t="n"/>
      <c r="E32" s="249" t="n"/>
      <c r="F32" s="249" t="n"/>
      <c r="G32" s="249" t="n"/>
      <c r="H32" s="249" t="n"/>
      <c r="I32" s="249" t="n"/>
      <c r="J32" s="249" t="n"/>
      <c r="K32" s="249" t="n"/>
      <c r="L32" s="249" t="n"/>
      <c r="M32" s="249" t="n"/>
      <c r="N32" s="249" t="n"/>
    </row>
    <row r="33">
      <c r="A33" s="249" t="n"/>
      <c r="B33" s="249" t="n"/>
      <c r="C33" s="249" t="n"/>
      <c r="D33" s="249" t="n"/>
      <c r="E33" s="249" t="n"/>
      <c r="F33" s="249" t="n"/>
      <c r="G33" s="249" t="n"/>
      <c r="H33" s="249" t="n"/>
      <c r="I33" s="249" t="n"/>
      <c r="J33" s="249" t="n"/>
      <c r="K33" s="249" t="n"/>
      <c r="L33" s="249" t="n"/>
      <c r="M33" s="249" t="n"/>
      <c r="N33" s="249" t="n"/>
    </row>
    <row r="34" ht="22" customHeight="1" s="78">
      <c r="A34" s="302" t="inlineStr">
        <is>
          <t>Rep Performance</t>
        </is>
      </c>
      <c r="B34" s="303" t="n"/>
      <c r="C34" s="303" t="n"/>
      <c r="D34" s="303" t="n"/>
      <c r="E34" s="303" t="n"/>
      <c r="F34" s="303" t="n"/>
      <c r="G34" s="249" t="n"/>
      <c r="H34" s="249" t="n"/>
      <c r="I34" s="249" t="n"/>
      <c r="J34" s="249" t="n"/>
      <c r="K34" s="249" t="n"/>
      <c r="L34" s="249" t="n"/>
      <c r="M34" s="249" t="n"/>
      <c r="N34" s="249" t="n"/>
    </row>
    <row r="35">
      <c r="A35" s="249" t="n"/>
      <c r="B35" s="249" t="n"/>
      <c r="C35" s="249" t="n"/>
      <c r="D35" s="249" t="n"/>
      <c r="E35" s="249" t="n"/>
      <c r="F35" s="249" t="n"/>
      <c r="G35" s="249" t="n"/>
      <c r="H35" s="249" t="n"/>
      <c r="I35" s="249" t="n"/>
      <c r="J35" s="249" t="n"/>
      <c r="K35" s="249" t="n"/>
      <c r="L35" s="249" t="n"/>
      <c r="M35" s="249" t="n"/>
      <c r="N35" s="249" t="n"/>
    </row>
    <row r="36" ht="28" customHeight="1" s="78">
      <c r="A36" s="149" t="inlineStr">
        <is>
          <t>Rep</t>
        </is>
      </c>
      <c r="B36" s="150" t="inlineStr">
        <is>
          <t>Revenue</t>
        </is>
      </c>
      <c r="C36" s="150" t="inlineStr">
        <is>
          <t>Cases</t>
        </is>
      </c>
      <c r="D36" s="150" t="inlineStr">
        <is>
          <t>Gross Profit</t>
        </is>
      </c>
      <c r="E36" s="150" t="inlineStr">
        <is>
          <t>Invoice Count</t>
        </is>
      </c>
      <c r="F36" s="151" t="inlineStr">
        <is>
          <t>Paid Revenue</t>
        </is>
      </c>
      <c r="G36" s="249" t="n"/>
      <c r="H36" s="249" t="n"/>
      <c r="I36" s="249" t="n"/>
      <c r="J36" s="249" t="n"/>
      <c r="K36" s="249" t="n"/>
      <c r="L36" s="249" t="n"/>
      <c r="M36" s="249" t="n"/>
      <c r="N36" s="249" t="n"/>
    </row>
    <row r="37">
      <c r="A37" s="304">
        <f>Setup!A56</f>
        <v/>
      </c>
      <c r="B37" s="305">
        <f>IF($A37="","",SUMIFS(Invoices!$L$9:$L$108,Invoices!$D$9:$D$108,$A37,Invoices!$B$9:$B$108,"&gt;="&amp;$B$5,Invoices!$B$9:$B$108,"&lt;="&amp;$E$5,Invoices!$C$9:$C$108,IF($K$5="All","*",$K$5)))</f>
        <v/>
      </c>
      <c r="C37" s="306">
        <f>IF($A37="","",SUMIFS(Invoices!$M$9:$M$108,Invoices!$D$9:$D$108,$A37,Invoices!$B$9:$B$108,"&gt;="&amp;$B$5,Invoices!$B$9:$B$108,"&lt;="&amp;$E$5,Invoices!$C$9:$C$108,IF($K$5="All","*",$K$5)))</f>
        <v/>
      </c>
      <c r="D37" s="305">
        <f>IF($A37="","",SUMIFS(Invoices!$O$9:$O$108,Invoices!$D$9:$D$108,$A37,Invoices!$B$9:$B$108,"&gt;="&amp;$B$5,Invoices!$B$9:$B$108,"&lt;="&amp;$E$5,Invoices!$C$9:$C$108,IF($K$5="All","*",$K$5)))</f>
        <v/>
      </c>
      <c r="E37" s="308">
        <f>IF($A37="","",COUNTIFS(Invoices!$D$9:$D$108,$A37,Invoices!$B$9:$B$108,"&gt;="&amp;$B$5,Invoices!$B$9:$B$108,"&lt;="&amp;$E$5,Invoices!$C$9:$C$108,IF($K$5="All","*",$K$5)))</f>
        <v/>
      </c>
      <c r="F37" s="309">
        <f>IF($A37="","",SUMIFS(Invoices!$L$9:$L$108,Invoices!$D$9:$D$108,$A37,Invoices!$B$9:$B$108,"&gt;="&amp;$B$5,Invoices!$B$9:$B$108,"&lt;="&amp;$E$5,Invoices!$S$9:$S$108,"Paid",Invoices!$C$9:$C$108,IF($K$5="All","*",$K$5)))</f>
        <v/>
      </c>
      <c r="G37" s="249" t="n"/>
      <c r="H37" s="249" t="n"/>
      <c r="I37" s="249" t="n"/>
      <c r="J37" s="249" t="n"/>
      <c r="K37" s="249" t="n"/>
      <c r="L37" s="249" t="n"/>
      <c r="M37" s="249" t="n"/>
      <c r="N37" s="249" t="n"/>
    </row>
    <row r="38">
      <c r="A38" s="304">
        <f>Setup!A57</f>
        <v/>
      </c>
      <c r="B38" s="305">
        <f>IF($A38="","",SUMIFS(Invoices!$L$9:$L$108,Invoices!$D$9:$D$108,$A38,Invoices!$B$9:$B$108,"&gt;="&amp;$B$5,Invoices!$B$9:$B$108,"&lt;="&amp;$E$5,Invoices!$C$9:$C$108,IF($K$5="All","*",$K$5)))</f>
        <v/>
      </c>
      <c r="C38" s="306">
        <f>IF($A38="","",SUMIFS(Invoices!$M$9:$M$108,Invoices!$D$9:$D$108,$A38,Invoices!$B$9:$B$108,"&gt;="&amp;$B$5,Invoices!$B$9:$B$108,"&lt;="&amp;$E$5,Invoices!$C$9:$C$108,IF($K$5="All","*",$K$5)))</f>
        <v/>
      </c>
      <c r="D38" s="305">
        <f>IF($A38="","",SUMIFS(Invoices!$O$9:$O$108,Invoices!$D$9:$D$108,$A38,Invoices!$B$9:$B$108,"&gt;="&amp;$B$5,Invoices!$B$9:$B$108,"&lt;="&amp;$E$5,Invoices!$C$9:$C$108,IF($K$5="All","*",$K$5)))</f>
        <v/>
      </c>
      <c r="E38" s="308">
        <f>IF($A38="","",COUNTIFS(Invoices!$D$9:$D$108,$A38,Invoices!$B$9:$B$108,"&gt;="&amp;$B$5,Invoices!$B$9:$B$108,"&lt;="&amp;$E$5,Invoices!$C$9:$C$108,IF($K$5="All","*",$K$5)))</f>
        <v/>
      </c>
      <c r="F38" s="309">
        <f>IF($A38="","",SUMIFS(Invoices!$L$9:$L$108,Invoices!$D$9:$D$108,$A38,Invoices!$B$9:$B$108,"&gt;="&amp;$B$5,Invoices!$B$9:$B$108,"&lt;="&amp;$E$5,Invoices!$S$9:$S$108,"Paid",Invoices!$C$9:$C$108,IF($K$5="All","*",$K$5)))</f>
        <v/>
      </c>
      <c r="G38" s="249" t="n"/>
      <c r="H38" s="249" t="n"/>
      <c r="I38" s="249" t="n"/>
      <c r="J38" s="249" t="n"/>
      <c r="K38" s="249" t="n"/>
      <c r="L38" s="249" t="n"/>
      <c r="M38" s="249" t="n"/>
      <c r="N38" s="249" t="n"/>
    </row>
    <row r="39">
      <c r="A39" s="304">
        <f>Setup!A58</f>
        <v/>
      </c>
      <c r="B39" s="305">
        <f>IF($A39="","",SUMIFS(Invoices!$L$9:$L$108,Invoices!$D$9:$D$108,$A39,Invoices!$B$9:$B$108,"&gt;="&amp;$B$5,Invoices!$B$9:$B$108,"&lt;="&amp;$E$5,Invoices!$C$9:$C$108,IF($K$5="All","*",$K$5)))</f>
        <v/>
      </c>
      <c r="C39" s="306">
        <f>IF($A39="","",SUMIFS(Invoices!$M$9:$M$108,Invoices!$D$9:$D$108,$A39,Invoices!$B$9:$B$108,"&gt;="&amp;$B$5,Invoices!$B$9:$B$108,"&lt;="&amp;$E$5,Invoices!$C$9:$C$108,IF($K$5="All","*",$K$5)))</f>
        <v/>
      </c>
      <c r="D39" s="305">
        <f>IF($A39="","",SUMIFS(Invoices!$O$9:$O$108,Invoices!$D$9:$D$108,$A39,Invoices!$B$9:$B$108,"&gt;="&amp;$B$5,Invoices!$B$9:$B$108,"&lt;="&amp;$E$5,Invoices!$C$9:$C$108,IF($K$5="All","*",$K$5)))</f>
        <v/>
      </c>
      <c r="E39" s="308">
        <f>IF($A39="","",COUNTIFS(Invoices!$D$9:$D$108,$A39,Invoices!$B$9:$B$108,"&gt;="&amp;$B$5,Invoices!$B$9:$B$108,"&lt;="&amp;$E$5,Invoices!$C$9:$C$108,IF($K$5="All","*",$K$5)))</f>
        <v/>
      </c>
      <c r="F39" s="309">
        <f>IF($A39="","",SUMIFS(Invoices!$L$9:$L$108,Invoices!$D$9:$D$108,$A39,Invoices!$B$9:$B$108,"&gt;="&amp;$B$5,Invoices!$B$9:$B$108,"&lt;="&amp;$E$5,Invoices!$S$9:$S$108,"Paid",Invoices!$C$9:$C$108,IF($K$5="All","*",$K$5)))</f>
        <v/>
      </c>
      <c r="G39" s="249" t="n"/>
      <c r="H39" s="249" t="n"/>
      <c r="I39" s="249" t="n"/>
      <c r="J39" s="249" t="n"/>
      <c r="K39" s="249" t="n"/>
      <c r="L39" s="249" t="n"/>
      <c r="M39" s="249" t="n"/>
      <c r="N39" s="249" t="n"/>
    </row>
    <row r="40">
      <c r="A40" s="304">
        <f>Setup!A59</f>
        <v/>
      </c>
      <c r="B40" s="305">
        <f>IF($A40="","",SUMIFS(Invoices!$L$9:$L$108,Invoices!$D$9:$D$108,$A40,Invoices!$B$9:$B$108,"&gt;="&amp;$B$5,Invoices!$B$9:$B$108,"&lt;="&amp;$E$5,Invoices!$C$9:$C$108,IF($K$5="All","*",$K$5)))</f>
        <v/>
      </c>
      <c r="C40" s="306">
        <f>IF($A40="","",SUMIFS(Invoices!$M$9:$M$108,Invoices!$D$9:$D$108,$A40,Invoices!$B$9:$B$108,"&gt;="&amp;$B$5,Invoices!$B$9:$B$108,"&lt;="&amp;$E$5,Invoices!$C$9:$C$108,IF($K$5="All","*",$K$5)))</f>
        <v/>
      </c>
      <c r="D40" s="305">
        <f>IF($A40="","",SUMIFS(Invoices!$O$9:$O$108,Invoices!$D$9:$D$108,$A40,Invoices!$B$9:$B$108,"&gt;="&amp;$B$5,Invoices!$B$9:$B$108,"&lt;="&amp;$E$5,Invoices!$C$9:$C$108,IF($K$5="All","*",$K$5)))</f>
        <v/>
      </c>
      <c r="E40" s="308">
        <f>IF($A40="","",COUNTIFS(Invoices!$D$9:$D$108,$A40,Invoices!$B$9:$B$108,"&gt;="&amp;$B$5,Invoices!$B$9:$B$108,"&lt;="&amp;$E$5,Invoices!$C$9:$C$108,IF($K$5="All","*",$K$5)))</f>
        <v/>
      </c>
      <c r="F40" s="309">
        <f>IF($A40="","",SUMIFS(Invoices!$L$9:$L$108,Invoices!$D$9:$D$108,$A40,Invoices!$B$9:$B$108,"&gt;="&amp;$B$5,Invoices!$B$9:$B$108,"&lt;="&amp;$E$5,Invoices!$S$9:$S$108,"Paid",Invoices!$C$9:$C$108,IF($K$5="All","*",$K$5)))</f>
        <v/>
      </c>
      <c r="G40" s="249" t="n"/>
      <c r="H40" s="249" t="n"/>
      <c r="I40" s="249" t="n"/>
      <c r="J40" s="249" t="n"/>
      <c r="K40" s="249" t="n"/>
      <c r="L40" s="249" t="n"/>
      <c r="M40" s="249" t="n"/>
      <c r="N40" s="249" t="n"/>
    </row>
    <row r="41">
      <c r="A41" s="304">
        <f>Setup!A60</f>
        <v/>
      </c>
      <c r="B41" s="305">
        <f>IF($A41="","",SUMIFS(Invoices!$L$9:$L$108,Invoices!$D$9:$D$108,$A41,Invoices!$B$9:$B$108,"&gt;="&amp;$B$5,Invoices!$B$9:$B$108,"&lt;="&amp;$E$5,Invoices!$C$9:$C$108,IF($K$5="All","*",$K$5)))</f>
        <v/>
      </c>
      <c r="C41" s="306">
        <f>IF($A41="","",SUMIFS(Invoices!$M$9:$M$108,Invoices!$D$9:$D$108,$A41,Invoices!$B$9:$B$108,"&gt;="&amp;$B$5,Invoices!$B$9:$B$108,"&lt;="&amp;$E$5,Invoices!$C$9:$C$108,IF($K$5="All","*",$K$5)))</f>
        <v/>
      </c>
      <c r="D41" s="305">
        <f>IF($A41="","",SUMIFS(Invoices!$O$9:$O$108,Invoices!$D$9:$D$108,$A41,Invoices!$B$9:$B$108,"&gt;="&amp;$B$5,Invoices!$B$9:$B$108,"&lt;="&amp;$E$5,Invoices!$C$9:$C$108,IF($K$5="All","*",$K$5)))</f>
        <v/>
      </c>
      <c r="E41" s="308">
        <f>IF($A41="","",COUNTIFS(Invoices!$D$9:$D$108,$A41,Invoices!$B$9:$B$108,"&gt;="&amp;$B$5,Invoices!$B$9:$B$108,"&lt;="&amp;$E$5,Invoices!$C$9:$C$108,IF($K$5="All","*",$K$5)))</f>
        <v/>
      </c>
      <c r="F41" s="309">
        <f>IF($A41="","",SUMIFS(Invoices!$L$9:$L$108,Invoices!$D$9:$D$108,$A41,Invoices!$B$9:$B$108,"&gt;="&amp;$B$5,Invoices!$B$9:$B$108,"&lt;="&amp;$E$5,Invoices!$S$9:$S$108,"Paid",Invoices!$C$9:$C$108,IF($K$5="All","*",$K$5)))</f>
        <v/>
      </c>
      <c r="G41" s="249" t="n"/>
      <c r="H41" s="249" t="n"/>
      <c r="I41" s="249" t="n"/>
      <c r="J41" s="249" t="n"/>
      <c r="K41" s="249" t="n"/>
      <c r="L41" s="249" t="n"/>
      <c r="M41" s="249" t="n"/>
      <c r="N41" s="249" t="n"/>
    </row>
    <row r="42">
      <c r="A42" s="304">
        <f>Setup!A61</f>
        <v/>
      </c>
      <c r="B42" s="305">
        <f>IF($A42="","",SUMIFS(Invoices!$L$9:$L$108,Invoices!$D$9:$D$108,$A42,Invoices!$B$9:$B$108,"&gt;="&amp;$B$5,Invoices!$B$9:$B$108,"&lt;="&amp;$E$5,Invoices!$C$9:$C$108,IF($K$5="All","*",$K$5)))</f>
        <v/>
      </c>
      <c r="C42" s="306">
        <f>IF($A42="","",SUMIFS(Invoices!$M$9:$M$108,Invoices!$D$9:$D$108,$A42,Invoices!$B$9:$B$108,"&gt;="&amp;$B$5,Invoices!$B$9:$B$108,"&lt;="&amp;$E$5,Invoices!$C$9:$C$108,IF($K$5="All","*",$K$5)))</f>
        <v/>
      </c>
      <c r="D42" s="305">
        <f>IF($A42="","",SUMIFS(Invoices!$O$9:$O$108,Invoices!$D$9:$D$108,$A42,Invoices!$B$9:$B$108,"&gt;="&amp;$B$5,Invoices!$B$9:$B$108,"&lt;="&amp;$E$5,Invoices!$C$9:$C$108,IF($K$5="All","*",$K$5)))</f>
        <v/>
      </c>
      <c r="E42" s="308">
        <f>IF($A42="","",COUNTIFS(Invoices!$D$9:$D$108,$A42,Invoices!$B$9:$B$108,"&gt;="&amp;$B$5,Invoices!$B$9:$B$108,"&lt;="&amp;$E$5,Invoices!$C$9:$C$108,IF($K$5="All","*",$K$5)))</f>
        <v/>
      </c>
      <c r="F42" s="309">
        <f>IF($A42="","",SUMIFS(Invoices!$L$9:$L$108,Invoices!$D$9:$D$108,$A42,Invoices!$B$9:$B$108,"&gt;="&amp;$B$5,Invoices!$B$9:$B$108,"&lt;="&amp;$E$5,Invoices!$S$9:$S$108,"Paid",Invoices!$C$9:$C$108,IF($K$5="All","*",$K$5)))</f>
        <v/>
      </c>
      <c r="G42" s="249" t="n"/>
      <c r="H42" s="249" t="n"/>
      <c r="I42" s="249" t="n"/>
      <c r="J42" s="249" t="n"/>
      <c r="K42" s="249" t="n"/>
      <c r="L42" s="249" t="n"/>
      <c r="M42" s="249" t="n"/>
      <c r="N42" s="249" t="n"/>
    </row>
    <row r="43">
      <c r="A43" s="304">
        <f>Setup!A62</f>
        <v/>
      </c>
      <c r="B43" s="305">
        <f>IF($A43="","",SUMIFS(Invoices!$L$9:$L$108,Invoices!$D$9:$D$108,$A43,Invoices!$B$9:$B$108,"&gt;="&amp;$B$5,Invoices!$B$9:$B$108,"&lt;="&amp;$E$5,Invoices!$C$9:$C$108,IF($K$5="All","*",$K$5)))</f>
        <v/>
      </c>
      <c r="C43" s="306">
        <f>IF($A43="","",SUMIFS(Invoices!$M$9:$M$108,Invoices!$D$9:$D$108,$A43,Invoices!$B$9:$B$108,"&gt;="&amp;$B$5,Invoices!$B$9:$B$108,"&lt;="&amp;$E$5,Invoices!$C$9:$C$108,IF($K$5="All","*",$K$5)))</f>
        <v/>
      </c>
      <c r="D43" s="305">
        <f>IF($A43="","",SUMIFS(Invoices!$O$9:$O$108,Invoices!$D$9:$D$108,$A43,Invoices!$B$9:$B$108,"&gt;="&amp;$B$5,Invoices!$B$9:$B$108,"&lt;="&amp;$E$5,Invoices!$C$9:$C$108,IF($K$5="All","*",$K$5)))</f>
        <v/>
      </c>
      <c r="E43" s="308">
        <f>IF($A43="","",COUNTIFS(Invoices!$D$9:$D$108,$A43,Invoices!$B$9:$B$108,"&gt;="&amp;$B$5,Invoices!$B$9:$B$108,"&lt;="&amp;$E$5,Invoices!$C$9:$C$108,IF($K$5="All","*",$K$5)))</f>
        <v/>
      </c>
      <c r="F43" s="309">
        <f>IF($A43="","",SUMIFS(Invoices!$L$9:$L$108,Invoices!$D$9:$D$108,$A43,Invoices!$B$9:$B$108,"&gt;="&amp;$B$5,Invoices!$B$9:$B$108,"&lt;="&amp;$E$5,Invoices!$S$9:$S$108,"Paid",Invoices!$C$9:$C$108,IF($K$5="All","*",$K$5)))</f>
        <v/>
      </c>
      <c r="G43" s="249" t="n"/>
      <c r="H43" s="249" t="n"/>
      <c r="I43" s="249" t="n"/>
      <c r="J43" s="249" t="n"/>
      <c r="K43" s="249" t="n"/>
      <c r="L43" s="249" t="n"/>
      <c r="M43" s="249" t="n"/>
      <c r="N43" s="249" t="n"/>
    </row>
    <row r="44">
      <c r="A44" s="304">
        <f>Setup!A63</f>
        <v/>
      </c>
      <c r="B44" s="305">
        <f>IF($A44="","",SUMIFS(Invoices!$L$9:$L$108,Invoices!$D$9:$D$108,$A44,Invoices!$B$9:$B$108,"&gt;="&amp;$B$5,Invoices!$B$9:$B$108,"&lt;="&amp;$E$5,Invoices!$C$9:$C$108,IF($K$5="All","*",$K$5)))</f>
        <v/>
      </c>
      <c r="C44" s="306">
        <f>IF($A44="","",SUMIFS(Invoices!$M$9:$M$108,Invoices!$D$9:$D$108,$A44,Invoices!$B$9:$B$108,"&gt;="&amp;$B$5,Invoices!$B$9:$B$108,"&lt;="&amp;$E$5,Invoices!$C$9:$C$108,IF($K$5="All","*",$K$5)))</f>
        <v/>
      </c>
      <c r="D44" s="305">
        <f>IF($A44="","",SUMIFS(Invoices!$O$9:$O$108,Invoices!$D$9:$D$108,$A44,Invoices!$B$9:$B$108,"&gt;="&amp;$B$5,Invoices!$B$9:$B$108,"&lt;="&amp;$E$5,Invoices!$C$9:$C$108,IF($K$5="All","*",$K$5)))</f>
        <v/>
      </c>
      <c r="E44" s="308">
        <f>IF($A44="","",COUNTIFS(Invoices!$D$9:$D$108,$A44,Invoices!$B$9:$B$108,"&gt;="&amp;$B$5,Invoices!$B$9:$B$108,"&lt;="&amp;$E$5,Invoices!$C$9:$C$108,IF($K$5="All","*",$K$5)))</f>
        <v/>
      </c>
      <c r="F44" s="309">
        <f>IF($A44="","",SUMIFS(Invoices!$L$9:$L$108,Invoices!$D$9:$D$108,$A44,Invoices!$B$9:$B$108,"&gt;="&amp;$B$5,Invoices!$B$9:$B$108,"&lt;="&amp;$E$5,Invoices!$S$9:$S$108,"Paid",Invoices!$C$9:$C$108,IF($K$5="All","*",$K$5)))</f>
        <v/>
      </c>
      <c r="G44" s="249" t="n"/>
      <c r="H44" s="249" t="n"/>
      <c r="I44" s="249" t="n"/>
      <c r="J44" s="249" t="n"/>
      <c r="K44" s="249" t="n"/>
      <c r="L44" s="249" t="n"/>
      <c r="M44" s="249" t="n"/>
      <c r="N44" s="249" t="n"/>
    </row>
    <row r="45">
      <c r="A45" s="304">
        <f>Setup!A64</f>
        <v/>
      </c>
      <c r="B45" s="305">
        <f>IF($A45="","",SUMIFS(Invoices!$L$9:$L$108,Invoices!$D$9:$D$108,$A45,Invoices!$B$9:$B$108,"&gt;="&amp;$B$5,Invoices!$B$9:$B$108,"&lt;="&amp;$E$5,Invoices!$C$9:$C$108,IF($K$5="All","*",$K$5)))</f>
        <v/>
      </c>
      <c r="C45" s="306">
        <f>IF($A45="","",SUMIFS(Invoices!$M$9:$M$108,Invoices!$D$9:$D$108,$A45,Invoices!$B$9:$B$108,"&gt;="&amp;$B$5,Invoices!$B$9:$B$108,"&lt;="&amp;$E$5,Invoices!$C$9:$C$108,IF($K$5="All","*",$K$5)))</f>
        <v/>
      </c>
      <c r="D45" s="305">
        <f>IF($A45="","",SUMIFS(Invoices!$O$9:$O$108,Invoices!$D$9:$D$108,$A45,Invoices!$B$9:$B$108,"&gt;="&amp;$B$5,Invoices!$B$9:$B$108,"&lt;="&amp;$E$5,Invoices!$C$9:$C$108,IF($K$5="All","*",$K$5)))</f>
        <v/>
      </c>
      <c r="E45" s="308">
        <f>IF($A45="","",COUNTIFS(Invoices!$D$9:$D$108,$A45,Invoices!$B$9:$B$108,"&gt;="&amp;$B$5,Invoices!$B$9:$B$108,"&lt;="&amp;$E$5,Invoices!$C$9:$C$108,IF($K$5="All","*",$K$5)))</f>
        <v/>
      </c>
      <c r="F45" s="309">
        <f>IF($A45="","",SUMIFS(Invoices!$L$9:$L$108,Invoices!$D$9:$D$108,$A45,Invoices!$B$9:$B$108,"&gt;="&amp;$B$5,Invoices!$B$9:$B$108,"&lt;="&amp;$E$5,Invoices!$S$9:$S$108,"Paid",Invoices!$C$9:$C$108,IF($K$5="All","*",$K$5)))</f>
        <v/>
      </c>
      <c r="G45" s="249" t="n"/>
      <c r="H45" s="249" t="n"/>
      <c r="I45" s="249" t="n"/>
      <c r="J45" s="249" t="n"/>
      <c r="K45" s="249" t="n"/>
      <c r="L45" s="249" t="n"/>
      <c r="M45" s="249" t="n"/>
      <c r="N45" s="249" t="n"/>
    </row>
    <row r="46">
      <c r="A46" s="310">
        <f>Setup!A65</f>
        <v/>
      </c>
      <c r="B46" s="316">
        <f>IF($A46="","",SUMIFS(Invoices!$L$9:$L$108,Invoices!$D$9:$D$108,$A46,Invoices!$B$9:$B$108,"&gt;="&amp;$B$5,Invoices!$B$9:$B$108,"&lt;="&amp;$E$5,Invoices!$C$9:$C$108,IF($K$5="All","*",$K$5)))</f>
        <v/>
      </c>
      <c r="C46" s="317">
        <f>IF($A46="","",SUMIFS(Invoices!$M$9:$M$108,Invoices!$D$9:$D$108,$A46,Invoices!$B$9:$B$108,"&gt;="&amp;$B$5,Invoices!$B$9:$B$108,"&lt;="&amp;$E$5,Invoices!$C$9:$C$108,IF($K$5="All","*",$K$5)))</f>
        <v/>
      </c>
      <c r="D46" s="316">
        <f>IF($A46="","",SUMIFS(Invoices!$O$9:$O$108,Invoices!$D$9:$D$108,$A46,Invoices!$B$9:$B$108,"&gt;="&amp;$B$5,Invoices!$B$9:$B$108,"&lt;="&amp;$E$5,Invoices!$C$9:$C$108,IF($K$5="All","*",$K$5)))</f>
        <v/>
      </c>
      <c r="E46" s="311">
        <f>IF($A46="","",COUNTIFS(Invoices!$D$9:$D$108,$A46,Invoices!$B$9:$B$108,"&gt;="&amp;$B$5,Invoices!$B$9:$B$108,"&lt;="&amp;$E$5,Invoices!$C$9:$C$108,IF($K$5="All","*",$K$5)))</f>
        <v/>
      </c>
      <c r="F46" s="312">
        <f>IF($A46="","",SUMIFS(Invoices!$L$9:$L$108,Invoices!$D$9:$D$108,$A46,Invoices!$B$9:$B$108,"&gt;="&amp;$B$5,Invoices!$B$9:$B$108,"&lt;="&amp;$E$5,Invoices!$S$9:$S$108,"Paid",Invoices!$C$9:$C$108,IF($K$5="All","*",$K$5)))</f>
        <v/>
      </c>
      <c r="G46" s="249" t="n"/>
      <c r="H46" s="249" t="n"/>
      <c r="I46" s="249" t="n"/>
      <c r="J46" s="249" t="n"/>
      <c r="K46" s="249" t="n"/>
      <c r="L46" s="249" t="n"/>
      <c r="M46" s="249" t="n"/>
      <c r="N46" s="249" t="n"/>
    </row>
  </sheetData>
  <mergeCells count="6">
    <mergeCell ref="C2:N2"/>
    <mergeCell ref="C1:N1"/>
    <mergeCell ref="A34:F34"/>
    <mergeCell ref="H7:N7"/>
    <mergeCell ref="A1:B2"/>
    <mergeCell ref="A7:F7"/>
  </mergeCells>
  <dataValidations count="3">
    <dataValidation sqref="H5" showDropDown="0" showInputMessage="0" showErrorMessage="0" allowBlank="0" type="list">
      <formula1>"All,Roman,Jess,Timmy,Tito"</formula1>
    </dataValidation>
    <dataValidation sqref="K5" showDropDown="0" showInputMessage="0" showErrorMessage="0" allowBlank="0" type="list">
      <formula1>"All,Wayzata Smoke Shop &amp; Vape,Long Lake Orono Smoke Shop"</formula1>
    </dataValidation>
    <dataValidation sqref="N5" showDropDown="0" showInputMessage="0" showErrorMessage="0" allowBlank="0" type="list">
      <formula1>"All,Seltzer,Midnight Drift,Organic Line,The Drip"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style="78" min="1" max="1"/>
    <col width="16" customWidth="1" style="78" min="2" max="2"/>
    <col width="18" customWidth="1" style="78" min="3" max="3"/>
    <col width="16" customWidth="1" style="78" min="4" max="4"/>
    <col width="19" customWidth="1" style="78" min="5" max="5"/>
    <col width="16" customWidth="1" style="78" min="6" max="6"/>
    <col width="24" customWidth="1" style="78" min="7" max="7"/>
    <col width="20" customWidth="1" style="78" min="8" max="8"/>
    <col width="8" customWidth="1" style="78" min="9" max="9"/>
    <col width="8" customWidth="1" style="78" min="10" max="10"/>
  </cols>
  <sheetData>
    <row r="1" ht="30" customHeight="1" s="78">
      <c r="A1" s="293" t="n"/>
      <c r="B1" s="293" t="n"/>
      <c r="C1" s="294" t="inlineStr">
        <is>
          <t>COMMISSIONS</t>
        </is>
      </c>
      <c r="D1" s="295" t="n"/>
      <c r="E1" s="295" t="n"/>
      <c r="F1" s="295" t="n"/>
      <c r="G1" s="295" t="n"/>
      <c r="H1" s="295" t="n"/>
      <c r="I1" s="1" t="n"/>
      <c r="J1" s="1" t="n"/>
    </row>
    <row r="2" ht="24" customHeight="1" s="78">
      <c r="A2" s="293" t="n"/>
      <c r="B2" s="293" t="n"/>
      <c r="C2" s="296" t="inlineStr">
        <is>
          <t>Payment-based commission calculator. Bonus logic stays excluded until ownership confirms exact semantics.</t>
        </is>
      </c>
      <c r="D2" s="295" t="n"/>
      <c r="E2" s="295" t="n"/>
      <c r="F2" s="295" t="n"/>
      <c r="G2" s="295" t="n"/>
      <c r="H2" s="295" t="n"/>
      <c r="I2" s="1" t="n"/>
      <c r="J2" s="1" t="n"/>
    </row>
    <row r="3" ht="8" customHeight="1" s="78">
      <c r="A3" s="249" t="n"/>
      <c r="B3" s="249" t="n"/>
      <c r="C3" s="249" t="n"/>
      <c r="D3" s="249" t="n"/>
      <c r="E3" s="249" t="n"/>
      <c r="F3" s="249" t="n"/>
      <c r="G3" s="249" t="n"/>
      <c r="H3" s="249" t="n"/>
      <c r="I3" s="23" t="n"/>
      <c r="J3" s="23" t="n"/>
    </row>
    <row r="4">
      <c r="A4" s="249" t="n"/>
      <c r="B4" s="249" t="n"/>
      <c r="C4" s="249" t="n"/>
      <c r="D4" s="249" t="n"/>
      <c r="E4" s="249" t="n"/>
      <c r="F4" s="249" t="n"/>
      <c r="G4" s="249" t="n"/>
      <c r="H4" s="249" t="n"/>
      <c r="I4" s="23" t="n"/>
      <c r="J4" s="23" t="n"/>
    </row>
    <row r="5" ht="30" customHeight="1" s="78">
      <c r="A5" s="190" t="inlineStr">
        <is>
          <t>SALES REP</t>
        </is>
      </c>
      <c r="B5" s="187" t="inlineStr">
        <is>
          <t>Tito</t>
        </is>
      </c>
      <c r="C5" s="187" t="str"/>
      <c r="D5" s="191" t="inlineStr">
        <is>
          <t>PERIOD START</t>
        </is>
      </c>
      <c r="E5" s="320" t="n">
        <v>46023</v>
      </c>
      <c r="F5" s="320" t="str"/>
      <c r="G5" s="357" t="inlineStr">
        <is>
          <t>PERIOD END</t>
        </is>
      </c>
      <c r="H5" s="365" t="n">
        <v>46387</v>
      </c>
      <c r="I5" s="23" t="n"/>
      <c r="J5" s="23" t="n"/>
    </row>
    <row r="6">
      <c r="A6" s="249" t="n"/>
      <c r="B6" s="249" t="n"/>
      <c r="C6" s="249" t="n"/>
      <c r="D6" s="249" t="n"/>
      <c r="E6" s="249" t="n"/>
      <c r="F6" s="249" t="n"/>
      <c r="G6" s="249" t="n"/>
      <c r="H6" s="249" t="n"/>
      <c r="I6" s="23" t="n"/>
      <c r="J6" s="23" t="n"/>
    </row>
    <row r="7">
      <c r="A7" s="249" t="n"/>
      <c r="B7" s="249" t="n"/>
      <c r="C7" s="249" t="n"/>
      <c r="D7" s="249" t="n"/>
      <c r="E7" s="249" t="n"/>
      <c r="F7" s="249" t="n"/>
      <c r="G7" s="249" t="n"/>
      <c r="H7" s="249" t="n"/>
      <c r="I7" s="23" t="n"/>
      <c r="J7" s="23" t="n"/>
    </row>
    <row r="8">
      <c r="A8" s="130" t="inlineStr">
        <is>
          <t>ELIGIBLE REVENUE</t>
        </is>
      </c>
      <c r="B8" s="243" t="str"/>
      <c r="C8" s="130" t="inlineStr">
        <is>
          <t>NEW REVENUE</t>
        </is>
      </c>
      <c r="D8" s="243" t="str"/>
      <c r="E8" s="130" t="inlineStr">
        <is>
          <t>REORDER REVENUE</t>
        </is>
      </c>
      <c r="F8" s="243" t="str"/>
      <c r="G8" s="130" t="inlineStr">
        <is>
          <t>ELIGIBLE CASES</t>
        </is>
      </c>
      <c r="H8" s="243" t="str"/>
      <c r="I8" s="23" t="n"/>
      <c r="J8" s="23" t="n"/>
    </row>
    <row r="9">
      <c r="A9" s="366">
        <f>SUMIFS(Invoices!$L$9:$L$108,Invoices!$D$9:$D$108,$B$5,Invoices!$V$9:$V$108,"&gt;="&amp;$E$5,Invoices!$V$9:$V$108,"&lt;="&amp;$H$5)</f>
        <v/>
      </c>
      <c r="B9" s="367" t="n"/>
      <c r="C9" s="366">
        <f>SUMIFS(Invoices!$L$9:$L$108,Invoices!$D$9:$D$108,$B$5,Invoices!$E$9:$E$108,"New",Invoices!$V$9:$V$108,"&gt;="&amp;$E$5,Invoices!$V$9:$V$108,"&lt;="&amp;$H$5)</f>
        <v/>
      </c>
      <c r="D9" s="367" t="n"/>
      <c r="E9" s="366">
        <f>SUMIFS(Invoices!$L$9:$L$108,Invoices!$D$9:$D$108,$B$5,Invoices!$E$9:$E$108,"Reorder",Invoices!$V$9:$V$108,"&gt;="&amp;$E$5,Invoices!$V$9:$V$108,"&lt;="&amp;$H$5)</f>
        <v/>
      </c>
      <c r="F9" s="179" t="n"/>
      <c r="G9" s="246">
        <f>SUMIFS(Invoices!$M$9:$M$108,Invoices!$D$9:$D$108,$B$5,Invoices!$V$9:$V$108,"&gt;="&amp;$E$5,Invoices!$V$9:$V$108,"&lt;="&amp;$H$5)</f>
        <v/>
      </c>
      <c r="H9" s="179" t="n"/>
      <c r="I9" s="23" t="n"/>
      <c r="J9" s="23" t="n"/>
    </row>
    <row r="10">
      <c r="A10" s="249" t="n"/>
      <c r="B10" s="249" t="n"/>
      <c r="C10" s="249" t="n"/>
      <c r="D10" s="249" t="n"/>
      <c r="E10" s="249" t="n"/>
      <c r="F10" s="249" t="n"/>
      <c r="G10" s="249" t="n"/>
      <c r="H10" s="249" t="n"/>
      <c r="I10" s="23" t="n"/>
      <c r="J10" s="23" t="n"/>
    </row>
    <row r="11">
      <c r="A11" s="249" t="n"/>
      <c r="B11" s="249" t="n"/>
      <c r="C11" s="249" t="n"/>
      <c r="D11" s="249" t="n"/>
      <c r="E11" s="249" t="n"/>
      <c r="F11" s="249" t="n"/>
      <c r="G11" s="249" t="n"/>
      <c r="H11" s="249" t="n"/>
      <c r="I11" s="23" t="n"/>
      <c r="J11" s="23" t="n"/>
    </row>
    <row r="12" ht="22" customHeight="1" s="78">
      <c r="A12" s="302" t="inlineStr">
        <is>
          <t>Commission Calculation</t>
        </is>
      </c>
      <c r="B12" s="303" t="n"/>
      <c r="C12" s="303" t="n"/>
      <c r="D12" s="303" t="n"/>
      <c r="E12" s="303" t="n"/>
      <c r="F12" s="303" t="n"/>
      <c r="G12" s="303" t="n"/>
      <c r="H12" s="303" t="n"/>
      <c r="I12" s="23" t="n"/>
      <c r="J12" s="23" t="n"/>
    </row>
    <row r="13">
      <c r="A13" s="249" t="n"/>
      <c r="B13" s="249" t="n"/>
      <c r="C13" s="249" t="n"/>
      <c r="D13" s="249" t="n"/>
      <c r="E13" s="249" t="n"/>
      <c r="F13" s="249" t="n"/>
      <c r="G13" s="249" t="n"/>
      <c r="H13" s="249" t="n"/>
      <c r="I13" s="23" t="n"/>
      <c r="J13" s="23" t="n"/>
    </row>
    <row r="14" ht="28" customHeight="1" s="78">
      <c r="A14" s="149" t="inlineStr">
        <is>
          <t>New Rate</t>
        </is>
      </c>
      <c r="B14" s="150" t="inlineStr">
        <is>
          <t>Reorder Rate</t>
        </is>
      </c>
      <c r="C14" s="150" t="inlineStr">
        <is>
          <t>Commission</t>
        </is>
      </c>
      <c r="D14" s="150" t="str"/>
      <c r="E14" s="150" t="inlineStr">
        <is>
          <t>Eligible Invoice Count</t>
        </is>
      </c>
      <c r="F14" s="150" t="inlineStr">
        <is>
          <t>Bonus Threshold</t>
        </is>
      </c>
      <c r="G14" s="150" t="inlineStr">
        <is>
          <t>Bonus Rule / Status</t>
        </is>
      </c>
      <c r="H14" s="151" t="str"/>
      <c r="I14" s="23" t="n"/>
      <c r="J14" s="23" t="n"/>
    </row>
    <row r="15">
      <c r="A15" s="368">
        <f>IFERROR(VLOOKUP($B$5,Setup!$A$56:$G$66,2,FALSE),0)</f>
        <v/>
      </c>
      <c r="B15" s="369">
        <f>IFERROR(VLOOKUP($B$5,Setup!$A$56:$G$66,3,FALSE),0)</f>
        <v/>
      </c>
      <c r="C15" s="316">
        <f>$C$9*$A$15+$E$9*$B$15</f>
        <v/>
      </c>
      <c r="D15" s="361" t="n"/>
      <c r="E15" s="370">
        <f>COUNTIFS(Invoices!$D$9:$D$108,$B$5,Invoices!$V$9:$V$108,"&gt;="&amp;$E$5,Invoices!$V$9:$V$108,"&lt;="&amp;$H$5)</f>
        <v/>
      </c>
      <c r="F15" s="316">
        <f>IFERROR(VLOOKUP($B$5,Setup!$A$56:$G$66,5,FALSE),"")</f>
        <v/>
      </c>
      <c r="G15" s="311">
        <f>IFERROR(VLOOKUP($B$5,Setup!$A$56:$G$66,6,FALSE),"")</f>
        <v/>
      </c>
      <c r="H15" s="179" t="n"/>
      <c r="I15" s="23" t="n"/>
      <c r="J15" s="23" t="n"/>
    </row>
    <row r="16">
      <c r="A16" s="249" t="n"/>
      <c r="B16" s="249" t="n"/>
      <c r="C16" s="249" t="n"/>
      <c r="D16" s="249" t="n"/>
      <c r="E16" s="249" t="n"/>
      <c r="F16" s="249" t="n"/>
      <c r="G16" s="249" t="n"/>
      <c r="H16" s="249" t="n"/>
      <c r="I16" s="23" t="n"/>
      <c r="J16" s="23" t="n"/>
    </row>
    <row r="17" ht="22" customHeight="1" s="78">
      <c r="A17" s="302" t="inlineStr">
        <is>
          <t>NOTES &amp; POLICY</t>
        </is>
      </c>
      <c r="B17" s="303" t="n"/>
      <c r="C17" s="303" t="n"/>
      <c r="D17" s="303" t="n"/>
      <c r="E17" s="303" t="n"/>
      <c r="F17" s="303" t="n"/>
      <c r="G17" s="303" t="n"/>
      <c r="H17" s="303" t="n"/>
      <c r="I17" s="23" t="n"/>
      <c r="J17" s="23" t="n"/>
    </row>
    <row r="18">
      <c r="A18" s="371">
        <f>IF(AND($F$15&lt;&gt;"",$A$9&gt;=$F$15),"Review — threshold reached; bonus excluded pending confirmation.","Bonus excluded unless ownership confirms an auditable rule.")</f>
        <v/>
      </c>
      <c r="B18" s="1" t="n"/>
      <c r="C18" s="1" t="n"/>
      <c r="D18" s="1" t="n"/>
      <c r="E18" s="1" t="n"/>
      <c r="F18" s="1" t="n"/>
      <c r="G18" s="1" t="n"/>
      <c r="H18" s="1" t="n"/>
      <c r="I18" s="23" t="n"/>
      <c r="J18" s="23" t="n"/>
    </row>
    <row r="19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23" t="n"/>
      <c r="J19" s="23" t="n"/>
    </row>
    <row r="20">
      <c r="A20" s="371" t="inlineStr">
        <is>
          <t>Commission population = invoices for the selected rep whose Commission Eligible Date falls within the selected period.</t>
        </is>
      </c>
      <c r="B20" s="1" t="n"/>
      <c r="C20" s="1" t="n"/>
      <c r="D20" s="1" t="n"/>
      <c r="E20" s="1" t="n"/>
      <c r="F20" s="1" t="n"/>
      <c r="G20" s="1" t="n"/>
      <c r="H20" s="1" t="n"/>
      <c r="I20" s="23" t="n"/>
      <c r="J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</row>
  </sheetData>
  <mergeCells count="7">
    <mergeCell ref="A12:H12"/>
    <mergeCell ref="A18:H18"/>
    <mergeCell ref="C2:H2"/>
    <mergeCell ref="A20:H20"/>
    <mergeCell ref="A17:H17"/>
    <mergeCell ref="A1:B2"/>
    <mergeCell ref="C1:H1"/>
  </mergeCells>
  <dataValidations count="1">
    <dataValidation sqref="B5" showDropDown="0" showInputMessage="0" showErrorMessage="0" allowBlank="0" type="list">
      <formula1>Setup!$A$56:$A$66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1" customWidth="1" style="78" min="1" max="1"/>
    <col width="18" customWidth="1" style="78" min="2" max="2"/>
    <col width="34" customWidth="1" style="78" min="3" max="3"/>
    <col width="18" customWidth="1" style="78" min="4" max="4"/>
    <col width="18" customWidth="1" style="78" min="5" max="5"/>
    <col width="15" customWidth="1" style="78" min="6" max="6"/>
    <col width="20" customWidth="1" style="78" min="7" max="7"/>
    <col width="12" customWidth="1" style="78" min="8" max="8"/>
  </cols>
  <sheetData>
    <row r="1" ht="30" customHeight="1" s="78">
      <c r="A1" s="293" t="n"/>
      <c r="B1" s="293" t="n"/>
      <c r="C1" s="294" t="inlineStr">
        <is>
          <t>SETUP</t>
        </is>
      </c>
      <c r="D1" s="295" t="n"/>
      <c r="E1" s="295" t="n"/>
      <c r="F1" s="295" t="n"/>
      <c r="G1" s="295" t="n"/>
      <c r="H1" s="295" t="n"/>
    </row>
    <row r="2" ht="24" customHeight="1" s="78">
      <c r="A2" s="293" t="n"/>
      <c r="B2" s="293" t="n"/>
      <c r="C2" s="296" t="inlineStr">
        <is>
          <t>Business reference data for products, accounts, reps, terms and workbook defaults.</t>
        </is>
      </c>
      <c r="D2" s="295" t="n"/>
      <c r="E2" s="295" t="n"/>
      <c r="F2" s="295" t="n"/>
      <c r="G2" s="295" t="n"/>
      <c r="H2" s="295" t="n"/>
    </row>
    <row r="3" ht="8" customHeight="1" s="78">
      <c r="A3" s="249" t="n"/>
      <c r="B3" s="249" t="n"/>
      <c r="C3" s="249" t="n"/>
      <c r="D3" s="249" t="n"/>
      <c r="E3" s="249" t="n"/>
      <c r="F3" s="249" t="n"/>
      <c r="G3" s="249" t="n"/>
      <c r="H3" s="249" t="n"/>
    </row>
    <row r="4">
      <c r="A4" s="249" t="n"/>
      <c r="B4" s="249" t="n"/>
      <c r="C4" s="249" t="n"/>
      <c r="D4" s="249" t="n"/>
      <c r="E4" s="249" t="n"/>
      <c r="F4" s="249" t="n"/>
      <c r="G4" s="249" t="n"/>
      <c r="H4" s="249" t="n"/>
    </row>
    <row r="5">
      <c r="A5" s="249" t="n"/>
      <c r="B5" s="249" t="n"/>
      <c r="C5" s="249" t="n"/>
      <c r="D5" s="249" t="n"/>
      <c r="E5" s="249" t="n"/>
      <c r="F5" s="249" t="n"/>
      <c r="G5" s="249" t="n"/>
      <c r="H5" s="249" t="n"/>
    </row>
    <row r="6" ht="22" customHeight="1" s="78">
      <c r="A6" s="302" t="inlineStr">
        <is>
          <t>Products</t>
        </is>
      </c>
      <c r="B6" s="303" t="n"/>
      <c r="C6" s="303" t="n"/>
      <c r="D6" s="303" t="n"/>
      <c r="E6" s="303" t="n"/>
      <c r="F6" s="303" t="n"/>
      <c r="G6" s="303" t="n"/>
      <c r="H6" s="303" t="n"/>
    </row>
    <row r="7">
      <c r="A7" s="249" t="n"/>
      <c r="B7" s="249" t="n"/>
      <c r="C7" s="249" t="n"/>
      <c r="D7" s="249" t="n"/>
      <c r="E7" s="249" t="n"/>
      <c r="F7" s="249" t="n"/>
      <c r="G7" s="249" t="n"/>
      <c r="H7" s="249" t="n"/>
    </row>
    <row r="8" ht="28" customHeight="1" s="78">
      <c r="A8" s="255" t="inlineStr">
        <is>
          <t>Product</t>
        </is>
      </c>
      <c r="B8" s="255" t="inlineStr">
        <is>
          <t>SKU</t>
        </is>
      </c>
      <c r="C8" s="255" t="inlineStr">
        <is>
          <t>Description</t>
        </is>
      </c>
      <c r="D8" s="255" t="inlineStr">
        <is>
          <t>Category</t>
        </is>
      </c>
      <c r="E8" s="255" t="inlineStr">
        <is>
          <t>Product Line</t>
        </is>
      </c>
      <c r="F8" s="255" t="inlineStr">
        <is>
          <t>COGS / Case</t>
        </is>
      </c>
      <c r="G8" s="255" t="inlineStr">
        <is>
          <t>Cost / Unit Reference</t>
        </is>
      </c>
      <c r="H8" s="255" t="inlineStr">
        <is>
          <t>Active</t>
        </is>
      </c>
    </row>
    <row r="9">
      <c r="A9" s="372" t="inlineStr">
        <is>
          <t>Lagom - 24K Lemonade</t>
        </is>
      </c>
      <c r="B9" s="373" t="n">
        <v>860012530502</v>
      </c>
      <c r="C9" s="373" t="inlineStr">
        <is>
          <t>24 can case - 12 oz cans</t>
        </is>
      </c>
      <c r="D9" s="373" t="inlineStr">
        <is>
          <t>Seltzer</t>
        </is>
      </c>
      <c r="E9" s="373" t="inlineStr">
        <is>
          <t>Seltzer</t>
        </is>
      </c>
      <c r="F9" s="374" t="n">
        <v>72</v>
      </c>
      <c r="G9" s="374" t="n">
        <v>3</v>
      </c>
      <c r="H9" s="375" t="b">
        <v>1</v>
      </c>
    </row>
    <row r="10">
      <c r="A10" s="321" t="inlineStr">
        <is>
          <t>Lagom - Strawberry Lime Fusion</t>
        </is>
      </c>
      <c r="B10" s="323" t="n">
        <v>860012530540</v>
      </c>
      <c r="C10" s="323" t="inlineStr">
        <is>
          <t>24 can case - 12 oz cans</t>
        </is>
      </c>
      <c r="D10" s="323" t="inlineStr">
        <is>
          <t>Seltzer</t>
        </is>
      </c>
      <c r="E10" s="323" t="inlineStr">
        <is>
          <t>Seltzer</t>
        </is>
      </c>
      <c r="F10" s="324" t="n">
        <v>72</v>
      </c>
      <c r="G10" s="324" t="n">
        <v>3</v>
      </c>
      <c r="H10" s="376" t="b">
        <v>1</v>
      </c>
    </row>
    <row r="11">
      <c r="A11" s="321" t="inlineStr">
        <is>
          <t>Lagom - Blackberry Breeze</t>
        </is>
      </c>
      <c r="B11" s="323" t="n">
        <v>860012530564</v>
      </c>
      <c r="C11" s="323" t="inlineStr">
        <is>
          <t>24 can case - 12 oz cans</t>
        </is>
      </c>
      <c r="D11" s="323" t="inlineStr">
        <is>
          <t>Seltzer</t>
        </is>
      </c>
      <c r="E11" s="323" t="inlineStr">
        <is>
          <t>Seltzer</t>
        </is>
      </c>
      <c r="F11" s="324" t="n">
        <v>72</v>
      </c>
      <c r="G11" s="324" t="n">
        <v>3</v>
      </c>
      <c r="H11" s="376" t="b">
        <v>1</v>
      </c>
    </row>
    <row r="12">
      <c r="A12" s="321" t="inlineStr">
        <is>
          <t>Lagom - Watermelon Refresher</t>
        </is>
      </c>
      <c r="B12" s="323" t="n">
        <v>860012530526</v>
      </c>
      <c r="C12" s="323" t="inlineStr">
        <is>
          <t>24 can case - 12 oz cans</t>
        </is>
      </c>
      <c r="D12" s="323" t="inlineStr">
        <is>
          <t>Seltzer</t>
        </is>
      </c>
      <c r="E12" s="323" t="inlineStr">
        <is>
          <t>Seltzer</t>
        </is>
      </c>
      <c r="F12" s="324" t="n">
        <v>72</v>
      </c>
      <c r="G12" s="324" t="n">
        <v>3</v>
      </c>
      <c r="H12" s="376" t="b">
        <v>1</v>
      </c>
    </row>
    <row r="13">
      <c r="A13" s="321" t="inlineStr">
        <is>
          <t>Lagom - Variety Pack</t>
        </is>
      </c>
      <c r="B13" s="323" t="n">
        <v>860012530588</v>
      </c>
      <c r="C13" s="323" t="inlineStr">
        <is>
          <t>24 can case - 12 oz cans</t>
        </is>
      </c>
      <c r="D13" s="323" t="inlineStr">
        <is>
          <t>Seltzer</t>
        </is>
      </c>
      <c r="E13" s="323" t="inlineStr">
        <is>
          <t>Seltzer</t>
        </is>
      </c>
      <c r="F13" s="324" t="n">
        <v>72</v>
      </c>
      <c r="G13" s="324" t="n">
        <v>3</v>
      </c>
      <c r="H13" s="376" t="b">
        <v>1</v>
      </c>
    </row>
    <row r="14">
      <c r="A14" s="321" t="inlineStr">
        <is>
          <t>Midnight Drift - Blueberry Yum Yum</t>
        </is>
      </c>
      <c r="B14" s="323" t="n">
        <v>792671159896</v>
      </c>
      <c r="C14" s="323" t="inlineStr">
        <is>
          <t>Case of 10</t>
        </is>
      </c>
      <c r="D14" s="323" t="inlineStr">
        <is>
          <t>Gummy</t>
        </is>
      </c>
      <c r="E14" s="323" t="inlineStr">
        <is>
          <t>Midnight Drift</t>
        </is>
      </c>
      <c r="F14" s="324" t="n">
        <v>80</v>
      </c>
      <c r="G14" s="324" t="n">
        <v>8</v>
      </c>
      <c r="H14" s="376" t="b">
        <v>1</v>
      </c>
    </row>
    <row r="15">
      <c r="A15" s="321" t="inlineStr">
        <is>
          <t>Midnight Drift - Strawberry</t>
        </is>
      </c>
      <c r="B15" s="323" t="n">
        <v>792671159872</v>
      </c>
      <c r="C15" s="323" t="inlineStr">
        <is>
          <t>Case of 10</t>
        </is>
      </c>
      <c r="D15" s="323" t="inlineStr">
        <is>
          <t>Gummy</t>
        </is>
      </c>
      <c r="E15" s="323" t="inlineStr">
        <is>
          <t>Midnight Drift</t>
        </is>
      </c>
      <c r="F15" s="324" t="n">
        <v>80</v>
      </c>
      <c r="G15" s="324" t="n">
        <v>8</v>
      </c>
      <c r="H15" s="376" t="b">
        <v>1</v>
      </c>
    </row>
    <row r="16">
      <c r="A16" s="321" t="inlineStr">
        <is>
          <t>Midnight Drift - Pink Lemonade</t>
        </is>
      </c>
      <c r="B16" s="323" t="n">
        <v>792671159902</v>
      </c>
      <c r="C16" s="323" t="inlineStr">
        <is>
          <t>Case of 10</t>
        </is>
      </c>
      <c r="D16" s="323" t="inlineStr">
        <is>
          <t>Gummy</t>
        </is>
      </c>
      <c r="E16" s="323" t="inlineStr">
        <is>
          <t>Midnight Drift</t>
        </is>
      </c>
      <c r="F16" s="324" t="n">
        <v>80</v>
      </c>
      <c r="G16" s="324" t="n">
        <v>8</v>
      </c>
      <c r="H16" s="376" t="b">
        <v>1</v>
      </c>
    </row>
    <row r="17">
      <c r="A17" s="321" t="inlineStr">
        <is>
          <t>Midnight Drift - Peach</t>
        </is>
      </c>
      <c r="B17" s="323" t="n">
        <v>792671159889</v>
      </c>
      <c r="C17" s="323" t="inlineStr">
        <is>
          <t>Case of 10</t>
        </is>
      </c>
      <c r="D17" s="323" t="inlineStr">
        <is>
          <t>Gummy</t>
        </is>
      </c>
      <c r="E17" s="323" t="inlineStr">
        <is>
          <t>Midnight Drift</t>
        </is>
      </c>
      <c r="F17" s="324" t="n">
        <v>80</v>
      </c>
      <c r="G17" s="324" t="n">
        <v>8</v>
      </c>
      <c r="H17" s="376" t="b">
        <v>1</v>
      </c>
    </row>
    <row r="18">
      <c r="A18" s="321" t="inlineStr">
        <is>
          <t>Organic Line - Blue Razz</t>
        </is>
      </c>
      <c r="B18" s="323" t="n">
        <v>860012530533</v>
      </c>
      <c r="C18" s="323" t="inlineStr">
        <is>
          <t>Case of 10</t>
        </is>
      </c>
      <c r="D18" s="323" t="inlineStr">
        <is>
          <t>Gummy</t>
        </is>
      </c>
      <c r="E18" s="323" t="inlineStr">
        <is>
          <t>Organic Line</t>
        </is>
      </c>
      <c r="F18" s="324" t="n">
        <v>81</v>
      </c>
      <c r="G18" s="324" t="n">
        <v>8.1</v>
      </c>
      <c r="H18" s="376" t="b">
        <v>1</v>
      </c>
    </row>
    <row r="19">
      <c r="A19" s="321" t="inlineStr">
        <is>
          <t>Organic Line - Berry Melon Bliss</t>
        </is>
      </c>
      <c r="B19" s="323" t="n">
        <v>860012530557</v>
      </c>
      <c r="C19" s="323" t="inlineStr">
        <is>
          <t>Case of 10</t>
        </is>
      </c>
      <c r="D19" s="323" t="inlineStr">
        <is>
          <t>Gummy</t>
        </is>
      </c>
      <c r="E19" s="323" t="inlineStr">
        <is>
          <t>Organic Line</t>
        </is>
      </c>
      <c r="F19" s="324" t="n">
        <v>81</v>
      </c>
      <c r="G19" s="324" t="n">
        <v>8.1</v>
      </c>
      <c r="H19" s="376" t="b">
        <v>1</v>
      </c>
    </row>
    <row r="20">
      <c r="A20" s="321" t="inlineStr">
        <is>
          <t>Organic Line - Cherry Bliss</t>
        </is>
      </c>
      <c r="B20" s="323" t="n">
        <v>860012530571</v>
      </c>
      <c r="C20" s="323" t="inlineStr">
        <is>
          <t>Case of 10</t>
        </is>
      </c>
      <c r="D20" s="323" t="inlineStr">
        <is>
          <t>Gummy</t>
        </is>
      </c>
      <c r="E20" s="323" t="inlineStr">
        <is>
          <t>Organic Line</t>
        </is>
      </c>
      <c r="F20" s="324" t="n">
        <v>81</v>
      </c>
      <c r="G20" s="324" t="n">
        <v>8.1</v>
      </c>
      <c r="H20" s="376" t="b">
        <v>1</v>
      </c>
    </row>
    <row r="21">
      <c r="A21" s="321" t="inlineStr">
        <is>
          <t>Organic Line - Push Pop</t>
        </is>
      </c>
      <c r="B21" s="323" t="n">
        <v>860012530595</v>
      </c>
      <c r="C21" s="323" t="inlineStr">
        <is>
          <t>Case of 10</t>
        </is>
      </c>
      <c r="D21" s="323" t="inlineStr">
        <is>
          <t>Gummy</t>
        </is>
      </c>
      <c r="E21" s="323" t="inlineStr">
        <is>
          <t>Organic Line</t>
        </is>
      </c>
      <c r="F21" s="324" t="n">
        <v>81</v>
      </c>
      <c r="G21" s="324" t="n">
        <v>8</v>
      </c>
      <c r="H21" s="376" t="b">
        <v>1</v>
      </c>
    </row>
    <row r="22">
      <c r="A22" s="321" t="inlineStr">
        <is>
          <t>The Drip - Blueberry Yum Yum</t>
        </is>
      </c>
      <c r="B22" s="323" t="n">
        <v>792671159919</v>
      </c>
      <c r="C22" s="323" t="inlineStr">
        <is>
          <t>Case of 10</t>
        </is>
      </c>
      <c r="D22" s="323" t="inlineStr">
        <is>
          <t>Gummy</t>
        </is>
      </c>
      <c r="E22" s="323" t="inlineStr">
        <is>
          <t>The Drip</t>
        </is>
      </c>
      <c r="F22" s="324" t="n">
        <v>70</v>
      </c>
      <c r="G22" s="324" t="n">
        <v>7</v>
      </c>
      <c r="H22" s="376" t="b">
        <v>1</v>
      </c>
    </row>
    <row r="23">
      <c r="A23" s="321" t="inlineStr">
        <is>
          <t>The Drip - Push Pop</t>
        </is>
      </c>
      <c r="B23" s="323" t="n">
        <v>792671159926</v>
      </c>
      <c r="C23" s="323" t="inlineStr">
        <is>
          <t>Case of 10</t>
        </is>
      </c>
      <c r="D23" s="323" t="inlineStr">
        <is>
          <t>Gummy</t>
        </is>
      </c>
      <c r="E23" s="323" t="inlineStr">
        <is>
          <t>The Drip</t>
        </is>
      </c>
      <c r="F23" s="324" t="n">
        <v>70</v>
      </c>
      <c r="G23" s="324" t="n">
        <v>7</v>
      </c>
      <c r="H23" s="376" t="b">
        <v>1</v>
      </c>
    </row>
    <row r="24">
      <c r="A24" s="321" t="inlineStr">
        <is>
          <t>The Drip - Green Apple</t>
        </is>
      </c>
      <c r="B24" s="323" t="n">
        <v>792671159933</v>
      </c>
      <c r="C24" s="323" t="inlineStr">
        <is>
          <t>Case of 10</t>
        </is>
      </c>
      <c r="D24" s="323" t="inlineStr">
        <is>
          <t>Gummy</t>
        </is>
      </c>
      <c r="E24" s="323" t="inlineStr">
        <is>
          <t>The Drip</t>
        </is>
      </c>
      <c r="F24" s="324" t="n">
        <v>70</v>
      </c>
      <c r="G24" s="324" t="n">
        <v>7</v>
      </c>
      <c r="H24" s="376" t="b">
        <v>1</v>
      </c>
    </row>
    <row r="25">
      <c r="A25" s="377" t="inlineStr">
        <is>
          <t>The Drip - Strawberry Banana</t>
        </is>
      </c>
      <c r="B25" s="378" t="n">
        <v>792671159940</v>
      </c>
      <c r="C25" s="378" t="inlineStr">
        <is>
          <t>Case of 10</t>
        </is>
      </c>
      <c r="D25" s="378" t="inlineStr">
        <is>
          <t>Gummy</t>
        </is>
      </c>
      <c r="E25" s="378" t="inlineStr">
        <is>
          <t>The Drip</t>
        </is>
      </c>
      <c r="F25" s="379" t="n">
        <v>70</v>
      </c>
      <c r="G25" s="379" t="n">
        <v>7</v>
      </c>
      <c r="H25" s="380" t="b">
        <v>1</v>
      </c>
    </row>
    <row r="26">
      <c r="A26" s="249" t="n"/>
      <c r="B26" s="249" t="n"/>
      <c r="C26" s="249" t="n"/>
      <c r="D26" s="249" t="n"/>
      <c r="E26" s="249" t="n"/>
      <c r="F26" s="381" t="n"/>
      <c r="G26" s="381" t="n"/>
      <c r="H26" s="249" t="n"/>
    </row>
    <row r="27">
      <c r="A27" s="249" t="n"/>
      <c r="B27" s="249" t="n"/>
      <c r="C27" s="249" t="n"/>
      <c r="D27" s="249" t="n"/>
      <c r="E27" s="249" t="n"/>
      <c r="F27" s="381" t="n"/>
      <c r="G27" s="381" t="n"/>
      <c r="H27" s="249" t="n"/>
    </row>
    <row r="28">
      <c r="A28" s="249" t="n"/>
      <c r="B28" s="249" t="n"/>
      <c r="C28" s="249" t="n"/>
      <c r="D28" s="249" t="n"/>
      <c r="E28" s="249" t="n"/>
      <c r="F28" s="381" t="n"/>
      <c r="G28" s="381" t="n"/>
      <c r="H28" s="249" t="n"/>
    </row>
    <row r="29">
      <c r="A29" s="249" t="n"/>
      <c r="B29" s="249" t="n"/>
      <c r="C29" s="249" t="n"/>
      <c r="D29" s="249" t="n"/>
      <c r="E29" s="249" t="n"/>
      <c r="F29" s="381" t="n"/>
      <c r="G29" s="381" t="n"/>
      <c r="H29" s="249" t="n"/>
    </row>
    <row r="30">
      <c r="A30" s="249" t="n"/>
      <c r="B30" s="249" t="n"/>
      <c r="C30" s="249" t="n"/>
      <c r="D30" s="249" t="n"/>
      <c r="E30" s="249" t="n"/>
      <c r="F30" s="381" t="n"/>
      <c r="G30" s="381" t="n"/>
      <c r="H30" s="249" t="n"/>
    </row>
    <row r="31">
      <c r="A31" s="249" t="n"/>
      <c r="B31" s="249" t="n"/>
      <c r="C31" s="249" t="n"/>
      <c r="D31" s="249" t="n"/>
      <c r="E31" s="249" t="n"/>
      <c r="F31" s="249" t="n"/>
      <c r="G31" s="249" t="n"/>
      <c r="H31" s="249" t="n"/>
    </row>
    <row r="32">
      <c r="A32" s="249" t="n"/>
      <c r="B32" s="249" t="n"/>
      <c r="C32" s="249" t="n"/>
      <c r="D32" s="249" t="n"/>
      <c r="E32" s="249" t="n"/>
      <c r="F32" s="249" t="n"/>
      <c r="G32" s="249" t="n"/>
      <c r="H32" s="249" t="n"/>
    </row>
    <row r="33" ht="22" customHeight="1" s="78">
      <c r="A33" s="302" t="inlineStr">
        <is>
          <t>Accounts</t>
        </is>
      </c>
      <c r="B33" s="303" t="n"/>
      <c r="C33" s="303" t="n"/>
      <c r="D33" s="303" t="n"/>
      <c r="E33" s="303" t="n"/>
      <c r="F33" s="303" t="n"/>
      <c r="G33" s="303" t="n"/>
      <c r="H33" s="303" t="n"/>
    </row>
    <row r="34">
      <c r="A34" s="249" t="n"/>
      <c r="B34" s="249" t="n"/>
      <c r="C34" s="249" t="n"/>
      <c r="D34" s="249" t="n"/>
      <c r="E34" s="249" t="n"/>
      <c r="F34" s="249" t="n"/>
      <c r="G34" s="249" t="n"/>
      <c r="H34" s="249" t="n"/>
    </row>
    <row r="35" ht="28" customHeight="1" s="78">
      <c r="A35" s="255" t="inlineStr">
        <is>
          <t>Account</t>
        </is>
      </c>
      <c r="B35" s="255" t="inlineStr">
        <is>
          <t>City</t>
        </is>
      </c>
      <c r="C35" s="255" t="inlineStr">
        <is>
          <t>Channel</t>
        </is>
      </c>
      <c r="D35" s="255" t="inlineStr">
        <is>
          <t>Active</t>
        </is>
      </c>
      <c r="E35" s="255" t="n"/>
      <c r="F35" s="255" t="n"/>
      <c r="G35" s="255" t="n"/>
      <c r="H35" s="255" t="n"/>
    </row>
    <row r="36">
      <c r="A36" s="372" t="inlineStr">
        <is>
          <t>Wayzata Smoke Shop &amp; Vape</t>
        </is>
      </c>
      <c r="B36" s="373" t="inlineStr">
        <is>
          <t>Wayzata</t>
        </is>
      </c>
      <c r="C36" s="373" t="inlineStr">
        <is>
          <t>Liquor Store</t>
        </is>
      </c>
      <c r="D36" s="375" t="b">
        <v>1</v>
      </c>
      <c r="E36" s="249" t="n"/>
      <c r="F36" s="249" t="n"/>
      <c r="G36" s="249" t="n"/>
      <c r="H36" s="249" t="n"/>
    </row>
    <row r="37">
      <c r="A37" s="321" t="inlineStr">
        <is>
          <t>Long Lake Orono Smoke Shop</t>
        </is>
      </c>
      <c r="B37" s="323" t="inlineStr">
        <is>
          <t>Long Lake</t>
        </is>
      </c>
      <c r="C37" s="323" t="inlineStr">
        <is>
          <t>Liquor Store</t>
        </is>
      </c>
      <c r="D37" s="376" t="b">
        <v>1</v>
      </c>
      <c r="E37" s="249" t="n"/>
      <c r="F37" s="249" t="n"/>
      <c r="G37" s="249" t="n"/>
      <c r="H37" s="249" t="n"/>
    </row>
    <row r="38">
      <c r="A38" s="205" t="n"/>
      <c r="B38" s="207" t="n"/>
      <c r="C38" s="207" t="n"/>
      <c r="D38" s="263" t="n"/>
      <c r="E38" s="249" t="n"/>
      <c r="F38" s="249" t="n"/>
      <c r="G38" s="249" t="n"/>
      <c r="H38" s="249" t="n"/>
    </row>
    <row r="39">
      <c r="A39" s="205" t="n"/>
      <c r="B39" s="207" t="n"/>
      <c r="C39" s="207" t="n"/>
      <c r="D39" s="263" t="n"/>
      <c r="E39" s="249" t="n"/>
      <c r="F39" s="249" t="n"/>
      <c r="G39" s="249" t="n"/>
      <c r="H39" s="249" t="n"/>
    </row>
    <row r="40">
      <c r="A40" s="205" t="n"/>
      <c r="B40" s="207" t="n"/>
      <c r="C40" s="207" t="n"/>
      <c r="D40" s="263" t="n"/>
      <c r="E40" s="249" t="n"/>
      <c r="F40" s="249" t="n"/>
      <c r="G40" s="249" t="n"/>
      <c r="H40" s="249" t="n"/>
    </row>
    <row r="41">
      <c r="A41" s="205" t="n"/>
      <c r="B41" s="207" t="n"/>
      <c r="C41" s="207" t="n"/>
      <c r="D41" s="263" t="n"/>
      <c r="E41" s="249" t="n"/>
      <c r="F41" s="249" t="n"/>
      <c r="G41" s="249" t="n"/>
      <c r="H41" s="249" t="n"/>
    </row>
    <row r="42">
      <c r="A42" s="205" t="n"/>
      <c r="B42" s="207" t="n"/>
      <c r="C42" s="207" t="n"/>
      <c r="D42" s="263" t="n"/>
      <c r="E42" s="249" t="n"/>
      <c r="F42" s="249" t="n"/>
      <c r="G42" s="249" t="n"/>
      <c r="H42" s="249" t="n"/>
    </row>
    <row r="43">
      <c r="A43" s="205" t="n"/>
      <c r="B43" s="207" t="n"/>
      <c r="C43" s="207" t="n"/>
      <c r="D43" s="263" t="n"/>
      <c r="E43" s="249" t="n"/>
      <c r="F43" s="249" t="n"/>
      <c r="G43" s="249" t="n"/>
      <c r="H43" s="249" t="n"/>
    </row>
    <row r="44">
      <c r="A44" s="205" t="n"/>
      <c r="B44" s="207" t="n"/>
      <c r="C44" s="207" t="n"/>
      <c r="D44" s="263" t="n"/>
      <c r="E44" s="249" t="n"/>
      <c r="F44" s="249" t="n"/>
      <c r="G44" s="249" t="n"/>
      <c r="H44" s="249" t="n"/>
    </row>
    <row r="45">
      <c r="A45" s="205" t="n"/>
      <c r="B45" s="207" t="n"/>
      <c r="C45" s="207" t="n"/>
      <c r="D45" s="263" t="n"/>
      <c r="E45" s="249" t="n"/>
      <c r="F45" s="249" t="n"/>
      <c r="G45" s="249" t="n"/>
      <c r="H45" s="249" t="n"/>
    </row>
    <row r="46">
      <c r="A46" s="205" t="n"/>
      <c r="B46" s="207" t="n"/>
      <c r="C46" s="207" t="n"/>
      <c r="D46" s="263" t="n"/>
      <c r="E46" s="249" t="n"/>
      <c r="F46" s="249" t="n"/>
      <c r="G46" s="249" t="n"/>
      <c r="H46" s="249" t="n"/>
    </row>
    <row r="47">
      <c r="A47" s="205" t="n"/>
      <c r="B47" s="207" t="n"/>
      <c r="C47" s="207" t="n"/>
      <c r="D47" s="263" t="n"/>
      <c r="E47" s="249" t="n"/>
      <c r="F47" s="249" t="n"/>
      <c r="G47" s="249" t="n"/>
      <c r="H47" s="249" t="n"/>
    </row>
    <row r="48">
      <c r="A48" s="205" t="n"/>
      <c r="B48" s="207" t="n"/>
      <c r="C48" s="207" t="n"/>
      <c r="D48" s="263" t="n"/>
      <c r="E48" s="249" t="n"/>
      <c r="F48" s="249" t="n"/>
      <c r="G48" s="249" t="n"/>
      <c r="H48" s="249" t="n"/>
    </row>
    <row r="49">
      <c r="A49" s="205" t="n"/>
      <c r="B49" s="207" t="n"/>
      <c r="C49" s="207" t="n"/>
      <c r="D49" s="263" t="n"/>
      <c r="E49" s="249" t="n"/>
      <c r="F49" s="249" t="n"/>
      <c r="G49" s="249" t="n"/>
      <c r="H49" s="249" t="n"/>
    </row>
    <row r="50">
      <c r="A50" s="215" t="n"/>
      <c r="B50" s="217" t="n"/>
      <c r="C50" s="217" t="n"/>
      <c r="D50" s="264" t="n"/>
      <c r="E50" s="249" t="n"/>
      <c r="F50" s="249" t="n"/>
      <c r="G50" s="249" t="n"/>
      <c r="H50" s="249" t="n"/>
    </row>
    <row r="51">
      <c r="A51" s="249" t="n"/>
      <c r="B51" s="249" t="n"/>
      <c r="C51" s="249" t="n"/>
      <c r="D51" s="249" t="n"/>
      <c r="E51" s="249" t="n"/>
      <c r="F51" s="249" t="n"/>
      <c r="G51" s="249" t="n"/>
      <c r="H51" s="249" t="n"/>
    </row>
    <row r="52">
      <c r="A52" s="249" t="n"/>
      <c r="B52" s="249" t="n"/>
      <c r="C52" s="249" t="n"/>
      <c r="D52" s="249" t="n"/>
      <c r="E52" s="249" t="n"/>
      <c r="F52" s="249" t="n"/>
      <c r="G52" s="249" t="n"/>
      <c r="H52" s="249" t="n"/>
    </row>
    <row r="53" ht="22" customHeight="1" s="78">
      <c r="A53" s="302" t="inlineStr">
        <is>
          <t>Sales Reps</t>
        </is>
      </c>
      <c r="B53" s="303" t="n"/>
      <c r="C53" s="303" t="n"/>
      <c r="D53" s="303" t="n"/>
      <c r="E53" s="303" t="n"/>
      <c r="F53" s="303" t="n"/>
      <c r="G53" s="303" t="n"/>
      <c r="H53" s="303" t="n"/>
    </row>
    <row r="54">
      <c r="A54" s="249" t="n"/>
      <c r="B54" s="249" t="n"/>
      <c r="C54" s="249" t="n"/>
      <c r="D54" s="249" t="n"/>
      <c r="E54" s="249" t="n"/>
      <c r="F54" s="249" t="n"/>
      <c r="G54" s="249" t="n"/>
      <c r="H54" s="249" t="n"/>
    </row>
    <row r="55" ht="28" customHeight="1" s="78">
      <c r="A55" s="255" t="inlineStr">
        <is>
          <t>Rep</t>
        </is>
      </c>
      <c r="B55" s="255" t="inlineStr">
        <is>
          <t>New Rate</t>
        </is>
      </c>
      <c r="C55" s="255" t="inlineStr">
        <is>
          <t>Reorder Rate</t>
        </is>
      </c>
      <c r="D55" s="255" t="inlineStr">
        <is>
          <t>Mileage Rate</t>
        </is>
      </c>
      <c r="E55" s="255" t="inlineStr">
        <is>
          <t>Bonus Threshold</t>
        </is>
      </c>
      <c r="F55" s="255" t="inlineStr">
        <is>
          <t>Bonus Rule / Status</t>
        </is>
      </c>
      <c r="G55" s="255" t="inlineStr">
        <is>
          <t>Active</t>
        </is>
      </c>
      <c r="H55" s="255" t="n"/>
    </row>
    <row r="56">
      <c r="A56" s="372" t="inlineStr">
        <is>
          <t>Roman</t>
        </is>
      </c>
      <c r="B56" s="382" t="n">
        <v>0.2</v>
      </c>
      <c r="C56" s="382" t="n">
        <v>0.1</v>
      </c>
      <c r="D56" s="383" t="n">
        <v>0.55</v>
      </c>
      <c r="E56" s="384" t="n"/>
      <c r="F56" s="373" t="inlineStr">
        <is>
          <t>None in export</t>
        </is>
      </c>
      <c r="G56" s="375" t="b">
        <v>1</v>
      </c>
      <c r="H56" s="249" t="n"/>
    </row>
    <row r="57">
      <c r="A57" s="321" t="inlineStr">
        <is>
          <t>Jess</t>
        </is>
      </c>
      <c r="B57" s="385" t="n">
        <v>0.12</v>
      </c>
      <c r="C57" s="385" t="n">
        <v>0.05</v>
      </c>
      <c r="D57" s="386" t="n">
        <v>0</v>
      </c>
      <c r="E57" s="324" t="n">
        <v>10000</v>
      </c>
      <c r="F57" s="323" t="inlineStr">
        <is>
          <t>Legacy note: 3% bonus over $10k; excluded pending confirmation.</t>
        </is>
      </c>
      <c r="G57" s="376" t="b">
        <v>1</v>
      </c>
      <c r="H57" s="249" t="n"/>
    </row>
    <row r="58">
      <c r="A58" s="321" t="inlineStr">
        <is>
          <t>Timmy</t>
        </is>
      </c>
      <c r="B58" s="385" t="n">
        <v>0</v>
      </c>
      <c r="C58" s="385" t="n">
        <v>0</v>
      </c>
      <c r="D58" s="386" t="n">
        <v>0</v>
      </c>
      <c r="E58" s="332" t="n"/>
      <c r="F58" s="323" t="inlineStr">
        <is>
          <t>None in export</t>
        </is>
      </c>
      <c r="G58" s="376" t="b">
        <v>1</v>
      </c>
      <c r="H58" s="249" t="n"/>
    </row>
    <row r="59">
      <c r="A59" s="321" t="inlineStr">
        <is>
          <t>Tito</t>
        </is>
      </c>
      <c r="B59" s="385" t="n">
        <v>0</v>
      </c>
      <c r="C59" s="385" t="n">
        <v>0</v>
      </c>
      <c r="D59" s="386" t="n">
        <v>0</v>
      </c>
      <c r="E59" s="332" t="n"/>
      <c r="F59" s="323" t="inlineStr">
        <is>
          <t>None in export</t>
        </is>
      </c>
      <c r="G59" s="376" t="b">
        <v>1</v>
      </c>
      <c r="H59" s="249" t="n"/>
    </row>
    <row r="60">
      <c r="A60" s="205" t="n"/>
      <c r="B60" s="387" t="n"/>
      <c r="C60" s="387" t="n"/>
      <c r="D60" s="388" t="n"/>
      <c r="E60" s="332" t="n"/>
      <c r="F60" s="207" t="n"/>
      <c r="G60" s="263" t="n"/>
      <c r="H60" s="249" t="n"/>
    </row>
    <row r="61">
      <c r="A61" s="205" t="n"/>
      <c r="B61" s="387" t="n"/>
      <c r="C61" s="387" t="n"/>
      <c r="D61" s="388" t="n"/>
      <c r="E61" s="332" t="n"/>
      <c r="F61" s="207" t="n"/>
      <c r="G61" s="263" t="n"/>
      <c r="H61" s="249" t="n"/>
    </row>
    <row r="62">
      <c r="A62" s="205" t="n"/>
      <c r="B62" s="387" t="n"/>
      <c r="C62" s="387" t="n"/>
      <c r="D62" s="388" t="n"/>
      <c r="E62" s="332" t="n"/>
      <c r="F62" s="207" t="n"/>
      <c r="G62" s="263" t="n"/>
      <c r="H62" s="249" t="n"/>
    </row>
    <row r="63">
      <c r="A63" s="205" t="n"/>
      <c r="B63" s="387" t="n"/>
      <c r="C63" s="387" t="n"/>
      <c r="D63" s="388" t="n"/>
      <c r="E63" s="332" t="n"/>
      <c r="F63" s="207" t="n"/>
      <c r="G63" s="263" t="n"/>
      <c r="H63" s="249" t="n"/>
    </row>
    <row r="64">
      <c r="A64" s="205" t="n"/>
      <c r="B64" s="387" t="n"/>
      <c r="C64" s="387" t="n"/>
      <c r="D64" s="388" t="n"/>
      <c r="E64" s="332" t="n"/>
      <c r="F64" s="207" t="n"/>
      <c r="G64" s="263" t="n"/>
      <c r="H64" s="249" t="n"/>
    </row>
    <row r="65">
      <c r="A65" s="205" t="n"/>
      <c r="B65" s="387" t="n"/>
      <c r="C65" s="387" t="n"/>
      <c r="D65" s="388" t="n"/>
      <c r="E65" s="332" t="n"/>
      <c r="F65" s="207" t="n"/>
      <c r="G65" s="263" t="n"/>
      <c r="H65" s="249" t="n"/>
    </row>
    <row r="66">
      <c r="A66" s="215" t="n"/>
      <c r="B66" s="389" t="n"/>
      <c r="C66" s="389" t="n"/>
      <c r="D66" s="390" t="n"/>
      <c r="E66" s="334" t="n"/>
      <c r="F66" s="217" t="n"/>
      <c r="G66" s="264" t="n"/>
      <c r="H66" s="249" t="n"/>
    </row>
    <row r="67">
      <c r="A67" s="249" t="n"/>
      <c r="B67" s="249" t="n"/>
      <c r="C67" s="249" t="n"/>
      <c r="D67" s="249" t="n"/>
      <c r="E67" s="249" t="n"/>
      <c r="F67" s="249" t="n"/>
      <c r="G67" s="249" t="n"/>
      <c r="H67" s="249" t="n"/>
    </row>
    <row r="68">
      <c r="A68" s="249" t="n"/>
      <c r="B68" s="249" t="n"/>
      <c r="C68" s="249" t="n"/>
      <c r="D68" s="249" t="n"/>
      <c r="E68" s="249" t="n"/>
      <c r="F68" s="249" t="n"/>
      <c r="G68" s="249" t="n"/>
      <c r="H68" s="249" t="n"/>
    </row>
    <row r="69" ht="22" customHeight="1" s="78">
      <c r="A69" s="302" t="inlineStr">
        <is>
          <t>Account Types</t>
        </is>
      </c>
      <c r="B69" s="303" t="n"/>
      <c r="C69" s="303" t="n"/>
      <c r="D69" s="303" t="n"/>
      <c r="E69" s="303" t="n"/>
      <c r="F69" s="303" t="n"/>
      <c r="G69" s="303" t="n"/>
      <c r="H69" s="303" t="n"/>
    </row>
    <row r="70" ht="24" customHeight="1" s="78">
      <c r="A70" s="143" t="n"/>
      <c r="B70" s="143" t="n"/>
      <c r="C70" s="143" t="n"/>
      <c r="D70" s="143" t="n"/>
      <c r="E70" s="143" t="n"/>
      <c r="F70" s="143" t="n"/>
      <c r="G70" s="143" t="n"/>
      <c r="H70" s="143" t="n"/>
    </row>
    <row r="71" ht="22" customHeight="1" s="78">
      <c r="A71" s="87" t="inlineStr">
        <is>
          <t>Account Type</t>
        </is>
      </c>
      <c r="B71" s="87" t="inlineStr">
        <is>
          <t>Active</t>
        </is>
      </c>
      <c r="C71" s="249" t="n"/>
      <c r="D71" s="249" t="n"/>
      <c r="E71" s="249" t="n"/>
      <c r="F71" s="249" t="n"/>
      <c r="G71" s="249" t="n"/>
      <c r="H71" s="249" t="n"/>
    </row>
    <row r="72" ht="28" customHeight="1" s="78">
      <c r="A72" s="255" t="inlineStr">
        <is>
          <t>New</t>
        </is>
      </c>
      <c r="B72" s="255" t="b">
        <v>1</v>
      </c>
      <c r="C72" s="255" t="n"/>
      <c r="D72" s="255" t="n"/>
      <c r="E72" s="255" t="n"/>
      <c r="F72" s="255" t="n"/>
      <c r="G72" s="255" t="n"/>
      <c r="H72" s="255" t="n"/>
    </row>
    <row r="73">
      <c r="A73" s="372" t="inlineStr">
        <is>
          <t>Reorder</t>
        </is>
      </c>
      <c r="B73" s="375" t="b">
        <v>1</v>
      </c>
      <c r="C73" s="249" t="n"/>
      <c r="D73" s="249" t="n"/>
      <c r="E73" s="249" t="n"/>
      <c r="F73" s="249" t="n"/>
      <c r="G73" s="249" t="n"/>
      <c r="H73" s="249" t="n"/>
    </row>
    <row r="74">
      <c r="A74" s="205" t="n"/>
      <c r="B74" s="263" t="n"/>
      <c r="C74" s="249" t="n"/>
      <c r="D74" s="249" t="n"/>
      <c r="E74" s="249" t="n"/>
      <c r="F74" s="249" t="n"/>
      <c r="G74" s="249" t="n"/>
      <c r="H74" s="249" t="n"/>
    </row>
    <row r="75">
      <c r="A75" s="205" t="n"/>
      <c r="B75" s="263" t="n"/>
      <c r="C75" s="249" t="n"/>
      <c r="D75" s="249" t="n"/>
      <c r="E75" s="249" t="n"/>
      <c r="F75" s="249" t="n"/>
      <c r="G75" s="249" t="n"/>
      <c r="H75" s="249" t="n"/>
    </row>
    <row r="76">
      <c r="A76" s="205" t="n"/>
      <c r="B76" s="263" t="n"/>
      <c r="C76" s="249" t="n"/>
      <c r="D76" s="249" t="n"/>
      <c r="E76" s="249" t="n"/>
      <c r="F76" s="249" t="n"/>
      <c r="G76" s="249" t="n"/>
      <c r="H76" s="249" t="n"/>
    </row>
    <row r="77">
      <c r="A77" s="205" t="n"/>
      <c r="B77" s="263" t="n"/>
      <c r="C77" s="249" t="n"/>
      <c r="D77" s="249" t="n"/>
      <c r="E77" s="249" t="n"/>
      <c r="F77" s="249" t="n"/>
      <c r="G77" s="249" t="n"/>
      <c r="H77" s="249" t="n"/>
    </row>
    <row r="78">
      <c r="A78" s="215" t="n"/>
      <c r="B78" s="264" t="n"/>
      <c r="C78" s="249" t="n"/>
      <c r="D78" s="249" t="n"/>
      <c r="E78" s="249" t="n"/>
      <c r="F78" s="249" t="n"/>
      <c r="G78" s="249" t="n"/>
      <c r="H78" s="249" t="n"/>
    </row>
    <row r="79" ht="22" customHeight="1" s="78">
      <c r="A79" s="302" t="inlineStr">
        <is>
          <t>Payment Terms</t>
        </is>
      </c>
      <c r="B79" s="303" t="n"/>
      <c r="C79" s="303" t="n"/>
      <c r="D79" s="303" t="n"/>
      <c r="E79" s="303" t="n"/>
      <c r="F79" s="303" t="n"/>
      <c r="G79" s="303" t="n"/>
      <c r="H79" s="303" t="n"/>
    </row>
    <row r="80" ht="24" customHeight="1" s="78">
      <c r="A80" s="143" t="n"/>
      <c r="B80" s="143" t="n"/>
      <c r="C80" s="143" t="n"/>
      <c r="D80" s="143" t="n"/>
      <c r="E80" s="143" t="n"/>
      <c r="F80" s="143" t="n"/>
      <c r="G80" s="143" t="n"/>
      <c r="H80" s="143" t="n"/>
    </row>
    <row r="81" ht="22" customHeight="1" s="78">
      <c r="A81" s="87" t="inlineStr">
        <is>
          <t>Term</t>
        </is>
      </c>
      <c r="B81" s="87" t="inlineStr">
        <is>
          <t>Days</t>
        </is>
      </c>
      <c r="C81" s="249" t="n"/>
      <c r="D81" s="249" t="n"/>
      <c r="E81" s="249" t="n"/>
      <c r="F81" s="249" t="n"/>
      <c r="G81" s="249" t="n"/>
      <c r="H81" s="249" t="n"/>
    </row>
    <row r="82" ht="28" customHeight="1" s="78">
      <c r="A82" s="255" t="inlineStr">
        <is>
          <t>Due on receipt</t>
        </is>
      </c>
      <c r="B82" s="255" t="n">
        <v>0</v>
      </c>
      <c r="C82" s="255" t="n"/>
      <c r="D82" s="255" t="n"/>
      <c r="E82" s="255" t="n"/>
      <c r="F82" s="255" t="n"/>
      <c r="G82" s="255" t="n"/>
      <c r="H82" s="255" t="n"/>
    </row>
    <row r="83">
      <c r="A83" s="372" t="inlineStr">
        <is>
          <t>Net 15</t>
        </is>
      </c>
      <c r="B83" s="375" t="n">
        <v>15</v>
      </c>
      <c r="C83" s="249" t="n"/>
      <c r="D83" s="249" t="n"/>
      <c r="E83" s="249" t="n"/>
      <c r="F83" s="249" t="n"/>
      <c r="G83" s="249" t="n"/>
      <c r="H83" s="249" t="n"/>
    </row>
    <row r="84">
      <c r="A84" s="321" t="inlineStr">
        <is>
          <t>Net 30</t>
        </is>
      </c>
      <c r="B84" s="376" t="n">
        <v>30</v>
      </c>
      <c r="C84" s="249" t="n"/>
      <c r="D84" s="249" t="n"/>
      <c r="E84" s="249" t="n"/>
      <c r="F84" s="249" t="n"/>
      <c r="G84" s="249" t="n"/>
      <c r="H84" s="249" t="n"/>
    </row>
    <row r="85">
      <c r="A85" s="321" t="inlineStr">
        <is>
          <t>Net 45</t>
        </is>
      </c>
      <c r="B85" s="376" t="n">
        <v>45</v>
      </c>
      <c r="C85" s="249" t="n"/>
      <c r="D85" s="249" t="n"/>
      <c r="E85" s="249" t="n"/>
      <c r="F85" s="249" t="n"/>
      <c r="G85" s="249" t="n"/>
      <c r="H85" s="249" t="n"/>
    </row>
    <row r="86">
      <c r="A86" s="205" t="n"/>
      <c r="B86" s="263" t="n"/>
      <c r="C86" s="249" t="n"/>
      <c r="D86" s="249" t="n"/>
      <c r="E86" s="249" t="n"/>
      <c r="F86" s="249" t="n"/>
      <c r="G86" s="249" t="n"/>
      <c r="H86" s="249" t="n"/>
    </row>
    <row r="87">
      <c r="A87" s="205" t="n"/>
      <c r="B87" s="263" t="n"/>
      <c r="C87" s="249" t="n"/>
      <c r="D87" s="249" t="n"/>
      <c r="E87" s="249" t="n"/>
      <c r="F87" s="249" t="n"/>
      <c r="G87" s="249" t="n"/>
      <c r="H87" s="249" t="n"/>
    </row>
    <row r="88">
      <c r="A88" s="215" t="n"/>
      <c r="B88" s="264" t="n"/>
      <c r="C88" s="249" t="n"/>
      <c r="D88" s="249" t="n"/>
      <c r="E88" s="249" t="n"/>
      <c r="F88" s="249" t="n"/>
      <c r="G88" s="249" t="n"/>
      <c r="H88" s="249" t="n"/>
    </row>
    <row r="89">
      <c r="A89" s="249" t="n"/>
      <c r="B89" s="249" t="n"/>
      <c r="C89" s="249" t="n"/>
      <c r="D89" s="249" t="n"/>
      <c r="E89" s="249" t="n"/>
      <c r="F89" s="249" t="n"/>
      <c r="G89" s="249" t="n"/>
      <c r="H89" s="249" t="n"/>
    </row>
    <row r="90">
      <c r="A90" s="249" t="n"/>
      <c r="B90" s="249" t="n"/>
      <c r="C90" s="249" t="n"/>
      <c r="D90" s="249" t="n"/>
      <c r="E90" s="249" t="n"/>
      <c r="F90" s="249" t="n"/>
      <c r="G90" s="249" t="n"/>
      <c r="H90" s="249" t="n"/>
    </row>
    <row r="91" ht="22" customHeight="1" s="78">
      <c r="A91" s="302" t="inlineStr">
        <is>
          <t>Workbook Settings</t>
        </is>
      </c>
      <c r="B91" s="303" t="n"/>
      <c r="C91" s="303" t="n"/>
      <c r="D91" s="303" t="n"/>
      <c r="E91" s="303" t="n"/>
      <c r="F91" s="303" t="n"/>
      <c r="G91" s="303" t="n"/>
      <c r="H91" s="303" t="n"/>
    </row>
    <row r="92">
      <c r="A92" s="249" t="n"/>
      <c r="B92" s="249" t="n"/>
      <c r="C92" s="249" t="n"/>
      <c r="D92" s="249" t="n"/>
      <c r="E92" s="249" t="n"/>
      <c r="F92" s="249" t="n"/>
      <c r="G92" s="249" t="n"/>
      <c r="H92" s="249" t="n"/>
    </row>
    <row r="93" ht="28" customHeight="1" s="78">
      <c r="A93" s="255" t="inlineStr">
        <is>
          <t>Setting</t>
        </is>
      </c>
      <c r="B93" s="255" t="inlineStr">
        <is>
          <t>Value</t>
        </is>
      </c>
      <c r="C93" s="255" t="inlineStr">
        <is>
          <t>Use</t>
        </is>
      </c>
      <c r="D93" s="255" t="n"/>
      <c r="E93" s="255" t="n"/>
      <c r="F93" s="255" t="n"/>
      <c r="G93" s="255" t="n"/>
      <c r="H93" s="255" t="n"/>
    </row>
    <row r="94">
      <c r="A94" s="372" t="inlineStr">
        <is>
          <t>Default Terms</t>
        </is>
      </c>
      <c r="B94" s="258" t="str"/>
      <c r="C94" s="375" t="inlineStr">
        <is>
          <t>Optional default used by New Invoice</t>
        </is>
      </c>
      <c r="D94" s="249" t="n"/>
      <c r="E94" s="249" t="n"/>
      <c r="F94" s="249" t="n"/>
      <c r="G94" s="249" t="n"/>
      <c r="H94" s="249" t="n"/>
    </row>
    <row r="95">
      <c r="A95" s="321" t="inlineStr">
        <is>
          <t>Invoice Prefix</t>
        </is>
      </c>
      <c r="B95" s="207" t="str"/>
      <c r="C95" s="376" t="inlineStr">
        <is>
          <t>Optional prefix for generated invoice numbers</t>
        </is>
      </c>
      <c r="D95" s="249" t="n"/>
      <c r="E95" s="249" t="n"/>
      <c r="F95" s="249" t="n"/>
      <c r="G95" s="249" t="n"/>
      <c r="H95" s="249" t="n"/>
    </row>
    <row r="96">
      <c r="A96" s="377" t="inlineStr">
        <is>
          <t>Allow Overpayment</t>
        </is>
      </c>
      <c r="B96" s="217" t="str"/>
      <c r="C96" s="380" t="inlineStr">
        <is>
          <t>Leave blank or FALSE unless ownership explicitly allows it</t>
        </is>
      </c>
      <c r="D96" s="249" t="n"/>
      <c r="E96" s="249" t="n"/>
      <c r="F96" s="249" t="n"/>
      <c r="G96" s="249" t="n"/>
      <c r="H96" s="249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</row>
  </sheetData>
  <mergeCells count="9">
    <mergeCell ref="C2:H2"/>
    <mergeCell ref="A53:H53"/>
    <mergeCell ref="A69:H69"/>
    <mergeCell ref="A91:H91"/>
    <mergeCell ref="A1:B2"/>
    <mergeCell ref="A33:H33"/>
    <mergeCell ref="A79:H79"/>
    <mergeCell ref="A6:H6"/>
    <mergeCell ref="C1:H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style="78" min="1" max="1"/>
    <col width="22" customWidth="1" style="78" min="2" max="2"/>
    <col width="22" customWidth="1" style="78" min="3" max="3"/>
    <col width="65" customWidth="1" style="78" min="4" max="4"/>
    <col width="16" customWidth="1" style="78" min="5" max="5"/>
    <col width="16" customWidth="1" style="78" min="6" max="6"/>
    <col width="16" customWidth="1" style="78" min="7" max="7"/>
    <col width="16" customWidth="1" style="78" min="8" max="8"/>
  </cols>
  <sheetData>
    <row r="1" ht="30" customHeight="1" s="78">
      <c r="A1" s="293" t="n"/>
      <c r="B1" s="293" t="n"/>
      <c r="C1" s="294" t="inlineStr">
        <is>
          <t>WORKBOOK GUIDE</t>
        </is>
      </c>
      <c r="D1" s="295" t="n"/>
      <c r="E1" s="295" t="n"/>
      <c r="F1" s="295" t="n"/>
      <c r="G1" s="295" t="n"/>
      <c r="H1" s="295" t="n"/>
    </row>
    <row r="2" ht="24" customHeight="1" s="78">
      <c r="A2" s="293" t="n"/>
      <c r="B2" s="293" t="n"/>
      <c r="C2" s="296" t="inlineStr">
        <is>
          <t>Short operating instructions for everyday use.</t>
        </is>
      </c>
      <c r="D2" s="295" t="n"/>
      <c r="E2" s="295" t="n"/>
      <c r="F2" s="295" t="n"/>
      <c r="G2" s="295" t="n"/>
      <c r="H2" s="295" t="n"/>
    </row>
    <row r="3" ht="8" customHeight="1" s="78">
      <c r="A3" s="249" t="n"/>
      <c r="B3" s="249" t="n"/>
      <c r="C3" s="249" t="n"/>
      <c r="D3" s="249" t="n"/>
      <c r="E3" s="23" t="n"/>
      <c r="F3" s="23" t="n"/>
      <c r="G3" s="23" t="n"/>
      <c r="H3" s="23" t="n"/>
    </row>
    <row r="4">
      <c r="A4" s="249" t="n"/>
      <c r="B4" s="249" t="n"/>
      <c r="C4" s="249" t="n"/>
      <c r="D4" s="249" t="n"/>
      <c r="E4" s="23" t="n"/>
      <c r="F4" s="23" t="n"/>
      <c r="G4" s="23" t="n"/>
      <c r="H4" s="23" t="n"/>
    </row>
    <row r="5">
      <c r="A5" s="249" t="n"/>
      <c r="B5" s="249" t="n"/>
      <c r="C5" s="249" t="n"/>
      <c r="D5" s="249" t="n"/>
      <c r="E5" s="23" t="n"/>
      <c r="F5" s="23" t="n"/>
      <c r="G5" s="23" t="n"/>
      <c r="H5" s="23" t="n"/>
    </row>
    <row r="6" ht="22" customHeight="1" s="78">
      <c r="A6" s="302" t="inlineStr">
        <is>
          <t>START HERE</t>
        </is>
      </c>
      <c r="B6" s="303" t="n"/>
      <c r="C6" s="303" t="n"/>
      <c r="D6" s="303" t="n"/>
      <c r="E6" s="303" t="n"/>
      <c r="F6" s="303" t="n"/>
      <c r="G6" s="303" t="n"/>
      <c r="H6" s="303" t="n"/>
    </row>
    <row r="7">
      <c r="A7" s="249" t="n"/>
      <c r="B7" s="249" t="n"/>
      <c r="C7" s="249" t="n"/>
      <c r="D7" s="249" t="n"/>
      <c r="E7" s="23" t="n"/>
      <c r="F7" s="23" t="n"/>
      <c r="G7" s="23" t="n"/>
      <c r="H7" s="23" t="n"/>
    </row>
    <row r="8" ht="30" customHeight="1" s="78">
      <c r="A8" s="391" t="inlineStr">
        <is>
          <t>1. Maintain Products, Accounts, Sales Reps, Account Types and Payment Terms in Setup.</t>
        </is>
      </c>
    </row>
    <row r="9" ht="30" customHeight="1" s="78">
      <c r="A9" s="284" t="n"/>
      <c r="B9" s="285" t="n"/>
      <c r="C9" s="285" t="n"/>
      <c r="D9" s="286" t="n"/>
      <c r="E9" s="23" t="n"/>
      <c r="F9" s="23" t="n"/>
      <c r="G9" s="23" t="n"/>
      <c r="H9" s="23" t="n"/>
    </row>
    <row r="10" ht="30" customHeight="1" s="78">
      <c r="A10" s="391" t="inlineStr">
        <is>
          <t>2. Add invoices in Invoices. Enter only the cream input cells.</t>
        </is>
      </c>
    </row>
    <row r="11" ht="30" customHeight="1" s="78">
      <c r="A11" s="284" t="n"/>
      <c r="B11" s="285" t="n"/>
      <c r="C11" s="285" t="n"/>
      <c r="D11" s="286" t="n"/>
      <c r="E11" s="23" t="n"/>
      <c r="F11" s="23" t="n"/>
      <c r="G11" s="23" t="n"/>
      <c r="H11" s="23" t="n"/>
    </row>
    <row r="12" ht="30" customHeight="1" s="78">
      <c r="A12" s="391" t="inlineStr">
        <is>
          <t>3. Add product lines in Depletion. Revenue, cost, profit and invoice context calculate automatically.</t>
        </is>
      </c>
    </row>
    <row r="13" ht="30" customHeight="1" s="78">
      <c r="A13" s="284" t="n"/>
      <c r="B13" s="285" t="n"/>
      <c r="C13" s="285" t="n"/>
      <c r="D13" s="286" t="n"/>
      <c r="E13" s="23" t="n"/>
      <c r="F13" s="23" t="n"/>
      <c r="G13" s="23" t="n"/>
      <c r="H13" s="23" t="n"/>
    </row>
    <row r="14" ht="30" customHeight="1" s="78">
      <c r="A14" s="391" t="inlineStr">
        <is>
          <t>4. Record payments with Lagom → Record Payment, or update Amount Paid / Payment Date in Invoices.</t>
        </is>
      </c>
    </row>
    <row r="15" ht="30" customHeight="1" s="78">
      <c r="A15" s="284" t="n"/>
      <c r="B15" s="285" t="n"/>
      <c r="C15" s="285" t="n"/>
      <c r="D15" s="286" t="n"/>
      <c r="E15" s="23" t="n"/>
      <c r="F15" s="23" t="n"/>
      <c r="G15" s="23" t="n"/>
      <c r="H15" s="23" t="n"/>
    </row>
    <row r="16" ht="30" customHeight="1" s="78">
      <c r="A16" s="391" t="inlineStr">
        <is>
          <t>5. Use AR for outstanding balances, Reports for analysis, and Commissions for payment-based commission review.</t>
        </is>
      </c>
    </row>
    <row r="17">
      <c r="A17" s="249" t="n"/>
      <c r="B17" s="249" t="n"/>
      <c r="C17" s="249" t="n"/>
      <c r="D17" s="249" t="n"/>
      <c r="E17" s="23" t="n"/>
      <c r="F17" s="23" t="n"/>
      <c r="G17" s="23" t="n"/>
      <c r="H17" s="23" t="n"/>
    </row>
    <row r="18">
      <c r="A18" s="249" t="n"/>
      <c r="B18" s="249" t="n"/>
      <c r="C18" s="249" t="n"/>
      <c r="D18" s="249" t="n"/>
      <c r="E18" s="23" t="n"/>
      <c r="F18" s="23" t="n"/>
      <c r="G18" s="23" t="n"/>
      <c r="H18" s="23" t="n"/>
    </row>
    <row r="19" ht="22" customHeight="1" s="78">
      <c r="A19" s="302" t="inlineStr">
        <is>
          <t>AUTOMATION</t>
        </is>
      </c>
      <c r="B19" s="303" t="n"/>
      <c r="C19" s="303" t="n"/>
      <c r="D19" s="303" t="n"/>
      <c r="E19" s="303" t="n"/>
      <c r="F19" s="303" t="n"/>
      <c r="G19" s="303" t="n"/>
      <c r="H19" s="303" t="n"/>
    </row>
    <row r="20">
      <c r="A20" s="249" t="n"/>
      <c r="B20" s="249" t="n"/>
      <c r="C20" s="249" t="n"/>
      <c r="D20" s="249" t="n"/>
      <c r="E20" s="23" t="n"/>
      <c r="F20" s="23" t="n"/>
      <c r="G20" s="23" t="n"/>
      <c r="H20" s="23" t="n"/>
    </row>
    <row r="21" ht="30" customHeight="1" s="78">
      <c r="A21" s="391" t="inlineStr">
        <is>
          <t>New Invoice — moves to the next invoice entry row and ensures formulas / validation are ready.</t>
        </is>
      </c>
    </row>
    <row r="22" ht="30" customHeight="1" s="78">
      <c r="A22" s="284" t="n"/>
      <c r="B22" s="285" t="n"/>
      <c r="C22" s="285" t="n"/>
      <c r="D22" s="286" t="n"/>
      <c r="E22" s="23" t="n"/>
      <c r="F22" s="23" t="n"/>
      <c r="G22" s="23" t="n"/>
      <c r="H22" s="23" t="n"/>
    </row>
    <row r="23" ht="30" customHeight="1" s="78">
      <c r="A23" s="391" t="inlineStr">
        <is>
          <t>Record Payment — validates invoice, amount and date before updating payment fields.</t>
        </is>
      </c>
    </row>
    <row r="24" ht="30" customHeight="1" s="78">
      <c r="A24" s="284" t="n"/>
      <c r="B24" s="285" t="n"/>
      <c r="C24" s="285" t="n"/>
      <c r="D24" s="286" t="n"/>
      <c r="E24" s="23" t="n"/>
      <c r="F24" s="23" t="n"/>
      <c r="G24" s="23" t="n"/>
      <c r="H24" s="23" t="n"/>
    </row>
    <row r="25" ht="30" customHeight="1" s="78">
      <c r="A25" s="391" t="inlineStr">
        <is>
          <t>Import Depletion — validates pasted rows and imports valid lines without a permanent staging sheet.</t>
        </is>
      </c>
    </row>
    <row r="26" ht="30" customHeight="1" s="78">
      <c r="A26" s="284" t="n"/>
      <c r="B26" s="285" t="n"/>
      <c r="C26" s="285" t="n"/>
      <c r="D26" s="286" t="n"/>
      <c r="E26" s="23" t="n"/>
      <c r="F26" s="23" t="n"/>
      <c r="G26" s="23" t="n"/>
      <c r="H26" s="23" t="n"/>
    </row>
    <row r="27" ht="30" customHeight="1" s="78">
      <c r="A27" s="391" t="inlineStr">
        <is>
          <t>Run Check — checks duplicates, missing data, invalid payments/products and core reconciliations.</t>
        </is>
      </c>
    </row>
    <row r="28" ht="30" customHeight="1" s="78">
      <c r="A28" s="284" t="n"/>
      <c r="B28" s="285" t="n"/>
      <c r="C28" s="285" t="n"/>
      <c r="D28" s="286" t="n"/>
      <c r="E28" s="23" t="n"/>
      <c r="F28" s="23" t="n"/>
      <c r="G28" s="23" t="n"/>
      <c r="H28" s="23" t="n"/>
    </row>
    <row r="29" ht="30" customHeight="1" s="78">
      <c r="A29" s="391" t="inlineStr">
        <is>
          <t>Reset Filters — clears workbook search/filter controls back to useful defaults.</t>
        </is>
      </c>
    </row>
    <row r="30" ht="30" customHeight="1" s="78">
      <c r="A30" s="284" t="n"/>
      <c r="B30" s="285" t="n"/>
      <c r="C30" s="285" t="n"/>
      <c r="D30" s="286" t="n"/>
      <c r="E30" s="23" t="n"/>
      <c r="F30" s="23" t="n"/>
      <c r="G30" s="23" t="n"/>
      <c r="H30" s="23" t="n"/>
    </row>
    <row r="31" ht="30" customHeight="1" s="78">
      <c r="A31" s="287" t="n"/>
      <c r="B31" s="288" t="n"/>
      <c r="C31" s="288" t="n"/>
      <c r="D31" s="289" t="n"/>
      <c r="E31" s="23" t="n"/>
      <c r="F31" s="23" t="n"/>
      <c r="G31" s="23" t="n"/>
      <c r="H31" s="23" t="n"/>
    </row>
    <row r="32">
      <c r="A32" s="392" t="inlineStr">
        <is>
          <t>Operating rule: people enter information that requires business judgment; deterministic calculations stay formula-driven.</t>
        </is>
      </c>
      <c r="B32" s="1" t="n"/>
      <c r="C32" s="1" t="n"/>
      <c r="D32" s="1" t="n"/>
      <c r="E32" s="1" t="n"/>
      <c r="F32" s="1" t="n"/>
      <c r="G32" s="1" t="n"/>
      <c r="H32" s="1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</row>
  </sheetData>
  <mergeCells count="16">
    <mergeCell ref="A12:H12"/>
    <mergeCell ref="A21:H21"/>
    <mergeCell ref="A14:H14"/>
    <mergeCell ref="A1:B2"/>
    <mergeCell ref="A23:H23"/>
    <mergeCell ref="A32:H32"/>
    <mergeCell ref="A8:H8"/>
    <mergeCell ref="A6:H6"/>
    <mergeCell ref="C2:H2"/>
    <mergeCell ref="A29:H29"/>
    <mergeCell ref="A25:H25"/>
    <mergeCell ref="A16:H16"/>
    <mergeCell ref="A10:H10"/>
    <mergeCell ref="A19:H19"/>
    <mergeCell ref="A27:H27"/>
    <mergeCell ref="C1:H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2026-09-29T08:59:09Z</dcterms:created>
  <dcterms:modified xmlns:dcterms="http://purl.org/dc/terms/" xmlns:xsi="http://www.w3.org/2001/XMLSchema-instance" xsi:type="dcterms:W3CDTF">2026-09-29T08:59:10Z</dcterms:modified>
</cp:coreProperties>
</file>