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7ce1cbc71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7b9c9dad44545f6"/>
    <x:sheet xmlns:r="http://schemas.openxmlformats.org/officeDocument/2006/relationships" name="Invoices" sheetId="2" r:id="R3fea6b6fed90442c"/>
    <x:sheet xmlns:r="http://schemas.openxmlformats.org/officeDocument/2006/relationships" name="Depletion" sheetId="3" r:id="R9010f67376934921"/>
    <x:sheet xmlns:r="http://schemas.openxmlformats.org/officeDocument/2006/relationships" name="AR" sheetId="4" r:id="R3cc066e650364eb5"/>
    <x:sheet xmlns:r="http://schemas.openxmlformats.org/officeDocument/2006/relationships" name="Reports" sheetId="5" r:id="Rb53d6282b3b14bf9"/>
    <x:sheet xmlns:r="http://schemas.openxmlformats.org/officeDocument/2006/relationships" name="Commissions" sheetId="6" r:id="R9f9073551f644306"/>
    <x:sheet xmlns:r="http://schemas.openxmlformats.org/officeDocument/2006/relationships" name="Setup" sheetId="7" r:id="R6a387c2f4c804f1a"/>
    <x:sheet xmlns:r="http://schemas.openxmlformats.org/officeDocument/2006/relationships" name="Guide" sheetId="8" r:id="R18514fd2700e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0"/>
    <x:numFmt numFmtId="201" formatCode="0.0%"/>
    <x:numFmt numFmtId="202" formatCode="$0.00"/>
    <x:numFmt numFmtId="203" formatCode="m/d/yyyy"/>
    <x:numFmt numFmtId="204" formatCode="0.00"/>
    <x:numFmt numFmtId="205" formatCode="0"/>
    <x:numFmt numFmtId="206" formatCode="mmm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66736D"/>
      <x:name val="Carlito"/>
    </x:font>
    <x:font>
      <x:b/>
      <x:sz val="10"/>
      <x:color rgb="FF075947"/>
      <x:name val="Carlito"/>
    </x:font>
    <x:font>
      <x:b/>
      <x:sz val="9"/>
      <x:color rgb="FFFFFFFF"/>
      <x:name val="Carlito"/>
    </x:font>
    <x:font>
      <x:sz val="9"/>
      <x:color rgb="FF17201C"/>
      <x:name val="Carlito"/>
    </x:font>
    <x:font>
      <x:b/>
      <x:sz val="9"/>
      <x:color rgb="FF66736D"/>
      <x:name val="Carlito"/>
    </x:font>
    <x:font>
      <x:b/>
      <x:sz val="18"/>
      <x:color rgb="FF17201C"/>
      <x:name val="Carlito"/>
    </x:font>
    <x:font>
      <x:sz val="9"/>
      <x:color rgb="FF66736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211D"/>
      </x:patternFill>
    </x:fill>
    <x:fill>
      <x:patternFill patternType="solid">
        <x:fgColor rgb="FFF7F8F5"/>
      </x:patternFill>
    </x:fill>
    <x:fill>
      <x:patternFill patternType="solid">
        <x:fgColor rgb="FFE7F2EE"/>
      </x:patternFill>
    </x:fill>
    <x:fill>
      <x:patternFill patternType="solid">
        <x:fgColor rgb="FFFFFDF7"/>
      </x:patternFill>
    </x:fill>
    <x:fill>
      <x:patternFill patternType="solid">
        <x:fgColor rgb="FFF1F4F2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203" fontId="5" fillId="5" borderId="0" xfId="0" applyNumberFormat="1" applyFont="1" applyFill="1" applyBorder="1" applyAlignment="1">
      <x:alignment vertical="center"/>
    </x:xf>
    <x:xf numFmtId="203" fontId="5" fillId="5" borderId="1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4" fontId="5" fillId="6" borderId="0" xfId="0" applyNumberFormat="1" applyFont="1" applyFill="1" applyBorder="1" applyAlignment="1">
      <x:alignment vertical="center"/>
    </x:xf>
    <x:xf numFmtId="204" fontId="5" fillId="6" borderId="1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3" fontId="5" fillId="6" borderId="0" xfId="0" applyNumberFormat="1" applyFont="1" applyFill="1" applyBorder="1" applyAlignment="1">
      <x:alignment vertical="center"/>
    </x:xf>
    <x:xf numFmtId="203" fontId="5" fillId="6" borderId="1" xfId="0" applyNumberFormat="1" applyFont="1" applyFill="1" applyBorder="1" applyAlignment="1">
      <x:alignment vertical="center"/>
    </x:xf>
    <x:xf numFmtId="204" fontId="5" fillId="5" borderId="0" xfId="0" applyNumberFormat="1" applyFont="1" applyFill="1" applyBorder="1" applyAlignment="1">
      <x:alignment vertical="center"/>
    </x:xf>
    <x:xf numFmtId="204" fontId="5" fillId="5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200" fontId="7" fillId="7" borderId="0" xfId="0" applyNumberFormat="1" applyFont="1" applyFill="1" applyBorder="1" applyAlignment="1">
      <x:alignment horizontal="center" vertical="center"/>
    </x:xf>
    <x:xf numFmtId="200" fontId="7" fillId="7" borderId="1" xfId="0" applyNumberFormat="1" applyFont="1" applyFill="1" applyBorder="1" applyAlignment="1">
      <x:alignment horizontal="center" vertical="center"/>
    </x:xf>
    <x:xf numFmtId="204" fontId="7" fillId="7" borderId="0" xfId="0" applyNumberFormat="1" applyFont="1" applyFill="1" applyBorder="1" applyAlignment="1">
      <x:alignment horizontal="center" vertical="center"/>
    </x:xf>
    <x:xf numFmtId="204" fontId="7" fillId="7" borderId="1" xfId="0" applyNumberFormat="1" applyFont="1" applyFill="1" applyBorder="1" applyAlignment="1">
      <x:alignment horizontal="center" vertical="center"/>
    </x:xf>
    <x:xf numFmtId="201" fontId="7" fillId="7" borderId="0" xfId="0" applyNumberFormat="1" applyFont="1" applyFill="1" applyBorder="1" applyAlignment="1">
      <x:alignment horizontal="center" vertical="center"/>
    </x:xf>
    <x:xf numFmtId="201" fontId="7" fillId="7" borderId="1" xfId="0" applyNumberFormat="1" applyFont="1" applyFill="1" applyBorder="1" applyAlignment="1">
      <x:alignment horizontal="center" vertical="center"/>
    </x:xf>
    <x:xf numFmtId="205" fontId="7" fillId="7" borderId="0" xfId="0" applyNumberFormat="1" applyFont="1" applyFill="1" applyBorder="1" applyAlignment="1">
      <x:alignment horizontal="center" vertical="center"/>
    </x:xf>
    <x:xf numFmtId="205" fontId="7" fillId="7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5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8A1C1C"/>
      </x:font>
      <x:fill>
        <x:patternFill>
          <x:bgColor rgb="FFFCE8E6"/>
        </x:patternFill>
      </x:fill>
    </x:dxf>
    <x:dxf>
      <x:font>
        <x:b/>
        <x:color rgb="FF075947"/>
      </x:font>
      <x:fill>
        <x:patternFill>
          <x:bgColor rgb="FFE7F4EC"/>
        </x:patternFill>
      </x:fill>
    </x:dxf>
    <x:dxf>
      <x:fill>
        <x:patternFill>
          <x:bgColor rgb="FFFFF2CC"/>
        </x:patternFill>
      </x:fill>
    </x:dxf>
    <x:dxf>
      <x:font>
        <x:b/>
        <x:color rgb="FF8A1C1C"/>
      </x:font>
      <x:fill>
        <x:patternFill>
          <x:bgColor rgb="FFFCE8E6"/>
        </x:patternFill>
      </x:fill>
    </x:dxf>
    <x:dxf>
      <x:font>
        <x:b/>
        <x:color rgb="FF075947"/>
      </x:font>
      <x:fill>
        <x:patternFill>
          <x:bgColor rgb="FFE7F4E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  <x:color rgb="FF8A1C1C"/>
      </x:font>
      <x:fill>
        <x:patternFill>
          <x:bgColor rgb="FFFCE8E6"/>
        </x:patternFill>
      </x:fill>
    </x:dxf>
    <x:dxf>
      <x:font>
        <x:b/>
        <x:color rgb="FF075947"/>
      </x:font>
      <x:fill>
        <x:patternFill>
          <x:bgColor rgb="FFE7F4EC"/>
        </x:patternFill>
      </x:fill>
    </x:dxf>
    <x:dxf>
      <x:font>
        <x:b/>
        <x:color rgb="FF8A1C1C"/>
      </x:font>
      <x:fill>
        <x:patternFill>
          <x:bgColor rgb="FFFCE8E6"/>
        </x:patternFill>
      </x:fill>
    </x:dxf>
    <x:dxf>
      <x:font>
        <x:b/>
        <x:color rgb="FF7A52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a2065b8ec4017" /><Relationship Type="http://schemas.openxmlformats.org/officeDocument/2006/relationships/theme" Target="/xl/theme/theme1.xml" Id="R93d2a99f22ea4223" /><Relationship Type="http://schemas.microsoft.com/office/2022/11/relationships/FeaturePropertyBag" Target="/xl/featurePropertyBag/featurePropertyBag.xml" Id="Ra6c579aea0b541f3" /><Relationship Type="http://schemas.openxmlformats.org/officeDocument/2006/relationships/sharedStrings" Target="/xl/sharedStrings.xml" Id="R66e8d940832e4573" /><Relationship Type="http://schemas.openxmlformats.org/officeDocument/2006/relationships/worksheet" Target="/xl/worksheets/sheet1.xml" Id="R97b9c9dad44545f6" /><Relationship Type="http://schemas.openxmlformats.org/officeDocument/2006/relationships/worksheet" Target="/xl/worksheets/sheet2.xml" Id="R3fea6b6fed90442c" /><Relationship Type="http://schemas.openxmlformats.org/officeDocument/2006/relationships/worksheet" Target="/xl/worksheets/sheet3.xml" Id="R9010f67376934921" /><Relationship Type="http://schemas.openxmlformats.org/officeDocument/2006/relationships/worksheet" Target="/xl/worksheets/sheet4.xml" Id="R3cc066e650364eb5" /><Relationship Type="http://schemas.openxmlformats.org/officeDocument/2006/relationships/worksheet" Target="/xl/worksheets/sheet5.xml" Id="Rb53d6282b3b14bf9" /><Relationship Type="http://schemas.openxmlformats.org/officeDocument/2006/relationships/worksheet" Target="/xl/worksheets/sheet6.xml" Id="R9f9073551f644306" /><Relationship Type="http://schemas.openxmlformats.org/officeDocument/2006/relationships/worksheet" Target="/xl/worksheets/sheet7.xml" Id="R6a387c2f4c804f1a" /><Relationship Type="http://schemas.openxmlformats.org/officeDocument/2006/relationships/worksheet" Target="/xl/worksheets/sheet8.xml" Id="R18514fd2700e4a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7aec4893d649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Month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'Overview'!$A$16:$A$27</c:f>
              <c:strCache>
                <c:ptCount val="0"/>
              </c:strCache>
            </c:strRef>
          </c:cat>
          <c:val>
            <c:numRef>
              <c:f>'Overview'!$B$16:$B$27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7aec4893d6499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6" name="InvoicesTable" displayName="InvoicesTable" ref="A6:W156" headerRowCount="1" totalsRowCount="0" totalsRowShown="0">
  <x:tableColumns count="23">
    <x:tableColumn id="1" name="Invoice #"/>
    <x:tableColumn id="2" name="Invoice Date"/>
    <x:tableColumn id="3" name="Account"/>
    <x:tableColumn id="4" name="Sales Rep"/>
    <x:tableColumn id="5" name="Account Type"/>
    <x:tableColumn id="6" name="Terms"/>
    <x:tableColumn id="7" name="Amount Paid"/>
    <x:tableColumn id="8" name="Payment Date"/>
    <x:tableColumn id="9" name="Notes"/>
    <x:tableColumn id="10" name="City"/>
    <x:tableColumn id="11" name="Channel"/>
    <x:tableColumn id="12" name="Invoice Revenue"/>
    <x:tableColumn id="13" name="Cases"/>
    <x:tableColumn id="14" name="Total COGS"/>
    <x:tableColumn id="15" name="Gross Profit"/>
    <x:tableColumn id="16" name="Gross Margin"/>
    <x:tableColumn id="17" name="Balance Due"/>
    <x:tableColumn id="18" name="Due Date"/>
    <x:tableColumn id="19" name="Payment Status"/>
    <x:tableColumn id="20" name="Days Past Due"/>
    <x:tableColumn id="21" name="Aging"/>
    <x:tableColumn id="22" name="Commission Eligible Date"/>
    <x:tableColumn id="23" name="Q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DepletionTable" displayName="DepletionTable" ref="A6:O306" headerRowCount="1" totalsRowCount="0" totalsRowShown="0">
  <x:tableColumns count="15">
    <x:tableColumn id="1" name="Invoice #"/>
    <x:tableColumn id="2" name="Product"/>
    <x:tableColumn id="3" name="Cases"/>
    <x:tableColumn id="4" name="Sale Price"/>
    <x:tableColumn id="5" name="Revenue"/>
    <x:tableColumn id="6" name="SKU"/>
    <x:tableColumn id="7" name="Product Line"/>
    <x:tableColumn id="8" name="COGS/Case"/>
    <x:tableColumn id="9" name="Total COGS"/>
    <x:tableColumn id="10" name="Gross Profit"/>
    <x:tableColumn id="11" name="Invoice Date"/>
    <x:tableColumn id="12" name="Account"/>
    <x:tableColumn id="13" name="Sales Rep"/>
    <x:tableColumn id="14" name="Account Type"/>
    <x:tableColumn id="15" name="QA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ARViewTable" displayName="ARViewTable" ref="A6:L156" headerRowCount="1" totalsRowCount="0" totalsRowShown="0">
  <x:tableColumns count="12">
    <x:tableColumn id="1" name="Invoice #"/>
    <x:tableColumn id="2" name="Account"/>
    <x:tableColumn id="3" name="Sales Rep"/>
    <x:tableColumn id="4" name="Invoice Date"/>
    <x:tableColumn id="5" name="Due Date"/>
    <x:tableColumn id="6" name="Invoice Total"/>
    <x:tableColumn id="7" name="Amount Paid"/>
    <x:tableColumn id="8" name="Balance Due"/>
    <x:tableColumn id="9" name="Status"/>
    <x:tableColumn id="10" name="Days Past Due"/>
    <x:tableColumn id="11" name="Aging"/>
    <x:tableColumn id="12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ProductReportTable" displayName="ProductReportTable" ref="A11:G28" headerRowCount="1" totalsRowCount="0" totalsRowShown="0">
  <x:tableColumns count="7">
    <x:tableColumn id="1" name="Product"/>
    <x:tableColumn id="2" name="Line"/>
    <x:tableColumn id="3" name="Cases"/>
    <x:tableColumn id="4" name="Revenue"/>
    <x:tableColumn id="5" name="COGS"/>
    <x:tableColumn id="6" name="Gross Profit"/>
    <x:tableColumn id="7" name="Marg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AccountReportTable" displayName="AccountReportTable" ref="I11:N61" headerRowCount="1" totalsRowCount="0" totalsRowShown="0">
  <x:tableColumns count="6">
    <x:tableColumn id="1" name="Account"/>
    <x:tableColumn id="2" name="City"/>
    <x:tableColumn id="3" name="Revenue"/>
    <x:tableColumn id="4" name="Cases"/>
    <x:tableColumn id="5" name="Invoice Count"/>
    <x:tableColumn id="6" name="Open A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ProductsTable" displayName="ProductsTable" ref="A6:H23" headerRowCount="1" totalsRowCount="0" totalsRowShown="0">
  <x:tableColumns count="8">
    <x:tableColumn id="1" name="Product"/>
    <x:tableColumn id="2" name="SKU"/>
    <x:tableColumn id="3" name="Description"/>
    <x:tableColumn id="4" name="Category"/>
    <x:tableColumn id="5" name="Product Line"/>
    <x:tableColumn id="6" name="COGS/Case"/>
    <x:tableColumn id="7" name="Cost/Unit Ref"/>
    <x:tableColumn id="8" name="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AccountsTable" displayName="AccountsTable" ref="J6:M56" headerRowCount="1" totalsRowCount="0" totalsRowShown="0">
  <x:tableColumns count="4">
    <x:tableColumn id="1" name="Account"/>
    <x:tableColumn id="2" name="City"/>
    <x:tableColumn id="3" name="Channel"/>
    <x:tableColumn id="4" name="Acti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" name="RepsTable" displayName="RepsTable" ref="O6:U10" headerRowCount="1" totalsRowCount="0" totalsRowShown="0">
  <x:tableColumns count="7">
    <x:tableColumn id="1" name="Rep"/>
    <x:tableColumn id="2" name="New Rate"/>
    <x:tableColumn id="3" name="Reorder Rate"/>
    <x:tableColumn id="4" name="Mileage Rate"/>
    <x:tableColumn id="5" name="Bonus Threshold"/>
    <x:tableColumn id="6" name="Bonus Rule / Status"/>
    <x:tableColumn id="7" name="Activ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" name="AccountTypesTable" displayName="AccountTypesTable" ref="W6:W8" headerRowCount="1" totalsRowCount="0" totalsRowShown="0">
  <x:tableColumns count="1">
    <x:tableColumn id="1" name="Account 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" name="TermsTable" displayName="TermsTable" ref="Z6:AA20" headerRowCount="1" totalsRowCount="0" totalsRowShown="0">
  <x:tableColumns count="2">
    <x:tableColumn id="1" name="Term"/>
    <x:tableColumn id="2" name="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deb161b85e43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b69549655f45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b59e5e8c3e47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138033f644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31621895b74c75" /><Relationship Type="http://schemas.openxmlformats.org/officeDocument/2006/relationships/table" Target="/xl/tables/table5.xml" Id="R72971769f9114d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90a5fefc314ae4" /><Relationship Type="http://schemas.openxmlformats.org/officeDocument/2006/relationships/table" Target="/xl/tables/table7.xml" Id="R9f45bbfbaf23414e" /><Relationship Type="http://schemas.openxmlformats.org/officeDocument/2006/relationships/table" Target="/xl/tables/table8.xml" Id="R04d93a3e14d34e92" /><Relationship Type="http://schemas.openxmlformats.org/officeDocument/2006/relationships/table" Target="/xl/tables/table9.xml" Id="R5b79ed84a6d540ad" /><Relationship Type="http://schemas.openxmlformats.org/officeDocument/2006/relationships/table" Target="/xl/tables/table10.xml" Id="Rbcb43e4fc451464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4" hidden="0" customWidth="1"/>
    <x:col min="5" max="5" width="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5" hidden="0" customWidth="1"/>
    <x:col min="18" max="18" width="12" hidden="0" customWidth="1"/>
    <x:col min="19" max="19" width="14" hidden="0" customWidth="1"/>
    <x:col min="20" max="20" width="11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 ht="30" customHeight="1">
      <x:c r="A1" s="4" t="str">
        <x:v>LAGOM NATURALS — DEPLETION OVERVIEW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22" customHeight="1">
      <x:c r="A2" s="10" t="str">
        <x:v>Management snapshot from the normalized invoice + depletion ledger. All values below are derived from operating sheets.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4">
      <x:c r="A4" s="16" t="str">
        <x:v>CURRENT BOOK TOTALS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</x:row>
    <x:row r="5">
      <x:c r="A5" s="73" t="str">
        <x:v>Revenue</x:v>
      </x:c>
      <x:c r="B5" s="73"/>
      <x:c r="C5" s="73"/>
      <x:c r="D5" s="73"/>
      <x:c r="E5" s="73" t="str">
        <x:v>Cases</x:v>
      </x:c>
      <x:c r="F5" s="73"/>
      <x:c r="G5" s="73"/>
      <x:c r="H5" s="73"/>
      <x:c r="I5" s="73" t="str">
        <x:v>Gross Profit</x:v>
      </x:c>
      <x:c r="J5" s="73"/>
      <x:c r="K5" s="73"/>
      <x:c r="L5" s="73"/>
      <x:c r="M5" s="73" t="str">
        <x:v>Gross Margin</x:v>
      </x:c>
      <x:c r="N5" s="73"/>
      <x:c r="O5" s="73"/>
      <x:c r="P5" s="73"/>
      <x:c r="Q5" s="73" t="str">
        <x:v>Open AR</x:v>
      </x:c>
      <x:c r="R5" s="73"/>
      <x:c r="S5" s="73"/>
      <x:c r="T5" s="73"/>
      <x:c r="U5" s="73" t="str">
        <x:v>QA Issues</x:v>
      </x:c>
      <x:c r="V5" s="73"/>
      <x:c r="W5" s="73"/>
    </x:row>
    <x:row r="6">
      <x:c r="A6" s="84" t="n">
        <x:f>SUM(Invoices!$L$7:$L$156)</x:f>
        <x:v>583.92</x:v>
      </x:c>
      <x:c r="B6" s="80"/>
      <x:c r="C6" s="80"/>
      <x:c r="D6" s="80"/>
      <x:c r="E6" s="86" t="n">
        <x:f>SUM(Invoices!$M$7:$M$156)</x:f>
        <x:v>8</x:v>
      </x:c>
      <x:c r="F6" s="80"/>
      <x:c r="G6" s="80"/>
      <x:c r="H6" s="80"/>
      <x:c r="I6" s="84" t="n">
        <x:f>SUM(Invoices!$O$7:$O$156)</x:f>
        <x:v>7.919999999999959</x:v>
      </x:c>
      <x:c r="J6" s="80"/>
      <x:c r="K6" s="80"/>
      <x:c r="L6" s="80"/>
      <x:c r="M6" s="88" t="n">
        <x:f>IFERROR(SUM(Invoices!$O$7:$O$156)/SUM(Invoices!$L$7:$L$156),0)</x:f>
        <x:v>0.013563501849568366</x:v>
      </x:c>
      <x:c r="N6" s="80"/>
      <x:c r="O6" s="80"/>
      <x:c r="P6" s="80"/>
      <x:c r="Q6" s="84" t="n">
        <x:f>SUM(Invoices!$Q$7:$Q$156)</x:f>
        <x:v>0</x:v>
      </x:c>
      <x:c r="R6" s="80"/>
      <x:c r="S6" s="80"/>
      <x:c r="T6" s="80"/>
      <x:c r="U6" s="90" t="n">
        <x:f>COUNTIF(Invoices!$W$7:$W$156,"REVIEW")+COUNTIF(Depletion!$O$7:$O$306,"REVIEW")</x:f>
        <x:v>0</x:v>
      </x:c>
      <x:c r="V6" s="80"/>
      <x:c r="W6" s="80"/>
    </x:row>
    <x:row r="7">
      <x:c r="A7" s="80"/>
      <x:c r="B7" s="80"/>
      <x:c r="C7" s="80"/>
      <x:c r="D7" s="80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</x:row>
    <x:row r="8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</x:row>
    <x:row r="11">
      <x:c r="A11" s="16" t="str">
        <x:v>MONTHLY PERFORMANCE</x:v>
      </x:c>
      <x:c r="B11" s="16"/>
      <x:c r="C11" s="16"/>
      <x:c r="D11" s="16"/>
      <x:c r="Q11" s="16" t="str">
        <x:v>AR AGING</x:v>
      </x:c>
      <x:c r="R11" s="16"/>
      <x:c r="S11" s="16"/>
      <x:c r="T11" s="16"/>
    </x:row>
    <x:row r="12">
      <x:c r="A12" s="93" t="str">
        <x:v>Reporting Year</x:v>
      </x:c>
      <x:c r="B12" s="46" t="n">
        <x:v>2026</x:v>
      </x:c>
    </x:row>
    <x:row r="15">
      <x:c r="A15" s="22" t="str">
        <x:v>Month</x:v>
      </x:c>
      <x:c r="B15" s="22" t="str">
        <x:v>Revenue</x:v>
      </x:c>
      <x:c r="C15" s="22" t="str">
        <x:v>Cases</x:v>
      </x:c>
      <x:c r="D15" s="22" t="str">
        <x:v>Gross Profit</x:v>
      </x:c>
      <x:c r="Q15" s="22" t="str">
        <x:v>Bucket</x:v>
      </x:c>
      <x:c r="R15" s="22" t="str">
        <x:v>Invoices</x:v>
      </x:c>
      <x:c r="S15" s="22" t="str">
        <x:v>Amount Due</x:v>
      </x:c>
    </x:row>
    <x:row r="16">
      <x:c r="A16" s="96" t="str">
        <x:v>Jan</x:v>
      </x:c>
      <x:c r="B16" s="36" t="n">
        <x:f>SUMIFS(Invoices!$L$7:$L$156,Invoices!$B$7:$B$156,"&gt;="&amp;DATE($B$12,ROW()-15,1),Invoices!$B$7:$B$156,"&lt;"&amp;DATE($B$12,ROW()-14,1))</x:f>
        <x:v>0</x:v>
      </x:c>
      <x:c r="C16" s="98" t="n">
        <x:f>SUMIFS(Invoices!$M$7:$M$156,Invoices!$B$7:$B$156,"&gt;="&amp;DATE($B$12,ROW()-15,1),Invoices!$B$7:$B$156,"&lt;"&amp;DATE($B$12,ROW()-14,1))</x:f>
        <x:v>0</x:v>
      </x:c>
      <x:c r="D16" s="36" t="n">
        <x:f>SUMIFS(Invoices!$O$7:$O$156,Invoices!$B$7:$B$156,"&gt;="&amp;DATE($B$12,ROW()-15,1),Invoices!$B$7:$B$156,"&lt;"&amp;DATE($B$12,ROW()-14,1))</x:f>
        <x:v>0</x:v>
      </x:c>
      <x:c r="Q16" s="30" t="str">
        <x:v>Current</x:v>
      </x:c>
      <x:c r="R16" s="30" t="n">
        <x:f>COUNTIF(Invoices!$U$7:$U$156,Q16)</x:f>
        <x:v>0</x:v>
      </x:c>
      <x:c r="S16" s="36" t="n">
        <x:f>SUMIF(Invoices!$U$7:$U$156,Q16,Invoices!$Q$7:$Q$156)</x:f>
        <x:v>0</x:v>
      </x:c>
    </x:row>
    <x:row r="17">
      <x:c r="A17" s="96" t="str">
        <x:v>Feb</x:v>
      </x:c>
      <x:c r="B17" s="36" t="n">
        <x:f>SUMIFS(Invoices!$L$7:$L$156,Invoices!$B$7:$B$156,"&gt;="&amp;DATE($B$12,ROW()-15,1),Invoices!$B$7:$B$156,"&lt;"&amp;DATE($B$12,ROW()-14,1))</x:f>
        <x:v>583.92</x:v>
      </x:c>
      <x:c r="C17" s="98" t="n">
        <x:f>SUMIFS(Invoices!$M$7:$M$156,Invoices!$B$7:$B$156,"&gt;="&amp;DATE($B$12,ROW()-15,1),Invoices!$B$7:$B$156,"&lt;"&amp;DATE($B$12,ROW()-14,1))</x:f>
        <x:v>8</x:v>
      </x:c>
      <x:c r="D17" s="36" t="n">
        <x:f>SUMIFS(Invoices!$O$7:$O$156,Invoices!$B$7:$B$156,"&gt;="&amp;DATE($B$12,ROW()-15,1),Invoices!$B$7:$B$156,"&lt;"&amp;DATE($B$12,ROW()-14,1))</x:f>
        <x:v>7.919999999999959</x:v>
      </x:c>
      <x:c r="Q17" s="30" t="str">
        <x:v>1-30</x:v>
      </x:c>
      <x:c r="R17" s="30" t="n">
        <x:f>COUNTIF(Invoices!$U$7:$U$156,Q17)</x:f>
        <x:v>0</x:v>
      </x:c>
      <x:c r="S17" s="36" t="n">
        <x:f>SUMIF(Invoices!$U$7:$U$156,Q17,Invoices!$Q$7:$Q$156)</x:f>
        <x:v>0</x:v>
      </x:c>
    </x:row>
    <x:row r="18">
      <x:c r="A18" s="96" t="str">
        <x:v>Mar</x:v>
      </x:c>
      <x:c r="B18" s="36" t="n">
        <x:f>SUMIFS(Invoices!$L$7:$L$156,Invoices!$B$7:$B$156,"&gt;="&amp;DATE($B$12,ROW()-15,1),Invoices!$B$7:$B$156,"&lt;"&amp;DATE($B$12,ROW()-14,1))</x:f>
        <x:v>0</x:v>
      </x:c>
      <x:c r="C18" s="98" t="n">
        <x:f>SUMIFS(Invoices!$M$7:$M$156,Invoices!$B$7:$B$156,"&gt;="&amp;DATE($B$12,ROW()-15,1),Invoices!$B$7:$B$156,"&lt;"&amp;DATE($B$12,ROW()-14,1))</x:f>
        <x:v>0</x:v>
      </x:c>
      <x:c r="D18" s="36" t="n">
        <x:f>SUMIFS(Invoices!$O$7:$O$156,Invoices!$B$7:$B$156,"&gt;="&amp;DATE($B$12,ROW()-15,1),Invoices!$B$7:$B$156,"&lt;"&amp;DATE($B$12,ROW()-14,1))</x:f>
        <x:v>0</x:v>
      </x:c>
      <x:c r="Q18" s="30" t="str">
        <x:v>31-60</x:v>
      </x:c>
      <x:c r="R18" s="30" t="n">
        <x:f>COUNTIF(Invoices!$U$7:$U$156,Q18)</x:f>
        <x:v>0</x:v>
      </x:c>
      <x:c r="S18" s="36" t="n">
        <x:f>SUMIF(Invoices!$U$7:$U$156,Q18,Invoices!$Q$7:$Q$156)</x:f>
        <x:v>0</x:v>
      </x:c>
    </x:row>
    <x:row r="19">
      <x:c r="A19" s="96" t="str">
        <x:v>Apr</x:v>
      </x:c>
      <x:c r="B19" s="36" t="n">
        <x:f>SUMIFS(Invoices!$L$7:$L$156,Invoices!$B$7:$B$156,"&gt;="&amp;DATE($B$12,ROW()-15,1),Invoices!$B$7:$B$156,"&lt;"&amp;DATE($B$12,ROW()-14,1))</x:f>
        <x:v>0</x:v>
      </x:c>
      <x:c r="C19" s="98" t="n">
        <x:f>SUMIFS(Invoices!$M$7:$M$156,Invoices!$B$7:$B$156,"&gt;="&amp;DATE($B$12,ROW()-15,1),Invoices!$B$7:$B$156,"&lt;"&amp;DATE($B$12,ROW()-14,1))</x:f>
        <x:v>0</x:v>
      </x:c>
      <x:c r="D19" s="36" t="n">
        <x:f>SUMIFS(Invoices!$O$7:$O$156,Invoices!$B$7:$B$156,"&gt;="&amp;DATE($B$12,ROW()-15,1),Invoices!$B$7:$B$156,"&lt;"&amp;DATE($B$12,ROW()-14,1))</x:f>
        <x:v>0</x:v>
      </x:c>
      <x:c r="Q19" s="30" t="str">
        <x:v>61-90</x:v>
      </x:c>
      <x:c r="R19" s="30" t="n">
        <x:f>COUNTIF(Invoices!$U$7:$U$156,Q19)</x:f>
        <x:v>0</x:v>
      </x:c>
      <x:c r="S19" s="36" t="n">
        <x:f>SUMIF(Invoices!$U$7:$U$156,Q19,Invoices!$Q$7:$Q$156)</x:f>
        <x:v>0</x:v>
      </x:c>
    </x:row>
    <x:row r="20">
      <x:c r="A20" s="96" t="str">
        <x:v>May</x:v>
      </x:c>
      <x:c r="B20" s="36" t="n">
        <x:f>SUMIFS(Invoices!$L$7:$L$156,Invoices!$B$7:$B$156,"&gt;="&amp;DATE($B$12,ROW()-15,1),Invoices!$B$7:$B$156,"&lt;"&amp;DATE($B$12,ROW()-14,1))</x:f>
        <x:v>0</x:v>
      </x:c>
      <x:c r="C20" s="98" t="n">
        <x:f>SUMIFS(Invoices!$M$7:$M$156,Invoices!$B$7:$B$156,"&gt;="&amp;DATE($B$12,ROW()-15,1),Invoices!$B$7:$B$156,"&lt;"&amp;DATE($B$12,ROW()-14,1))</x:f>
        <x:v>0</x:v>
      </x:c>
      <x:c r="D20" s="36" t="n">
        <x:f>SUMIFS(Invoices!$O$7:$O$156,Invoices!$B$7:$B$156,"&gt;="&amp;DATE($B$12,ROW()-15,1),Invoices!$B$7:$B$156,"&lt;"&amp;DATE($B$12,ROW()-14,1))</x:f>
        <x:v>0</x:v>
      </x:c>
      <x:c r="Q20" s="30" t="str">
        <x:v>90+</x:v>
      </x:c>
      <x:c r="R20" s="30" t="n">
        <x:f>COUNTIF(Invoices!$U$7:$U$156,Q20)</x:f>
        <x:v>0</x:v>
      </x:c>
      <x:c r="S20" s="36" t="n">
        <x:f>SUMIF(Invoices!$U$7:$U$156,Q20,Invoices!$Q$7:$Q$156)</x:f>
        <x:v>0</x:v>
      </x:c>
    </x:row>
    <x:row r="21">
      <x:c r="A21" s="96" t="str">
        <x:v>Jun</x:v>
      </x:c>
      <x:c r="B21" s="36" t="n">
        <x:f>SUMIFS(Invoices!$L$7:$L$156,Invoices!$B$7:$B$156,"&gt;="&amp;DATE($B$12,ROW()-15,1),Invoices!$B$7:$B$156,"&lt;"&amp;DATE($B$12,ROW()-14,1))</x:f>
        <x:v>0</x:v>
      </x:c>
      <x:c r="C21" s="98" t="n">
        <x:f>SUMIFS(Invoices!$M$7:$M$156,Invoices!$B$7:$B$156,"&gt;="&amp;DATE($B$12,ROW()-15,1),Invoices!$B$7:$B$156,"&lt;"&amp;DATE($B$12,ROW()-14,1))</x:f>
        <x:v>0</x:v>
      </x:c>
      <x:c r="D21" s="36" t="n">
        <x:f>SUMIFS(Invoices!$O$7:$O$156,Invoices!$B$7:$B$156,"&gt;="&amp;DATE($B$12,ROW()-15,1),Invoices!$B$7:$B$156,"&lt;"&amp;DATE($B$12,ROW()-14,1))</x:f>
        <x:v>0</x:v>
      </x:c>
    </x:row>
    <x:row r="22">
      <x:c r="A22" s="96" t="str">
        <x:v>Jul</x:v>
      </x:c>
      <x:c r="B22" s="36" t="n">
        <x:f>SUMIFS(Invoices!$L$7:$L$156,Invoices!$B$7:$B$156,"&gt;="&amp;DATE($B$12,ROW()-15,1),Invoices!$B$7:$B$156,"&lt;"&amp;DATE($B$12,ROW()-14,1))</x:f>
        <x:v>0</x:v>
      </x:c>
      <x:c r="C22" s="98" t="n">
        <x:f>SUMIFS(Invoices!$M$7:$M$156,Invoices!$B$7:$B$156,"&gt;="&amp;DATE($B$12,ROW()-15,1),Invoices!$B$7:$B$156,"&lt;"&amp;DATE($B$12,ROW()-14,1))</x:f>
        <x:v>0</x:v>
      </x:c>
      <x:c r="D22" s="36" t="n">
        <x:f>SUMIFS(Invoices!$O$7:$O$156,Invoices!$B$7:$B$156,"&gt;="&amp;DATE($B$12,ROW()-15,1),Invoices!$B$7:$B$156,"&lt;"&amp;DATE($B$12,ROW()-14,1))</x:f>
        <x:v>0</x:v>
      </x:c>
    </x:row>
    <x:row r="23">
      <x:c r="A23" s="96" t="str">
        <x:v>Aug</x:v>
      </x:c>
      <x:c r="B23" s="36" t="n">
        <x:f>SUMIFS(Invoices!$L$7:$L$156,Invoices!$B$7:$B$156,"&gt;="&amp;DATE($B$12,ROW()-15,1),Invoices!$B$7:$B$156,"&lt;"&amp;DATE($B$12,ROW()-14,1))</x:f>
        <x:v>0</x:v>
      </x:c>
      <x:c r="C23" s="98" t="n">
        <x:f>SUMIFS(Invoices!$M$7:$M$156,Invoices!$B$7:$B$156,"&gt;="&amp;DATE($B$12,ROW()-15,1),Invoices!$B$7:$B$156,"&lt;"&amp;DATE($B$12,ROW()-14,1))</x:f>
        <x:v>0</x:v>
      </x:c>
      <x:c r="D23" s="36" t="n">
        <x:f>SUMIFS(Invoices!$O$7:$O$156,Invoices!$B$7:$B$156,"&gt;="&amp;DATE($B$12,ROW()-15,1),Invoices!$B$7:$B$156,"&lt;"&amp;DATE($B$12,ROW()-14,1))</x:f>
        <x:v>0</x:v>
      </x:c>
      <x:c r="Q23" s="16" t="str">
        <x:v>SEED RECONCILIATION</x:v>
      </x:c>
      <x:c r="R23" s="16"/>
      <x:c r="S23" s="16"/>
      <x:c r="T23" s="16"/>
      <x:c r="U23" s="16"/>
      <x:c r="V23" s="16"/>
      <x:c r="W23" s="16"/>
    </x:row>
    <x:row r="24">
      <x:c r="A24" s="96" t="str">
        <x:v>Sep</x:v>
      </x:c>
      <x:c r="B24" s="36" t="n">
        <x:f>SUMIFS(Invoices!$L$7:$L$156,Invoices!$B$7:$B$156,"&gt;="&amp;DATE($B$12,ROW()-15,1),Invoices!$B$7:$B$156,"&lt;"&amp;DATE($B$12,ROW()-14,1))</x:f>
        <x:v>0</x:v>
      </x:c>
      <x:c r="C24" s="98" t="n">
        <x:f>SUMIFS(Invoices!$M$7:$M$156,Invoices!$B$7:$B$156,"&gt;="&amp;DATE($B$12,ROW()-15,1),Invoices!$B$7:$B$156,"&lt;"&amp;DATE($B$12,ROW()-14,1))</x:f>
        <x:v>0</x:v>
      </x:c>
      <x:c r="D24" s="36" t="n">
        <x:f>SUMIFS(Invoices!$O$7:$O$156,Invoices!$B$7:$B$156,"&gt;="&amp;DATE($B$12,ROW()-15,1),Invoices!$B$7:$B$156,"&lt;"&amp;DATE($B$12,ROW()-14,1))</x:f>
        <x:v>0</x:v>
      </x:c>
      <x:c r="Q24" s="22" t="str">
        <x:v>Check</x:v>
      </x:c>
      <x:c r="R24" s="22" t="str">
        <x:v>Expected</x:v>
      </x:c>
      <x:c r="S24" s="22" t="str">
        <x:v>Current</x:v>
      </x:c>
      <x:c r="T24" s="22" t="str">
        <x:v>Status</x:v>
      </x:c>
    </x:row>
    <x:row r="25">
      <x:c r="A25" s="96" t="str">
        <x:v>Oct</x:v>
      </x:c>
      <x:c r="B25" s="36" t="n">
        <x:f>SUMIFS(Invoices!$L$7:$L$156,Invoices!$B$7:$B$156,"&gt;="&amp;DATE($B$12,ROW()-15,1),Invoices!$B$7:$B$156,"&lt;"&amp;DATE($B$12,ROW()-14,1))</x:f>
        <x:v>0</x:v>
      </x:c>
      <x:c r="C25" s="98" t="n">
        <x:f>SUMIFS(Invoices!$M$7:$M$156,Invoices!$B$7:$B$156,"&gt;="&amp;DATE($B$12,ROW()-15,1),Invoices!$B$7:$B$156,"&lt;"&amp;DATE($B$12,ROW()-14,1))</x:f>
        <x:v>0</x:v>
      </x:c>
      <x:c r="D25" s="36" t="n">
        <x:f>SUMIFS(Invoices!$O$7:$O$156,Invoices!$B$7:$B$156,"&gt;="&amp;DATE($B$12,ROW()-15,1),Invoices!$B$7:$B$156,"&lt;"&amp;DATE($B$12,ROW()-14,1))</x:f>
        <x:v>0</x:v>
      </x:c>
      <x:c r="Q25" s="30" t="str">
        <x:v>Unique invoices</x:v>
      </x:c>
      <x:c r="R25" s="30" t="n">
        <x:v>2</x:v>
      </x:c>
      <x:c r="S25" s="30" t="n">
        <x:f>COUNTIF(Invoices!$A$7:$A$156,"&lt;&gt;")</x:f>
        <x:v>2</x:v>
      </x:c>
      <x:c r="T25" s="30" t="str">
        <x:f>IF(S25=R25,"PASS","REVIEW")</x:f>
        <x:v>PASS</x:v>
      </x:c>
    </x:row>
    <x:row r="26">
      <x:c r="A26" s="96" t="str">
        <x:v>Nov</x:v>
      </x:c>
      <x:c r="B26" s="36" t="n">
        <x:f>SUMIFS(Invoices!$L$7:$L$156,Invoices!$B$7:$B$156,"&gt;="&amp;DATE($B$12,ROW()-15,1),Invoices!$B$7:$B$156,"&lt;"&amp;DATE($B$12,ROW()-14,1))</x:f>
        <x:v>0</x:v>
      </x:c>
      <x:c r="C26" s="98" t="n">
        <x:f>SUMIFS(Invoices!$M$7:$M$156,Invoices!$B$7:$B$156,"&gt;="&amp;DATE($B$12,ROW()-15,1),Invoices!$B$7:$B$156,"&lt;"&amp;DATE($B$12,ROW()-14,1))</x:f>
        <x:v>0</x:v>
      </x:c>
      <x:c r="D26" s="36" t="n">
        <x:f>SUMIFS(Invoices!$O$7:$O$156,Invoices!$B$7:$B$156,"&gt;="&amp;DATE($B$12,ROW()-15,1),Invoices!$B$7:$B$156,"&lt;"&amp;DATE($B$12,ROW()-14,1))</x:f>
        <x:v>0</x:v>
      </x:c>
      <x:c r="Q26" s="30" t="str">
        <x:v>Depletion lines</x:v>
      </x:c>
      <x:c r="R26" s="30" t="n">
        <x:v>8</x:v>
      </x:c>
      <x:c r="S26" s="30" t="n">
        <x:f>COUNTIF(Depletion!$A$7:$A$306,"&lt;&gt;")</x:f>
        <x:v>8</x:v>
      </x:c>
      <x:c r="T26" s="30" t="str">
        <x:f>IF(S26=R26,"PASS","REVIEW")</x:f>
        <x:v>PASS</x:v>
      </x:c>
    </x:row>
    <x:row r="27">
      <x:c r="A27" s="96" t="str">
        <x:v>Dec</x:v>
      </x:c>
      <x:c r="B27" s="36" t="n">
        <x:f>SUMIFS(Invoices!$L$7:$L$156,Invoices!$B$7:$B$156,"&gt;="&amp;DATE($B$12,ROW()-15,1),Invoices!$B$7:$B$156,"&lt;"&amp;DATE($B$12,ROW()-14,1))</x:f>
        <x:v>0</x:v>
      </x:c>
      <x:c r="C27" s="98" t="n">
        <x:f>SUMIFS(Invoices!$M$7:$M$156,Invoices!$B$7:$B$156,"&gt;="&amp;DATE($B$12,ROW()-15,1),Invoices!$B$7:$B$156,"&lt;"&amp;DATE($B$12,ROW()-14,1))</x:f>
        <x:v>0</x:v>
      </x:c>
      <x:c r="D27" s="36" t="n">
        <x:f>SUMIFS(Invoices!$O$7:$O$156,Invoices!$B$7:$B$156,"&gt;="&amp;DATE($B$12,ROW()-15,1),Invoices!$B$7:$B$156,"&lt;"&amp;DATE($B$12,ROW()-14,1))</x:f>
        <x:v>0</x:v>
      </x:c>
      <x:c r="Q27" s="30" t="str">
        <x:v>Seed revenue</x:v>
      </x:c>
      <x:c r="R27" s="30" t="n">
        <x:v>583.92</x:v>
      </x:c>
      <x:c r="S27" s="36" t="n">
        <x:f>SUM(Invoices!$L$7:$L$156)</x:f>
        <x:v>583.92</x:v>
      </x:c>
      <x:c r="T27" s="30" t="str">
        <x:f>IF(ABS(S27-R27)&lt;0.01,"PASS","REVIEW")</x:f>
        <x:v>PASS</x:v>
      </x:c>
    </x:row>
    <x:row r="28">
      <x:c r="Q28" s="30" t="str">
        <x:v>Seed cases</x:v>
      </x:c>
      <x:c r="R28" s="30" t="n">
        <x:v>8</x:v>
      </x:c>
      <x:c r="S28" s="30" t="n">
        <x:f>SUM(Invoices!$M$7:$M$156)</x:f>
        <x:v>8</x:v>
      </x:c>
      <x:c r="T28" s="30" t="str">
        <x:f>IF(ABS(S28-R28)&lt;0.01,"PASS","REVIEW")</x:f>
        <x:v>PASS</x:v>
      </x:c>
    </x:row>
    <x:row r="29">
      <x:c r="Q29" s="30" t="str">
        <x:v>Seed gross profit</x:v>
      </x:c>
      <x:c r="R29" s="30" t="n">
        <x:v>7.92</x:v>
      </x:c>
      <x:c r="S29" s="36" t="n">
        <x:f>SUM(Invoices!$O$7:$O$156)</x:f>
        <x:v>7.919999999999959</x:v>
      </x:c>
      <x:c r="T29" s="30" t="str">
        <x:f>IF(ABS(S29-R29)&lt;0.01,"PASS","REVIEW")</x:f>
        <x:v>PASS</x:v>
      </x:c>
    </x:row>
  </x:sheetData>
  <x:mergeCells>
    <x:mergeCell ref="A1:W1"/>
    <x:mergeCell ref="A2:W2"/>
    <x:mergeCell ref="A4:W4"/>
    <x:mergeCell ref="A5:D5"/>
    <x:mergeCell ref="A6:D8"/>
    <x:mergeCell ref="E5:H5"/>
    <x:mergeCell ref="E6:H8"/>
    <x:mergeCell ref="I5:L5"/>
    <x:mergeCell ref="I6:L8"/>
    <x:mergeCell ref="M5:P5"/>
    <x:mergeCell ref="M6:P8"/>
    <x:mergeCell ref="Q5:T5"/>
    <x:mergeCell ref="Q6:T8"/>
    <x:mergeCell ref="U5:W5"/>
    <x:mergeCell ref="U6:W8"/>
    <x:mergeCell ref="A11:D11"/>
    <x:mergeCell ref="Q11:T11"/>
    <x:mergeCell ref="Q23:W23"/>
  </x:mergeCells>
  <x:conditionalFormatting sqref="T25:T29">
    <x:cfRule type="expression" dxfId="7" priority="1">
      <x:formula>T25="PASS"</x:formula>
    </x:cfRule>
    <x:cfRule type="expression" dxfId="8" priority="2">
      <x:formula>T25="REVIEW"</x:formula>
    </x:cfRule>
  </x:conditionalFormatting>
  <x:pageMargins left="0.7" right="0.7" top="0.75" bottom="0.75" header="0.3" footer="0.3"/>
  <x:drawing xmlns:r="http://schemas.openxmlformats.org/officeDocument/2006/relationships" r:id="R1edeb161b85e4325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32" hidden="0" customWidth="1"/>
    <x:col min="4" max="4" width="12" hidden="0" customWidth="1"/>
    <x:col min="5" max="5" width="14" hidden="0" customWidth="1"/>
    <x:col min="6" max="6" width="18" hidden="0" customWidth="1"/>
    <x:col min="7" max="7" width="13" hidden="0" customWidth="1"/>
    <x:col min="8" max="8" width="13" hidden="0" customWidth="1"/>
    <x:col min="9" max="9" width="28" hidden="0" customWidth="1"/>
    <x:col min="10" max="10" width="14" hidden="0" customWidth="1"/>
    <x:col min="11" max="11" width="16" hidden="0" customWidth="1"/>
    <x:col min="12" max="12" width="14" hidden="0" customWidth="1"/>
    <x:col min="13" max="13" width="10" hidden="0" customWidth="1"/>
    <x:col min="14" max="14" width="13" hidden="0" customWidth="1"/>
    <x:col min="15" max="15" width="13" hidden="0" customWidth="1"/>
    <x:col min="16" max="16" width="12" hidden="0" customWidth="1"/>
    <x:col min="17" max="17" width="13" hidden="0" customWidth="1"/>
    <x:col min="18" max="18" width="12" hidden="0" customWidth="1"/>
    <x:col min="19" max="19" width="14" hidden="0" customWidth="1"/>
    <x:col min="20" max="20" width="12" hidden="0" customWidth="1"/>
    <x:col min="21" max="21" width="12" hidden="0" customWidth="1"/>
    <x:col min="22" max="22" width="18" hidden="0" customWidth="1"/>
    <x:col min="23" max="23" width="11" hidden="0" customWidth="1"/>
  </x:cols>
  <x:sheetData>
    <x:row r="1" ht="30" customHeight="1">
      <x:c r="A1" s="4" t="str">
        <x:v>LAGOM NATURALS — INVOICES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22" customHeight="1">
      <x:c r="A2" s="10" t="str">
        <x:v>One row per invoice. Enter only cream-colored fields; totals, AR state, margin, and QA are derived.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6">
      <x:c r="A6" s="22" t="str">
        <x:v>Invoice #</x:v>
      </x:c>
      <x:c r="B6" s="22" t="str">
        <x:v>Invoice Date</x:v>
      </x:c>
      <x:c r="C6" s="22" t="str">
        <x:v>Account</x:v>
      </x:c>
      <x:c r="D6" s="22" t="str">
        <x:v>Sales Rep</x:v>
      </x:c>
      <x:c r="E6" s="22" t="str">
        <x:v>Account Type</x:v>
      </x:c>
      <x:c r="F6" s="22" t="str">
        <x:v>Terms</x:v>
      </x:c>
      <x:c r="G6" s="22" t="str">
        <x:v>Amount Paid</x:v>
      </x:c>
      <x:c r="H6" s="22" t="str">
        <x:v>Payment Date</x:v>
      </x:c>
      <x:c r="I6" s="22" t="str">
        <x:v>Notes</x:v>
      </x:c>
      <x:c r="J6" s="22" t="str">
        <x:v>City</x:v>
      </x:c>
      <x:c r="K6" s="22" t="str">
        <x:v>Channel</x:v>
      </x:c>
      <x:c r="L6" s="22" t="str">
        <x:v>Invoice Revenue</x:v>
      </x:c>
      <x:c r="M6" s="22" t="str">
        <x:v>Cases</x:v>
      </x:c>
      <x:c r="N6" s="22" t="str">
        <x:v>Total COGS</x:v>
      </x:c>
      <x:c r="O6" s="22" t="str">
        <x:v>Gross Profit</x:v>
      </x:c>
      <x:c r="P6" s="22" t="str">
        <x:v>Gross Margin</x:v>
      </x:c>
      <x:c r="Q6" s="22" t="str">
        <x:v>Balance Due</x:v>
      </x:c>
      <x:c r="R6" s="22" t="str">
        <x:v>Due Date</x:v>
      </x:c>
      <x:c r="S6" s="22" t="str">
        <x:v>Payment Status</x:v>
      </x:c>
      <x:c r="T6" s="22" t="str">
        <x:v>Days Past Due</x:v>
      </x:c>
      <x:c r="U6" s="22" t="str">
        <x:v>Aging</x:v>
      </x:c>
      <x:c r="V6" s="22" t="str">
        <x:v>Commission Eligible Date</x:v>
      </x:c>
      <x:c r="W6" s="22" t="str">
        <x:v>QA Status</x:v>
      </x:c>
    </x:row>
    <x:row r="7">
      <x:c r="A7" s="46" t="str">
        <x:v>1088</x:v>
      </x:c>
      <x:c r="B7" s="56" t="n">
        <x:v>46064</x:v>
      </x:c>
      <x:c r="C7" s="46" t="str">
        <x:v>Wayzata Smoke Shop &amp; Vape</x:v>
      </x:c>
      <x:c r="D7" s="46" t="str">
        <x:v>Tito</x:v>
      </x:c>
      <x:c r="E7" s="46" t="str">
        <x:v>Reorder</x:v>
      </x:c>
      <x:c r="F7" s="46" t="str">
        <x:v>Due on receipt</x:v>
      </x:c>
      <x:c r="G7" s="58" t="n">
        <x:v>291.96</x:v>
      </x:c>
      <x:c r="H7" s="56" t="n">
        <x:v>46064</x:v>
      </x:c>
      <x:c r="I7" s="46" t="str"/>
      <x:c r="J7" s="52" t="str">
        <x:f>IF($A7="","",IFERROR(VLOOKUP($C7,Setup!$J$7:$M$56,2,FALSE),""))</x:f>
        <x:v>Wayzata</x:v>
      </x:c>
      <x:c r="K7" s="52" t="str">
        <x:f>IF($A7="","",IFERROR(VLOOKUP($C7,Setup!$J$7:$M$56,3,FALSE),""))</x:f>
        <x:v>Liquor Store</x:v>
      </x:c>
      <x:c r="L7" s="60" t="n">
        <x:f>IF($A7="","",SUMIF(Depletion!$A$7:$A$306,$A7,Depletion!$E$7:$E$306))</x:f>
        <x:v>291.96</x:v>
      </x:c>
      <x:c r="M7" s="62" t="n">
        <x:f>IF($A7="","",SUMIF(Depletion!$A$7:$A$306,$A7,Depletion!$C$7:$C$306))</x:f>
        <x:v>4</x:v>
      </x:c>
      <x:c r="N7" s="60" t="n">
        <x:f>IF($A7="","",SUMIF(Depletion!$A$7:$A$306,$A7,Depletion!$I$7:$I$306))</x:f>
        <x:v>288</x:v>
      </x:c>
      <x:c r="O7" s="60" t="n">
        <x:f>IF($A7="","",$L7-$N7)</x:f>
        <x:v>3.9599999999999795</x:v>
      </x:c>
      <x:c r="P7" s="64" t="n">
        <x:f>IF($A7="","",IFERROR($O7/$L7,0))</x:f>
        <x:v>0.013563501849568366</x:v>
      </x:c>
      <x:c r="Q7" s="60" t="n">
        <x:f>IF($A7="","",MAX($L7-$G7,0))</x:f>
        <x:v>0</x:v>
      </x:c>
      <x:c r="R7" s="66" t="n">
        <x:f>IF($A7="","",IFERROR($B7+VLOOKUP($F7,Setup!$Z$7:$AA$20,2,FALSE),""))</x:f>
        <x:v>46064</x:v>
      </x:c>
      <x:c r="S7" s="52" t="str">
        <x:f>IF($A7="","",IF($L7=0,"Draft",IF($Q7&lt;=0,"Paid",IF($G7&gt;0,"Partial","Unpaid"))))</x:f>
        <x:v>Paid</x:v>
      </x:c>
      <x:c r="T7" s="52" t="n">
        <x:f>IF($A7="","",IF($Q7&lt;=0,0,IF($R7="","",MAX(TODAY()-$R7,0))))</x:f>
        <x:v>0</x:v>
      </x:c>
      <x:c r="U7" s="52" t="str">
        <x:f>IF($A7="","",IF($S7="Paid","Closed",IF($R7="","Review",IF(TODAY()&lt;=$R7,"Current",IF($T7&lt;=30,"1-30",IF($T7&lt;=60,"31-60",IF($T7&lt;=90,"61-90","90+")))))))</x:f>
        <x:v>Closed</x:v>
      </x:c>
      <x:c r="V7" s="66" t="n">
        <x:f>IF($A7="","",IF(AND($S7="Paid",$H7&lt;&gt;""),$H7,""))</x:f>
        <x:v>46064</x:v>
      </x:c>
      <x:c r="W7" s="52" t="str">
        <x:f>IF($A7="","",IF(OR(COUNTIF($A$7:$A$156,$A7)&gt;1,$B7="",$C7="",$D7="",$E7="",$F7="",$J7="",$K7="",$L7&lt;=0,$G7&lt;0,$G7&gt;$L7,AND($S7="Paid",$H7="")),"REVIEW","OK"))</x:f>
        <x:v>OK</x:v>
      </x:c>
    </x:row>
    <x:row r="8">
      <x:c r="A8" s="46" t="str">
        <x:v>1089</x:v>
      </x:c>
      <x:c r="B8" s="56" t="n">
        <x:v>46064</x:v>
      </x:c>
      <x:c r="C8" s="46" t="str">
        <x:v>Long Lake Orono Smoke Shop</x:v>
      </x:c>
      <x:c r="D8" s="46" t="str">
        <x:v>Tito</x:v>
      </x:c>
      <x:c r="E8" s="46" t="str">
        <x:v>Reorder</x:v>
      </x:c>
      <x:c r="F8" s="46" t="str">
        <x:v>Due on receipt</x:v>
      </x:c>
      <x:c r="G8" s="58" t="n">
        <x:v>291.96</x:v>
      </x:c>
      <x:c r="H8" s="56" t="n">
        <x:v>46064</x:v>
      </x:c>
      <x:c r="I8" s="46" t="str"/>
      <x:c r="J8" s="52" t="str">
        <x:f>IF($A8="","",IFERROR(VLOOKUP($C8,Setup!$J$7:$M$56,2,FALSE),""))</x:f>
        <x:v>Long Lake</x:v>
      </x:c>
      <x:c r="K8" s="52" t="str">
        <x:f>IF($A8="","",IFERROR(VLOOKUP($C8,Setup!$J$7:$M$56,3,FALSE),""))</x:f>
        <x:v>Liquor Store</x:v>
      </x:c>
      <x:c r="L8" s="60" t="n">
        <x:f>IF($A8="","",SUMIF(Depletion!$A$7:$A$306,$A8,Depletion!$E$7:$E$306))</x:f>
        <x:v>291.96</x:v>
      </x:c>
      <x:c r="M8" s="62" t="n">
        <x:f>IF($A8="","",SUMIF(Depletion!$A$7:$A$306,$A8,Depletion!$C$7:$C$306))</x:f>
        <x:v>4</x:v>
      </x:c>
      <x:c r="N8" s="60" t="n">
        <x:f>IF($A8="","",SUMIF(Depletion!$A$7:$A$306,$A8,Depletion!$I$7:$I$306))</x:f>
        <x:v>288</x:v>
      </x:c>
      <x:c r="O8" s="60" t="n">
        <x:f>IF($A8="","",$L8-$N8)</x:f>
        <x:v>3.9599999999999795</x:v>
      </x:c>
      <x:c r="P8" s="64" t="n">
        <x:f>IF($A8="","",IFERROR($O8/$L8,0))</x:f>
        <x:v>0.013563501849568366</x:v>
      </x:c>
      <x:c r="Q8" s="60" t="n">
        <x:f>IF($A8="","",MAX($L8-$G8,0))</x:f>
        <x:v>0</x:v>
      </x:c>
      <x:c r="R8" s="66" t="n">
        <x:f>IF($A8="","",IFERROR($B8+VLOOKUP($F8,Setup!$Z$7:$AA$20,2,FALSE),""))</x:f>
        <x:v>46064</x:v>
      </x:c>
      <x:c r="S8" s="52" t="str">
        <x:f>IF($A8="","",IF($L8=0,"Draft",IF($Q8&lt;=0,"Paid",IF($G8&gt;0,"Partial","Unpaid"))))</x:f>
        <x:v>Paid</x:v>
      </x:c>
      <x:c r="T8" s="52" t="n">
        <x:f>IF($A8="","",IF($Q8&lt;=0,0,IF($R8="","",MAX(TODAY()-$R8,0))))</x:f>
        <x:v>0</x:v>
      </x:c>
      <x:c r="U8" s="52" t="str">
        <x:f>IF($A8="","",IF($S8="Paid","Closed",IF($R8="","Review",IF(TODAY()&lt;=$R8,"Current",IF($T8&lt;=30,"1-30",IF($T8&lt;=60,"31-60",IF($T8&lt;=90,"61-90","90+")))))))</x:f>
        <x:v>Closed</x:v>
      </x:c>
      <x:c r="V8" s="66" t="n">
        <x:f>IF($A8="","",IF(AND($S8="Paid",$H8&lt;&gt;""),$H8,""))</x:f>
        <x:v>46064</x:v>
      </x:c>
      <x:c r="W8" s="52" t="str">
        <x:f>IF($A8="","",IF(OR(COUNTIF($A$7:$A$156,$A8)&gt;1,$B8="",$C8="",$D8="",$E8="",$F8="",$J8="",$K8="",$L8&lt;=0,$G8&lt;0,$G8&gt;$L8,AND($S8="Paid",$H8="")),"REVIEW","OK"))</x:f>
        <x:v>OK</x:v>
      </x:c>
    </x:row>
    <x:row r="9">
      <x:c r="A9" s="46"/>
      <x:c r="B9" s="56"/>
      <x:c r="C9" s="46"/>
      <x:c r="D9" s="46"/>
      <x:c r="E9" s="46"/>
      <x:c r="F9" s="46"/>
      <x:c r="G9" s="58"/>
      <x:c r="H9" s="56"/>
      <x:c r="I9" s="46"/>
      <x:c r="J9" s="52" t="str">
        <x:f>IF($A9="","",IFERROR(VLOOKUP($C9,Setup!$J$7:$M$56,2,FALSE),""))</x:f>
      </x:c>
      <x:c r="K9" s="52" t="str">
        <x:f>IF($A9="","",IFERROR(VLOOKUP($C9,Setup!$J$7:$M$56,3,FALSE),""))</x:f>
      </x:c>
      <x:c r="L9" s="60" t="str">
        <x:f>IF($A9="","",SUMIF(Depletion!$A$7:$A$306,$A9,Depletion!$E$7:$E$306))</x:f>
      </x:c>
      <x:c r="M9" s="62" t="str">
        <x:f>IF($A9="","",SUMIF(Depletion!$A$7:$A$306,$A9,Depletion!$C$7:$C$306))</x:f>
      </x:c>
      <x:c r="N9" s="60" t="str">
        <x:f>IF($A9="","",SUMIF(Depletion!$A$7:$A$306,$A9,Depletion!$I$7:$I$306))</x:f>
      </x:c>
      <x:c r="O9" s="60" t="str">
        <x:f>IF($A9="","",$L9-$N9)</x:f>
      </x:c>
      <x:c r="P9" s="64" t="str">
        <x:f>IF($A9="","",IFERROR($O9/$L9,0))</x:f>
      </x:c>
      <x:c r="Q9" s="60" t="str">
        <x:f>IF($A9="","",MAX($L9-$G9,0))</x:f>
      </x:c>
      <x:c r="R9" s="66" t="str">
        <x:f>IF($A9="","",IFERROR($B9+VLOOKUP($F9,Setup!$Z$7:$AA$20,2,FALSE),""))</x:f>
      </x:c>
      <x:c r="S9" s="52" t="str">
        <x:f>IF($A9="","",IF($L9=0,"Draft",IF($Q9&lt;=0,"Paid",IF($G9&gt;0,"Partial","Unpaid"))))</x:f>
      </x:c>
      <x:c r="T9" s="52" t="str">
        <x:f>IF($A9="","",IF($Q9&lt;=0,0,IF($R9="","",MAX(TODAY()-$R9,0))))</x:f>
      </x:c>
      <x:c r="U9" s="52" t="str">
        <x:f>IF($A9="","",IF($S9="Paid","Closed",IF($R9="","Review",IF(TODAY()&lt;=$R9,"Current",IF($T9&lt;=30,"1-30",IF($T9&lt;=60,"31-60",IF($T9&lt;=90,"61-90","90+")))))))</x:f>
      </x:c>
      <x:c r="V9" s="66" t="str">
        <x:f>IF($A9="","",IF(AND($S9="Paid",$H9&lt;&gt;""),$H9,""))</x:f>
      </x:c>
      <x:c r="W9" s="52" t="str">
        <x:f>IF($A9="","",IF(OR(COUNTIF($A$7:$A$156,$A9)&gt;1,$B9="",$C9="",$D9="",$E9="",$F9="",$J9="",$K9="",$L9&lt;=0,$G9&lt;0,$G9&gt;$L9,AND($S9="Paid",$H9="")),"REVIEW","OK"))</x:f>
      </x:c>
    </x:row>
    <x:row r="10">
      <x:c r="A10" s="46"/>
      <x:c r="B10" s="56"/>
      <x:c r="C10" s="46"/>
      <x:c r="D10" s="46"/>
      <x:c r="E10" s="46"/>
      <x:c r="F10" s="46"/>
      <x:c r="G10" s="58"/>
      <x:c r="H10" s="56"/>
      <x:c r="I10" s="46"/>
      <x:c r="J10" s="52" t="str">
        <x:f>IF($A10="","",IFERROR(VLOOKUP($C10,Setup!$J$7:$M$56,2,FALSE),""))</x:f>
      </x:c>
      <x:c r="K10" s="52" t="str">
        <x:f>IF($A10="","",IFERROR(VLOOKUP($C10,Setup!$J$7:$M$56,3,FALSE),""))</x:f>
      </x:c>
      <x:c r="L10" s="60" t="str">
        <x:f>IF($A10="","",SUMIF(Depletion!$A$7:$A$306,$A10,Depletion!$E$7:$E$306))</x:f>
      </x:c>
      <x:c r="M10" s="62" t="str">
        <x:f>IF($A10="","",SUMIF(Depletion!$A$7:$A$306,$A10,Depletion!$C$7:$C$306))</x:f>
      </x:c>
      <x:c r="N10" s="60" t="str">
        <x:f>IF($A10="","",SUMIF(Depletion!$A$7:$A$306,$A10,Depletion!$I$7:$I$306))</x:f>
      </x:c>
      <x:c r="O10" s="60" t="str">
        <x:f>IF($A10="","",$L10-$N10)</x:f>
      </x:c>
      <x:c r="P10" s="64" t="str">
        <x:f>IF($A10="","",IFERROR($O10/$L10,0))</x:f>
      </x:c>
      <x:c r="Q10" s="60" t="str">
        <x:f>IF($A10="","",MAX($L10-$G10,0))</x:f>
      </x:c>
      <x:c r="R10" s="66" t="str">
        <x:f>IF($A10="","",IFERROR($B10+VLOOKUP($F10,Setup!$Z$7:$AA$20,2,FALSE),""))</x:f>
      </x:c>
      <x:c r="S10" s="52" t="str">
        <x:f>IF($A10="","",IF($L10=0,"Draft",IF($Q10&lt;=0,"Paid",IF($G10&gt;0,"Partial","Unpaid"))))</x:f>
      </x:c>
      <x:c r="T10" s="52" t="str">
        <x:f>IF($A10="","",IF($Q10&lt;=0,0,IF($R10="","",MAX(TODAY()-$R10,0))))</x:f>
      </x:c>
      <x:c r="U10" s="52" t="str">
        <x:f>IF($A10="","",IF($S10="Paid","Closed",IF($R10="","Review",IF(TODAY()&lt;=$R10,"Current",IF($T10&lt;=30,"1-30",IF($T10&lt;=60,"31-60",IF($T10&lt;=90,"61-90","90+")))))))</x:f>
      </x:c>
      <x:c r="V10" s="66" t="str">
        <x:f>IF($A10="","",IF(AND($S10="Paid",$H10&lt;&gt;""),$H10,""))</x:f>
      </x:c>
      <x:c r="W10" s="52" t="str">
        <x:f>IF($A10="","",IF(OR(COUNTIF($A$7:$A$156,$A10)&gt;1,$B10="",$C10="",$D10="",$E10="",$F10="",$J10="",$K10="",$L10&lt;=0,$G10&lt;0,$G10&gt;$L10,AND($S10="Paid",$H10="")),"REVIEW","OK"))</x:f>
      </x:c>
    </x:row>
    <x:row r="11">
      <x:c r="A11" s="46"/>
      <x:c r="B11" s="56"/>
      <x:c r="C11" s="46"/>
      <x:c r="D11" s="46"/>
      <x:c r="E11" s="46"/>
      <x:c r="F11" s="46"/>
      <x:c r="G11" s="58"/>
      <x:c r="H11" s="56"/>
      <x:c r="I11" s="46"/>
      <x:c r="J11" s="52" t="str">
        <x:f>IF($A11="","",IFERROR(VLOOKUP($C11,Setup!$J$7:$M$56,2,FALSE),""))</x:f>
      </x:c>
      <x:c r="K11" s="52" t="str">
        <x:f>IF($A11="","",IFERROR(VLOOKUP($C11,Setup!$J$7:$M$56,3,FALSE),""))</x:f>
      </x:c>
      <x:c r="L11" s="60" t="str">
        <x:f>IF($A11="","",SUMIF(Depletion!$A$7:$A$306,$A11,Depletion!$E$7:$E$306))</x:f>
      </x:c>
      <x:c r="M11" s="62" t="str">
        <x:f>IF($A11="","",SUMIF(Depletion!$A$7:$A$306,$A11,Depletion!$C$7:$C$306))</x:f>
      </x:c>
      <x:c r="N11" s="60" t="str">
        <x:f>IF($A11="","",SUMIF(Depletion!$A$7:$A$306,$A11,Depletion!$I$7:$I$306))</x:f>
      </x:c>
      <x:c r="O11" s="60" t="str">
        <x:f>IF($A11="","",$L11-$N11)</x:f>
      </x:c>
      <x:c r="P11" s="64" t="str">
        <x:f>IF($A11="","",IFERROR($O11/$L11,0))</x:f>
      </x:c>
      <x:c r="Q11" s="60" t="str">
        <x:f>IF($A11="","",MAX($L11-$G11,0))</x:f>
      </x:c>
      <x:c r="R11" s="66" t="str">
        <x:f>IF($A11="","",IFERROR($B11+VLOOKUP($F11,Setup!$Z$7:$AA$20,2,FALSE),""))</x:f>
      </x:c>
      <x:c r="S11" s="52" t="str">
        <x:f>IF($A11="","",IF($L11=0,"Draft",IF($Q11&lt;=0,"Paid",IF($G11&gt;0,"Partial","Unpaid"))))</x:f>
      </x:c>
      <x:c r="T11" s="52" t="str">
        <x:f>IF($A11="","",IF($Q11&lt;=0,0,IF($R11="","",MAX(TODAY()-$R11,0))))</x:f>
      </x:c>
      <x:c r="U11" s="52" t="str">
        <x:f>IF($A11="","",IF($S11="Paid","Closed",IF($R11="","Review",IF(TODAY()&lt;=$R11,"Current",IF($T11&lt;=30,"1-30",IF($T11&lt;=60,"31-60",IF($T11&lt;=90,"61-90","90+")))))))</x:f>
      </x:c>
      <x:c r="V11" s="66" t="str">
        <x:f>IF($A11="","",IF(AND($S11="Paid",$H11&lt;&gt;""),$H11,""))</x:f>
      </x:c>
      <x:c r="W11" s="52" t="str">
        <x:f>IF($A11="","",IF(OR(COUNTIF($A$7:$A$156,$A11)&gt;1,$B11="",$C11="",$D11="",$E11="",$F11="",$J11="",$K11="",$L11&lt;=0,$G11&lt;0,$G11&gt;$L11,AND($S11="Paid",$H11="")),"REVIEW","OK"))</x:f>
      </x:c>
    </x:row>
    <x:row r="12">
      <x:c r="A12" s="46"/>
      <x:c r="B12" s="56"/>
      <x:c r="C12" s="46"/>
      <x:c r="D12" s="46"/>
      <x:c r="E12" s="46"/>
      <x:c r="F12" s="46"/>
      <x:c r="G12" s="58"/>
      <x:c r="H12" s="56"/>
      <x:c r="I12" s="46"/>
      <x:c r="J12" s="52" t="str">
        <x:f>IF($A12="","",IFERROR(VLOOKUP($C12,Setup!$J$7:$M$56,2,FALSE),""))</x:f>
      </x:c>
      <x:c r="K12" s="52" t="str">
        <x:f>IF($A12="","",IFERROR(VLOOKUP($C12,Setup!$J$7:$M$56,3,FALSE),""))</x:f>
      </x:c>
      <x:c r="L12" s="60" t="str">
        <x:f>IF($A12="","",SUMIF(Depletion!$A$7:$A$306,$A12,Depletion!$E$7:$E$306))</x:f>
      </x:c>
      <x:c r="M12" s="62" t="str">
        <x:f>IF($A12="","",SUMIF(Depletion!$A$7:$A$306,$A12,Depletion!$C$7:$C$306))</x:f>
      </x:c>
      <x:c r="N12" s="60" t="str">
        <x:f>IF($A12="","",SUMIF(Depletion!$A$7:$A$306,$A12,Depletion!$I$7:$I$306))</x:f>
      </x:c>
      <x:c r="O12" s="60" t="str">
        <x:f>IF($A12="","",$L12-$N12)</x:f>
      </x:c>
      <x:c r="P12" s="64" t="str">
        <x:f>IF($A12="","",IFERROR($O12/$L12,0))</x:f>
      </x:c>
      <x:c r="Q12" s="60" t="str">
        <x:f>IF($A12="","",MAX($L12-$G12,0))</x:f>
      </x:c>
      <x:c r="R12" s="66" t="str">
        <x:f>IF($A12="","",IFERROR($B12+VLOOKUP($F12,Setup!$Z$7:$AA$20,2,FALSE),""))</x:f>
      </x:c>
      <x:c r="S12" s="52" t="str">
        <x:f>IF($A12="","",IF($L12=0,"Draft",IF($Q12&lt;=0,"Paid",IF($G12&gt;0,"Partial","Unpaid"))))</x:f>
      </x:c>
      <x:c r="T12" s="52" t="str">
        <x:f>IF($A12="","",IF($Q12&lt;=0,0,IF($R12="","",MAX(TODAY()-$R12,0))))</x:f>
      </x:c>
      <x:c r="U12" s="52" t="str">
        <x:f>IF($A12="","",IF($S12="Paid","Closed",IF($R12="","Review",IF(TODAY()&lt;=$R12,"Current",IF($T12&lt;=30,"1-30",IF($T12&lt;=60,"31-60",IF($T12&lt;=90,"61-90","90+")))))))</x:f>
      </x:c>
      <x:c r="V12" s="66" t="str">
        <x:f>IF($A12="","",IF(AND($S12="Paid",$H12&lt;&gt;""),$H12,""))</x:f>
      </x:c>
      <x:c r="W12" s="52" t="str">
        <x:f>IF($A12="","",IF(OR(COUNTIF($A$7:$A$156,$A12)&gt;1,$B12="",$C12="",$D12="",$E12="",$F12="",$J12="",$K12="",$L12&lt;=0,$G12&lt;0,$G12&gt;$L12,AND($S12="Paid",$H12="")),"REVIEW","OK"))</x:f>
      </x:c>
    </x:row>
    <x:row r="13">
      <x:c r="A13" s="46"/>
      <x:c r="B13" s="56"/>
      <x:c r="C13" s="46"/>
      <x:c r="D13" s="46"/>
      <x:c r="E13" s="46"/>
      <x:c r="F13" s="46"/>
      <x:c r="G13" s="58"/>
      <x:c r="H13" s="56"/>
      <x:c r="I13" s="46"/>
      <x:c r="J13" s="52" t="str">
        <x:f>IF($A13="","",IFERROR(VLOOKUP($C13,Setup!$J$7:$M$56,2,FALSE),""))</x:f>
      </x:c>
      <x:c r="K13" s="52" t="str">
        <x:f>IF($A13="","",IFERROR(VLOOKUP($C13,Setup!$J$7:$M$56,3,FALSE),""))</x:f>
      </x:c>
      <x:c r="L13" s="60" t="str">
        <x:f>IF($A13="","",SUMIF(Depletion!$A$7:$A$306,$A13,Depletion!$E$7:$E$306))</x:f>
      </x:c>
      <x:c r="M13" s="62" t="str">
        <x:f>IF($A13="","",SUMIF(Depletion!$A$7:$A$306,$A13,Depletion!$C$7:$C$306))</x:f>
      </x:c>
      <x:c r="N13" s="60" t="str">
        <x:f>IF($A13="","",SUMIF(Depletion!$A$7:$A$306,$A13,Depletion!$I$7:$I$306))</x:f>
      </x:c>
      <x:c r="O13" s="60" t="str">
        <x:f>IF($A13="","",$L13-$N13)</x:f>
      </x:c>
      <x:c r="P13" s="64" t="str">
        <x:f>IF($A13="","",IFERROR($O13/$L13,0))</x:f>
      </x:c>
      <x:c r="Q13" s="60" t="str">
        <x:f>IF($A13="","",MAX($L13-$G13,0))</x:f>
      </x:c>
      <x:c r="R13" s="66" t="str">
        <x:f>IF($A13="","",IFERROR($B13+VLOOKUP($F13,Setup!$Z$7:$AA$20,2,FALSE),""))</x:f>
      </x:c>
      <x:c r="S13" s="52" t="str">
        <x:f>IF($A13="","",IF($L13=0,"Draft",IF($Q13&lt;=0,"Paid",IF($G13&gt;0,"Partial","Unpaid"))))</x:f>
      </x:c>
      <x:c r="T13" s="52" t="str">
        <x:f>IF($A13="","",IF($Q13&lt;=0,0,IF($R13="","",MAX(TODAY()-$R13,0))))</x:f>
      </x:c>
      <x:c r="U13" s="52" t="str">
        <x:f>IF($A13="","",IF($S13="Paid","Closed",IF($R13="","Review",IF(TODAY()&lt;=$R13,"Current",IF($T13&lt;=30,"1-30",IF($T13&lt;=60,"31-60",IF($T13&lt;=90,"61-90","90+")))))))</x:f>
      </x:c>
      <x:c r="V13" s="66" t="str">
        <x:f>IF($A13="","",IF(AND($S13="Paid",$H13&lt;&gt;""),$H13,""))</x:f>
      </x:c>
      <x:c r="W13" s="52" t="str">
        <x:f>IF($A13="","",IF(OR(COUNTIF($A$7:$A$156,$A13)&gt;1,$B13="",$C13="",$D13="",$E13="",$F13="",$J13="",$K13="",$L13&lt;=0,$G13&lt;0,$G13&gt;$L13,AND($S13="Paid",$H13="")),"REVIEW","OK"))</x:f>
      </x:c>
    </x:row>
    <x:row r="14">
      <x:c r="A14" s="46"/>
      <x:c r="B14" s="56"/>
      <x:c r="C14" s="46"/>
      <x:c r="D14" s="46"/>
      <x:c r="E14" s="46"/>
      <x:c r="F14" s="46"/>
      <x:c r="G14" s="58"/>
      <x:c r="H14" s="56"/>
      <x:c r="I14" s="46"/>
      <x:c r="J14" s="52" t="str">
        <x:f>IF($A14="","",IFERROR(VLOOKUP($C14,Setup!$J$7:$M$56,2,FALSE),""))</x:f>
      </x:c>
      <x:c r="K14" s="52" t="str">
        <x:f>IF($A14="","",IFERROR(VLOOKUP($C14,Setup!$J$7:$M$56,3,FALSE),""))</x:f>
      </x:c>
      <x:c r="L14" s="60" t="str">
        <x:f>IF($A14="","",SUMIF(Depletion!$A$7:$A$306,$A14,Depletion!$E$7:$E$306))</x:f>
      </x:c>
      <x:c r="M14" s="62" t="str">
        <x:f>IF($A14="","",SUMIF(Depletion!$A$7:$A$306,$A14,Depletion!$C$7:$C$306))</x:f>
      </x:c>
      <x:c r="N14" s="60" t="str">
        <x:f>IF($A14="","",SUMIF(Depletion!$A$7:$A$306,$A14,Depletion!$I$7:$I$306))</x:f>
      </x:c>
      <x:c r="O14" s="60" t="str">
        <x:f>IF($A14="","",$L14-$N14)</x:f>
      </x:c>
      <x:c r="P14" s="64" t="str">
        <x:f>IF($A14="","",IFERROR($O14/$L14,0))</x:f>
      </x:c>
      <x:c r="Q14" s="60" t="str">
        <x:f>IF($A14="","",MAX($L14-$G14,0))</x:f>
      </x:c>
      <x:c r="R14" s="66" t="str">
        <x:f>IF($A14="","",IFERROR($B14+VLOOKUP($F14,Setup!$Z$7:$AA$20,2,FALSE),""))</x:f>
      </x:c>
      <x:c r="S14" s="52" t="str">
        <x:f>IF($A14="","",IF($L14=0,"Draft",IF($Q14&lt;=0,"Paid",IF($G14&gt;0,"Partial","Unpaid"))))</x:f>
      </x:c>
      <x:c r="T14" s="52" t="str">
        <x:f>IF($A14="","",IF($Q14&lt;=0,0,IF($R14="","",MAX(TODAY()-$R14,0))))</x:f>
      </x:c>
      <x:c r="U14" s="52" t="str">
        <x:f>IF($A14="","",IF($S14="Paid","Closed",IF($R14="","Review",IF(TODAY()&lt;=$R14,"Current",IF($T14&lt;=30,"1-30",IF($T14&lt;=60,"31-60",IF($T14&lt;=90,"61-90","90+")))))))</x:f>
      </x:c>
      <x:c r="V14" s="66" t="str">
        <x:f>IF($A14="","",IF(AND($S14="Paid",$H14&lt;&gt;""),$H14,""))</x:f>
      </x:c>
      <x:c r="W14" s="52" t="str">
        <x:f>IF($A14="","",IF(OR(COUNTIF($A$7:$A$156,$A14)&gt;1,$B14="",$C14="",$D14="",$E14="",$F14="",$J14="",$K14="",$L14&lt;=0,$G14&lt;0,$G14&gt;$L14,AND($S14="Paid",$H14="")),"REVIEW","OK"))</x:f>
      </x:c>
    </x:row>
    <x:row r="15">
      <x:c r="A15" s="46"/>
      <x:c r="B15" s="56"/>
      <x:c r="C15" s="46"/>
      <x:c r="D15" s="46"/>
      <x:c r="E15" s="46"/>
      <x:c r="F15" s="46"/>
      <x:c r="G15" s="58"/>
      <x:c r="H15" s="56"/>
      <x:c r="I15" s="46"/>
      <x:c r="J15" s="52" t="str">
        <x:f>IF($A15="","",IFERROR(VLOOKUP($C15,Setup!$J$7:$M$56,2,FALSE),""))</x:f>
      </x:c>
      <x:c r="K15" s="52" t="str">
        <x:f>IF($A15="","",IFERROR(VLOOKUP($C15,Setup!$J$7:$M$56,3,FALSE),""))</x:f>
      </x:c>
      <x:c r="L15" s="60" t="str">
        <x:f>IF($A15="","",SUMIF(Depletion!$A$7:$A$306,$A15,Depletion!$E$7:$E$306))</x:f>
      </x:c>
      <x:c r="M15" s="62" t="str">
        <x:f>IF($A15="","",SUMIF(Depletion!$A$7:$A$306,$A15,Depletion!$C$7:$C$306))</x:f>
      </x:c>
      <x:c r="N15" s="60" t="str">
        <x:f>IF($A15="","",SUMIF(Depletion!$A$7:$A$306,$A15,Depletion!$I$7:$I$306))</x:f>
      </x:c>
      <x:c r="O15" s="60" t="str">
        <x:f>IF($A15="","",$L15-$N15)</x:f>
      </x:c>
      <x:c r="P15" s="64" t="str">
        <x:f>IF($A15="","",IFERROR($O15/$L15,0))</x:f>
      </x:c>
      <x:c r="Q15" s="60" t="str">
        <x:f>IF($A15="","",MAX($L15-$G15,0))</x:f>
      </x:c>
      <x:c r="R15" s="66" t="str">
        <x:f>IF($A15="","",IFERROR($B15+VLOOKUP($F15,Setup!$Z$7:$AA$20,2,FALSE),""))</x:f>
      </x:c>
      <x:c r="S15" s="52" t="str">
        <x:f>IF($A15="","",IF($L15=0,"Draft",IF($Q15&lt;=0,"Paid",IF($G15&gt;0,"Partial","Unpaid"))))</x:f>
      </x:c>
      <x:c r="T15" s="52" t="str">
        <x:f>IF($A15="","",IF($Q15&lt;=0,0,IF($R15="","",MAX(TODAY()-$R15,0))))</x:f>
      </x:c>
      <x:c r="U15" s="52" t="str">
        <x:f>IF($A15="","",IF($S15="Paid","Closed",IF($R15="","Review",IF(TODAY()&lt;=$R15,"Current",IF($T15&lt;=30,"1-30",IF($T15&lt;=60,"31-60",IF($T15&lt;=90,"61-90","90+")))))))</x:f>
      </x:c>
      <x:c r="V15" s="66" t="str">
        <x:f>IF($A15="","",IF(AND($S15="Paid",$H15&lt;&gt;""),$H15,""))</x:f>
      </x:c>
      <x:c r="W15" s="52" t="str">
        <x:f>IF($A15="","",IF(OR(COUNTIF($A$7:$A$156,$A15)&gt;1,$B15="",$C15="",$D15="",$E15="",$F15="",$J15="",$K15="",$L15&lt;=0,$G15&lt;0,$G15&gt;$L15,AND($S15="Paid",$H15="")),"REVIEW","OK"))</x:f>
      </x:c>
    </x:row>
    <x:row r="16">
      <x:c r="A16" s="46"/>
      <x:c r="B16" s="56"/>
      <x:c r="C16" s="46"/>
      <x:c r="D16" s="46"/>
      <x:c r="E16" s="46"/>
      <x:c r="F16" s="46"/>
      <x:c r="G16" s="58"/>
      <x:c r="H16" s="56"/>
      <x:c r="I16" s="46"/>
      <x:c r="J16" s="52" t="str">
        <x:f>IF($A16="","",IFERROR(VLOOKUP($C16,Setup!$J$7:$M$56,2,FALSE),""))</x:f>
      </x:c>
      <x:c r="K16" s="52" t="str">
        <x:f>IF($A16="","",IFERROR(VLOOKUP($C16,Setup!$J$7:$M$56,3,FALSE),""))</x:f>
      </x:c>
      <x:c r="L16" s="60" t="str">
        <x:f>IF($A16="","",SUMIF(Depletion!$A$7:$A$306,$A16,Depletion!$E$7:$E$306))</x:f>
      </x:c>
      <x:c r="M16" s="62" t="str">
        <x:f>IF($A16="","",SUMIF(Depletion!$A$7:$A$306,$A16,Depletion!$C$7:$C$306))</x:f>
      </x:c>
      <x:c r="N16" s="60" t="str">
        <x:f>IF($A16="","",SUMIF(Depletion!$A$7:$A$306,$A16,Depletion!$I$7:$I$306))</x:f>
      </x:c>
      <x:c r="O16" s="60" t="str">
        <x:f>IF($A16="","",$L16-$N16)</x:f>
      </x:c>
      <x:c r="P16" s="64" t="str">
        <x:f>IF($A16="","",IFERROR($O16/$L16,0))</x:f>
      </x:c>
      <x:c r="Q16" s="60" t="str">
        <x:f>IF($A16="","",MAX($L16-$G16,0))</x:f>
      </x:c>
      <x:c r="R16" s="66" t="str">
        <x:f>IF($A16="","",IFERROR($B16+VLOOKUP($F16,Setup!$Z$7:$AA$20,2,FALSE),""))</x:f>
      </x:c>
      <x:c r="S16" s="52" t="str">
        <x:f>IF($A16="","",IF($L16=0,"Draft",IF($Q16&lt;=0,"Paid",IF($G16&gt;0,"Partial","Unpaid"))))</x:f>
      </x:c>
      <x:c r="T16" s="52" t="str">
        <x:f>IF($A16="","",IF($Q16&lt;=0,0,IF($R16="","",MAX(TODAY()-$R16,0))))</x:f>
      </x:c>
      <x:c r="U16" s="52" t="str">
        <x:f>IF($A16="","",IF($S16="Paid","Closed",IF($R16="","Review",IF(TODAY()&lt;=$R16,"Current",IF($T16&lt;=30,"1-30",IF($T16&lt;=60,"31-60",IF($T16&lt;=90,"61-90","90+")))))))</x:f>
      </x:c>
      <x:c r="V16" s="66" t="str">
        <x:f>IF($A16="","",IF(AND($S16="Paid",$H16&lt;&gt;""),$H16,""))</x:f>
      </x:c>
      <x:c r="W16" s="52" t="str">
        <x:f>IF($A16="","",IF(OR(COUNTIF($A$7:$A$156,$A16)&gt;1,$B16="",$C16="",$D16="",$E16="",$F16="",$J16="",$K16="",$L16&lt;=0,$G16&lt;0,$G16&gt;$L16,AND($S16="Paid",$H16="")),"REVIEW","OK"))</x:f>
      </x:c>
    </x:row>
    <x:row r="17">
      <x:c r="A17" s="46"/>
      <x:c r="B17" s="56"/>
      <x:c r="C17" s="46"/>
      <x:c r="D17" s="46"/>
      <x:c r="E17" s="46"/>
      <x:c r="F17" s="46"/>
      <x:c r="G17" s="58"/>
      <x:c r="H17" s="56"/>
      <x:c r="I17" s="46"/>
      <x:c r="J17" s="52" t="str">
        <x:f>IF($A17="","",IFERROR(VLOOKUP($C17,Setup!$J$7:$M$56,2,FALSE),""))</x:f>
      </x:c>
      <x:c r="K17" s="52" t="str">
        <x:f>IF($A17="","",IFERROR(VLOOKUP($C17,Setup!$J$7:$M$56,3,FALSE),""))</x:f>
      </x:c>
      <x:c r="L17" s="60" t="str">
        <x:f>IF($A17="","",SUMIF(Depletion!$A$7:$A$306,$A17,Depletion!$E$7:$E$306))</x:f>
      </x:c>
      <x:c r="M17" s="62" t="str">
        <x:f>IF($A17="","",SUMIF(Depletion!$A$7:$A$306,$A17,Depletion!$C$7:$C$306))</x:f>
      </x:c>
      <x:c r="N17" s="60" t="str">
        <x:f>IF($A17="","",SUMIF(Depletion!$A$7:$A$306,$A17,Depletion!$I$7:$I$306))</x:f>
      </x:c>
      <x:c r="O17" s="60" t="str">
        <x:f>IF($A17="","",$L17-$N17)</x:f>
      </x:c>
      <x:c r="P17" s="64" t="str">
        <x:f>IF($A17="","",IFERROR($O17/$L17,0))</x:f>
      </x:c>
      <x:c r="Q17" s="60" t="str">
        <x:f>IF($A17="","",MAX($L17-$G17,0))</x:f>
      </x:c>
      <x:c r="R17" s="66" t="str">
        <x:f>IF($A17="","",IFERROR($B17+VLOOKUP($F17,Setup!$Z$7:$AA$20,2,FALSE),""))</x:f>
      </x:c>
      <x:c r="S17" s="52" t="str">
        <x:f>IF($A17="","",IF($L17=0,"Draft",IF($Q17&lt;=0,"Paid",IF($G17&gt;0,"Partial","Unpaid"))))</x:f>
      </x:c>
      <x:c r="T17" s="52" t="str">
        <x:f>IF($A17="","",IF($Q17&lt;=0,0,IF($R17="","",MAX(TODAY()-$R17,0))))</x:f>
      </x:c>
      <x:c r="U17" s="52" t="str">
        <x:f>IF($A17="","",IF($S17="Paid","Closed",IF($R17="","Review",IF(TODAY()&lt;=$R17,"Current",IF($T17&lt;=30,"1-30",IF($T17&lt;=60,"31-60",IF($T17&lt;=90,"61-90","90+")))))))</x:f>
      </x:c>
      <x:c r="V17" s="66" t="str">
        <x:f>IF($A17="","",IF(AND($S17="Paid",$H17&lt;&gt;""),$H17,""))</x:f>
      </x:c>
      <x:c r="W17" s="52" t="str">
        <x:f>IF($A17="","",IF(OR(COUNTIF($A$7:$A$156,$A17)&gt;1,$B17="",$C17="",$D17="",$E17="",$F17="",$J17="",$K17="",$L17&lt;=0,$G17&lt;0,$G17&gt;$L17,AND($S17="Paid",$H17="")),"REVIEW","OK"))</x:f>
      </x:c>
    </x:row>
    <x:row r="18">
      <x:c r="A18" s="46"/>
      <x:c r="B18" s="56"/>
      <x:c r="C18" s="46"/>
      <x:c r="D18" s="46"/>
      <x:c r="E18" s="46"/>
      <x:c r="F18" s="46"/>
      <x:c r="G18" s="58"/>
      <x:c r="H18" s="56"/>
      <x:c r="I18" s="46"/>
      <x:c r="J18" s="52" t="str">
        <x:f>IF($A18="","",IFERROR(VLOOKUP($C18,Setup!$J$7:$M$56,2,FALSE),""))</x:f>
      </x:c>
      <x:c r="K18" s="52" t="str">
        <x:f>IF($A18="","",IFERROR(VLOOKUP($C18,Setup!$J$7:$M$56,3,FALSE),""))</x:f>
      </x:c>
      <x:c r="L18" s="60" t="str">
        <x:f>IF($A18="","",SUMIF(Depletion!$A$7:$A$306,$A18,Depletion!$E$7:$E$306))</x:f>
      </x:c>
      <x:c r="M18" s="62" t="str">
        <x:f>IF($A18="","",SUMIF(Depletion!$A$7:$A$306,$A18,Depletion!$C$7:$C$306))</x:f>
      </x:c>
      <x:c r="N18" s="60" t="str">
        <x:f>IF($A18="","",SUMIF(Depletion!$A$7:$A$306,$A18,Depletion!$I$7:$I$306))</x:f>
      </x:c>
      <x:c r="O18" s="60" t="str">
        <x:f>IF($A18="","",$L18-$N18)</x:f>
      </x:c>
      <x:c r="P18" s="64" t="str">
        <x:f>IF($A18="","",IFERROR($O18/$L18,0))</x:f>
      </x:c>
      <x:c r="Q18" s="60" t="str">
        <x:f>IF($A18="","",MAX($L18-$G18,0))</x:f>
      </x:c>
      <x:c r="R18" s="66" t="str">
        <x:f>IF($A18="","",IFERROR($B18+VLOOKUP($F18,Setup!$Z$7:$AA$20,2,FALSE),""))</x:f>
      </x:c>
      <x:c r="S18" s="52" t="str">
        <x:f>IF($A18="","",IF($L18=0,"Draft",IF($Q18&lt;=0,"Paid",IF($G18&gt;0,"Partial","Unpaid"))))</x:f>
      </x:c>
      <x:c r="T18" s="52" t="str">
        <x:f>IF($A18="","",IF($Q18&lt;=0,0,IF($R18="","",MAX(TODAY()-$R18,0))))</x:f>
      </x:c>
      <x:c r="U18" s="52" t="str">
        <x:f>IF($A18="","",IF($S18="Paid","Closed",IF($R18="","Review",IF(TODAY()&lt;=$R18,"Current",IF($T18&lt;=30,"1-30",IF($T18&lt;=60,"31-60",IF($T18&lt;=90,"61-90","90+")))))))</x:f>
      </x:c>
      <x:c r="V18" s="66" t="str">
        <x:f>IF($A18="","",IF(AND($S18="Paid",$H18&lt;&gt;""),$H18,""))</x:f>
      </x:c>
      <x:c r="W18" s="52" t="str">
        <x:f>IF($A18="","",IF(OR(COUNTIF($A$7:$A$156,$A18)&gt;1,$B18="",$C18="",$D18="",$E18="",$F18="",$J18="",$K18="",$L18&lt;=0,$G18&lt;0,$G18&gt;$L18,AND($S18="Paid",$H18="")),"REVIEW","OK"))</x:f>
      </x:c>
    </x:row>
    <x:row r="19">
      <x:c r="A19" s="46"/>
      <x:c r="B19" s="56"/>
      <x:c r="C19" s="46"/>
      <x:c r="D19" s="46"/>
      <x:c r="E19" s="46"/>
      <x:c r="F19" s="46"/>
      <x:c r="G19" s="58"/>
      <x:c r="H19" s="56"/>
      <x:c r="I19" s="46"/>
      <x:c r="J19" s="52" t="str">
        <x:f>IF($A19="","",IFERROR(VLOOKUP($C19,Setup!$J$7:$M$56,2,FALSE),""))</x:f>
      </x:c>
      <x:c r="K19" s="52" t="str">
        <x:f>IF($A19="","",IFERROR(VLOOKUP($C19,Setup!$J$7:$M$56,3,FALSE),""))</x:f>
      </x:c>
      <x:c r="L19" s="60" t="str">
        <x:f>IF($A19="","",SUMIF(Depletion!$A$7:$A$306,$A19,Depletion!$E$7:$E$306))</x:f>
      </x:c>
      <x:c r="M19" s="62" t="str">
        <x:f>IF($A19="","",SUMIF(Depletion!$A$7:$A$306,$A19,Depletion!$C$7:$C$306))</x:f>
      </x:c>
      <x:c r="N19" s="60" t="str">
        <x:f>IF($A19="","",SUMIF(Depletion!$A$7:$A$306,$A19,Depletion!$I$7:$I$306))</x:f>
      </x:c>
      <x:c r="O19" s="60" t="str">
        <x:f>IF($A19="","",$L19-$N19)</x:f>
      </x:c>
      <x:c r="P19" s="64" t="str">
        <x:f>IF($A19="","",IFERROR($O19/$L19,0))</x:f>
      </x:c>
      <x:c r="Q19" s="60" t="str">
        <x:f>IF($A19="","",MAX($L19-$G19,0))</x:f>
      </x:c>
      <x:c r="R19" s="66" t="str">
        <x:f>IF($A19="","",IFERROR($B19+VLOOKUP($F19,Setup!$Z$7:$AA$20,2,FALSE),""))</x:f>
      </x:c>
      <x:c r="S19" s="52" t="str">
        <x:f>IF($A19="","",IF($L19=0,"Draft",IF($Q19&lt;=0,"Paid",IF($G19&gt;0,"Partial","Unpaid"))))</x:f>
      </x:c>
      <x:c r="T19" s="52" t="str">
        <x:f>IF($A19="","",IF($Q19&lt;=0,0,IF($R19="","",MAX(TODAY()-$R19,0))))</x:f>
      </x:c>
      <x:c r="U19" s="52" t="str">
        <x:f>IF($A19="","",IF($S19="Paid","Closed",IF($R19="","Review",IF(TODAY()&lt;=$R19,"Current",IF($T19&lt;=30,"1-30",IF($T19&lt;=60,"31-60",IF($T19&lt;=90,"61-90","90+")))))))</x:f>
      </x:c>
      <x:c r="V19" s="66" t="str">
        <x:f>IF($A19="","",IF(AND($S19="Paid",$H19&lt;&gt;""),$H19,""))</x:f>
      </x:c>
      <x:c r="W19" s="52" t="str">
        <x:f>IF($A19="","",IF(OR(COUNTIF($A$7:$A$156,$A19)&gt;1,$B19="",$C19="",$D19="",$E19="",$F19="",$J19="",$K19="",$L19&lt;=0,$G19&lt;0,$G19&gt;$L19,AND($S19="Paid",$H19="")),"REVIEW","OK"))</x:f>
      </x:c>
    </x:row>
    <x:row r="20">
      <x:c r="A20" s="46"/>
      <x:c r="B20" s="56"/>
      <x:c r="C20" s="46"/>
      <x:c r="D20" s="46"/>
      <x:c r="E20" s="46"/>
      <x:c r="F20" s="46"/>
      <x:c r="G20" s="58"/>
      <x:c r="H20" s="56"/>
      <x:c r="I20" s="46"/>
      <x:c r="J20" s="52" t="str">
        <x:f>IF($A20="","",IFERROR(VLOOKUP($C20,Setup!$J$7:$M$56,2,FALSE),""))</x:f>
      </x:c>
      <x:c r="K20" s="52" t="str">
        <x:f>IF($A20="","",IFERROR(VLOOKUP($C20,Setup!$J$7:$M$56,3,FALSE),""))</x:f>
      </x:c>
      <x:c r="L20" s="60" t="str">
        <x:f>IF($A20="","",SUMIF(Depletion!$A$7:$A$306,$A20,Depletion!$E$7:$E$306))</x:f>
      </x:c>
      <x:c r="M20" s="62" t="str">
        <x:f>IF($A20="","",SUMIF(Depletion!$A$7:$A$306,$A20,Depletion!$C$7:$C$306))</x:f>
      </x:c>
      <x:c r="N20" s="60" t="str">
        <x:f>IF($A20="","",SUMIF(Depletion!$A$7:$A$306,$A20,Depletion!$I$7:$I$306))</x:f>
      </x:c>
      <x:c r="O20" s="60" t="str">
        <x:f>IF($A20="","",$L20-$N20)</x:f>
      </x:c>
      <x:c r="P20" s="64" t="str">
        <x:f>IF($A20="","",IFERROR($O20/$L20,0))</x:f>
      </x:c>
      <x:c r="Q20" s="60" t="str">
        <x:f>IF($A20="","",MAX($L20-$G20,0))</x:f>
      </x:c>
      <x:c r="R20" s="66" t="str">
        <x:f>IF($A20="","",IFERROR($B20+VLOOKUP($F20,Setup!$Z$7:$AA$20,2,FALSE),""))</x:f>
      </x:c>
      <x:c r="S20" s="52" t="str">
        <x:f>IF($A20="","",IF($L20=0,"Draft",IF($Q20&lt;=0,"Paid",IF($G20&gt;0,"Partial","Unpaid"))))</x:f>
      </x:c>
      <x:c r="T20" s="52" t="str">
        <x:f>IF($A20="","",IF($Q20&lt;=0,0,IF($R20="","",MAX(TODAY()-$R20,0))))</x:f>
      </x:c>
      <x:c r="U20" s="52" t="str">
        <x:f>IF($A20="","",IF($S20="Paid","Closed",IF($R20="","Review",IF(TODAY()&lt;=$R20,"Current",IF($T20&lt;=30,"1-30",IF($T20&lt;=60,"31-60",IF($T20&lt;=90,"61-90","90+")))))))</x:f>
      </x:c>
      <x:c r="V20" s="66" t="str">
        <x:f>IF($A20="","",IF(AND($S20="Paid",$H20&lt;&gt;""),$H20,""))</x:f>
      </x:c>
      <x:c r="W20" s="52" t="str">
        <x:f>IF($A20="","",IF(OR(COUNTIF($A$7:$A$156,$A20)&gt;1,$B20="",$C20="",$D20="",$E20="",$F20="",$J20="",$K20="",$L20&lt;=0,$G20&lt;0,$G20&gt;$L20,AND($S20="Paid",$H20="")),"REVIEW","OK"))</x:f>
      </x:c>
    </x:row>
    <x:row r="21">
      <x:c r="A21" s="46"/>
      <x:c r="B21" s="56"/>
      <x:c r="C21" s="46"/>
      <x:c r="D21" s="46"/>
      <x:c r="E21" s="46"/>
      <x:c r="F21" s="46"/>
      <x:c r="G21" s="58"/>
      <x:c r="H21" s="56"/>
      <x:c r="I21" s="46"/>
      <x:c r="J21" s="52" t="str">
        <x:f>IF($A21="","",IFERROR(VLOOKUP($C21,Setup!$J$7:$M$56,2,FALSE),""))</x:f>
      </x:c>
      <x:c r="K21" s="52" t="str">
        <x:f>IF($A21="","",IFERROR(VLOOKUP($C21,Setup!$J$7:$M$56,3,FALSE),""))</x:f>
      </x:c>
      <x:c r="L21" s="60" t="str">
        <x:f>IF($A21="","",SUMIF(Depletion!$A$7:$A$306,$A21,Depletion!$E$7:$E$306))</x:f>
      </x:c>
      <x:c r="M21" s="62" t="str">
        <x:f>IF($A21="","",SUMIF(Depletion!$A$7:$A$306,$A21,Depletion!$C$7:$C$306))</x:f>
      </x:c>
      <x:c r="N21" s="60" t="str">
        <x:f>IF($A21="","",SUMIF(Depletion!$A$7:$A$306,$A21,Depletion!$I$7:$I$306))</x:f>
      </x:c>
      <x:c r="O21" s="60" t="str">
        <x:f>IF($A21="","",$L21-$N21)</x:f>
      </x:c>
      <x:c r="P21" s="64" t="str">
        <x:f>IF($A21="","",IFERROR($O21/$L21,0))</x:f>
      </x:c>
      <x:c r="Q21" s="60" t="str">
        <x:f>IF($A21="","",MAX($L21-$G21,0))</x:f>
      </x:c>
      <x:c r="R21" s="66" t="str">
        <x:f>IF($A21="","",IFERROR($B21+VLOOKUP($F21,Setup!$Z$7:$AA$20,2,FALSE),""))</x:f>
      </x:c>
      <x:c r="S21" s="52" t="str">
        <x:f>IF($A21="","",IF($L21=0,"Draft",IF($Q21&lt;=0,"Paid",IF($G21&gt;0,"Partial","Unpaid"))))</x:f>
      </x:c>
      <x:c r="T21" s="52" t="str">
        <x:f>IF($A21="","",IF($Q21&lt;=0,0,IF($R21="","",MAX(TODAY()-$R21,0))))</x:f>
      </x:c>
      <x:c r="U21" s="52" t="str">
        <x:f>IF($A21="","",IF($S21="Paid","Closed",IF($R21="","Review",IF(TODAY()&lt;=$R21,"Current",IF($T21&lt;=30,"1-30",IF($T21&lt;=60,"31-60",IF($T21&lt;=90,"61-90","90+")))))))</x:f>
      </x:c>
      <x:c r="V21" s="66" t="str">
        <x:f>IF($A21="","",IF(AND($S21="Paid",$H21&lt;&gt;""),$H21,""))</x:f>
      </x:c>
      <x:c r="W21" s="52" t="str">
        <x:f>IF($A21="","",IF(OR(COUNTIF($A$7:$A$156,$A21)&gt;1,$B21="",$C21="",$D21="",$E21="",$F21="",$J21="",$K21="",$L21&lt;=0,$G21&lt;0,$G21&gt;$L21,AND($S21="Paid",$H21="")),"REVIEW","OK"))</x:f>
      </x:c>
    </x:row>
    <x:row r="22">
      <x:c r="A22" s="46"/>
      <x:c r="B22" s="56"/>
      <x:c r="C22" s="46"/>
      <x:c r="D22" s="46"/>
      <x:c r="E22" s="46"/>
      <x:c r="F22" s="46"/>
      <x:c r="G22" s="58"/>
      <x:c r="H22" s="56"/>
      <x:c r="I22" s="46"/>
      <x:c r="J22" s="52" t="str">
        <x:f>IF($A22="","",IFERROR(VLOOKUP($C22,Setup!$J$7:$M$56,2,FALSE),""))</x:f>
      </x:c>
      <x:c r="K22" s="52" t="str">
        <x:f>IF($A22="","",IFERROR(VLOOKUP($C22,Setup!$J$7:$M$56,3,FALSE),""))</x:f>
      </x:c>
      <x:c r="L22" s="60" t="str">
        <x:f>IF($A22="","",SUMIF(Depletion!$A$7:$A$306,$A22,Depletion!$E$7:$E$306))</x:f>
      </x:c>
      <x:c r="M22" s="62" t="str">
        <x:f>IF($A22="","",SUMIF(Depletion!$A$7:$A$306,$A22,Depletion!$C$7:$C$306))</x:f>
      </x:c>
      <x:c r="N22" s="60" t="str">
        <x:f>IF($A22="","",SUMIF(Depletion!$A$7:$A$306,$A22,Depletion!$I$7:$I$306))</x:f>
      </x:c>
      <x:c r="O22" s="60" t="str">
        <x:f>IF($A22="","",$L22-$N22)</x:f>
      </x:c>
      <x:c r="P22" s="64" t="str">
        <x:f>IF($A22="","",IFERROR($O22/$L22,0))</x:f>
      </x:c>
      <x:c r="Q22" s="60" t="str">
        <x:f>IF($A22="","",MAX($L22-$G22,0))</x:f>
      </x:c>
      <x:c r="R22" s="66" t="str">
        <x:f>IF($A22="","",IFERROR($B22+VLOOKUP($F22,Setup!$Z$7:$AA$20,2,FALSE),""))</x:f>
      </x:c>
      <x:c r="S22" s="52" t="str">
        <x:f>IF($A22="","",IF($L22=0,"Draft",IF($Q22&lt;=0,"Paid",IF($G22&gt;0,"Partial","Unpaid"))))</x:f>
      </x:c>
      <x:c r="T22" s="52" t="str">
        <x:f>IF($A22="","",IF($Q22&lt;=0,0,IF($R22="","",MAX(TODAY()-$R22,0))))</x:f>
      </x:c>
      <x:c r="U22" s="52" t="str">
        <x:f>IF($A22="","",IF($S22="Paid","Closed",IF($R22="","Review",IF(TODAY()&lt;=$R22,"Current",IF($T22&lt;=30,"1-30",IF($T22&lt;=60,"31-60",IF($T22&lt;=90,"61-90","90+")))))))</x:f>
      </x:c>
      <x:c r="V22" s="66" t="str">
        <x:f>IF($A22="","",IF(AND($S22="Paid",$H22&lt;&gt;""),$H22,""))</x:f>
      </x:c>
      <x:c r="W22" s="52" t="str">
        <x:f>IF($A22="","",IF(OR(COUNTIF($A$7:$A$156,$A22)&gt;1,$B22="",$C22="",$D22="",$E22="",$F22="",$J22="",$K22="",$L22&lt;=0,$G22&lt;0,$G22&gt;$L22,AND($S22="Paid",$H22="")),"REVIEW","OK"))</x:f>
      </x:c>
    </x:row>
    <x:row r="23">
      <x:c r="A23" s="46"/>
      <x:c r="B23" s="56"/>
      <x:c r="C23" s="46"/>
      <x:c r="D23" s="46"/>
      <x:c r="E23" s="46"/>
      <x:c r="F23" s="46"/>
      <x:c r="G23" s="58"/>
      <x:c r="H23" s="56"/>
      <x:c r="I23" s="46"/>
      <x:c r="J23" s="52" t="str">
        <x:f>IF($A23="","",IFERROR(VLOOKUP($C23,Setup!$J$7:$M$56,2,FALSE),""))</x:f>
      </x:c>
      <x:c r="K23" s="52" t="str">
        <x:f>IF($A23="","",IFERROR(VLOOKUP($C23,Setup!$J$7:$M$56,3,FALSE),""))</x:f>
      </x:c>
      <x:c r="L23" s="60" t="str">
        <x:f>IF($A23="","",SUMIF(Depletion!$A$7:$A$306,$A23,Depletion!$E$7:$E$306))</x:f>
      </x:c>
      <x:c r="M23" s="62" t="str">
        <x:f>IF($A23="","",SUMIF(Depletion!$A$7:$A$306,$A23,Depletion!$C$7:$C$306))</x:f>
      </x:c>
      <x:c r="N23" s="60" t="str">
        <x:f>IF($A23="","",SUMIF(Depletion!$A$7:$A$306,$A23,Depletion!$I$7:$I$306))</x:f>
      </x:c>
      <x:c r="O23" s="60" t="str">
        <x:f>IF($A23="","",$L23-$N23)</x:f>
      </x:c>
      <x:c r="P23" s="64" t="str">
        <x:f>IF($A23="","",IFERROR($O23/$L23,0))</x:f>
      </x:c>
      <x:c r="Q23" s="60" t="str">
        <x:f>IF($A23="","",MAX($L23-$G23,0))</x:f>
      </x:c>
      <x:c r="R23" s="66" t="str">
        <x:f>IF($A23="","",IFERROR($B23+VLOOKUP($F23,Setup!$Z$7:$AA$20,2,FALSE),""))</x:f>
      </x:c>
      <x:c r="S23" s="52" t="str">
        <x:f>IF($A23="","",IF($L23=0,"Draft",IF($Q23&lt;=0,"Paid",IF($G23&gt;0,"Partial","Unpaid"))))</x:f>
      </x:c>
      <x:c r="T23" s="52" t="str">
        <x:f>IF($A23="","",IF($Q23&lt;=0,0,IF($R23="","",MAX(TODAY()-$R23,0))))</x:f>
      </x:c>
      <x:c r="U23" s="52" t="str">
        <x:f>IF($A23="","",IF($S23="Paid","Closed",IF($R23="","Review",IF(TODAY()&lt;=$R23,"Current",IF($T23&lt;=30,"1-30",IF($T23&lt;=60,"31-60",IF($T23&lt;=90,"61-90","90+")))))))</x:f>
      </x:c>
      <x:c r="V23" s="66" t="str">
        <x:f>IF($A23="","",IF(AND($S23="Paid",$H23&lt;&gt;""),$H23,""))</x:f>
      </x:c>
      <x:c r="W23" s="52" t="str">
        <x:f>IF($A23="","",IF(OR(COUNTIF($A$7:$A$156,$A23)&gt;1,$B23="",$C23="",$D23="",$E23="",$F23="",$J23="",$K23="",$L23&lt;=0,$G23&lt;0,$G23&gt;$L23,AND($S23="Paid",$H23="")),"REVIEW","OK"))</x:f>
      </x:c>
    </x:row>
    <x:row r="24">
      <x:c r="A24" s="46"/>
      <x:c r="B24" s="56"/>
      <x:c r="C24" s="46"/>
      <x:c r="D24" s="46"/>
      <x:c r="E24" s="46"/>
      <x:c r="F24" s="46"/>
      <x:c r="G24" s="58"/>
      <x:c r="H24" s="56"/>
      <x:c r="I24" s="46"/>
      <x:c r="J24" s="52" t="str">
        <x:f>IF($A24="","",IFERROR(VLOOKUP($C24,Setup!$J$7:$M$56,2,FALSE),""))</x:f>
      </x:c>
      <x:c r="K24" s="52" t="str">
        <x:f>IF($A24="","",IFERROR(VLOOKUP($C24,Setup!$J$7:$M$56,3,FALSE),""))</x:f>
      </x:c>
      <x:c r="L24" s="60" t="str">
        <x:f>IF($A24="","",SUMIF(Depletion!$A$7:$A$306,$A24,Depletion!$E$7:$E$306))</x:f>
      </x:c>
      <x:c r="M24" s="62" t="str">
        <x:f>IF($A24="","",SUMIF(Depletion!$A$7:$A$306,$A24,Depletion!$C$7:$C$306))</x:f>
      </x:c>
      <x:c r="N24" s="60" t="str">
        <x:f>IF($A24="","",SUMIF(Depletion!$A$7:$A$306,$A24,Depletion!$I$7:$I$306))</x:f>
      </x:c>
      <x:c r="O24" s="60" t="str">
        <x:f>IF($A24="","",$L24-$N24)</x:f>
      </x:c>
      <x:c r="P24" s="64" t="str">
        <x:f>IF($A24="","",IFERROR($O24/$L24,0))</x:f>
      </x:c>
      <x:c r="Q24" s="60" t="str">
        <x:f>IF($A24="","",MAX($L24-$G24,0))</x:f>
      </x:c>
      <x:c r="R24" s="66" t="str">
        <x:f>IF($A24="","",IFERROR($B24+VLOOKUP($F24,Setup!$Z$7:$AA$20,2,FALSE),""))</x:f>
      </x:c>
      <x:c r="S24" s="52" t="str">
        <x:f>IF($A24="","",IF($L24=0,"Draft",IF($Q24&lt;=0,"Paid",IF($G24&gt;0,"Partial","Unpaid"))))</x:f>
      </x:c>
      <x:c r="T24" s="52" t="str">
        <x:f>IF($A24="","",IF($Q24&lt;=0,0,IF($R24="","",MAX(TODAY()-$R24,0))))</x:f>
      </x:c>
      <x:c r="U24" s="52" t="str">
        <x:f>IF($A24="","",IF($S24="Paid","Closed",IF($R24="","Review",IF(TODAY()&lt;=$R24,"Current",IF($T24&lt;=30,"1-30",IF($T24&lt;=60,"31-60",IF($T24&lt;=90,"61-90","90+")))))))</x:f>
      </x:c>
      <x:c r="V24" s="66" t="str">
        <x:f>IF($A24="","",IF(AND($S24="Paid",$H24&lt;&gt;""),$H24,""))</x:f>
      </x:c>
      <x:c r="W24" s="52" t="str">
        <x:f>IF($A24="","",IF(OR(COUNTIF($A$7:$A$156,$A24)&gt;1,$B24="",$C24="",$D24="",$E24="",$F24="",$J24="",$K24="",$L24&lt;=0,$G24&lt;0,$G24&gt;$L24,AND($S24="Paid",$H24="")),"REVIEW","OK"))</x:f>
      </x:c>
    </x:row>
    <x:row r="25">
      <x:c r="A25" s="46"/>
      <x:c r="B25" s="56"/>
      <x:c r="C25" s="46"/>
      <x:c r="D25" s="46"/>
      <x:c r="E25" s="46"/>
      <x:c r="F25" s="46"/>
      <x:c r="G25" s="58"/>
      <x:c r="H25" s="56"/>
      <x:c r="I25" s="46"/>
      <x:c r="J25" s="52" t="str">
        <x:f>IF($A25="","",IFERROR(VLOOKUP($C25,Setup!$J$7:$M$56,2,FALSE),""))</x:f>
      </x:c>
      <x:c r="K25" s="52" t="str">
        <x:f>IF($A25="","",IFERROR(VLOOKUP($C25,Setup!$J$7:$M$56,3,FALSE),""))</x:f>
      </x:c>
      <x:c r="L25" s="60" t="str">
        <x:f>IF($A25="","",SUMIF(Depletion!$A$7:$A$306,$A25,Depletion!$E$7:$E$306))</x:f>
      </x:c>
      <x:c r="M25" s="62" t="str">
        <x:f>IF($A25="","",SUMIF(Depletion!$A$7:$A$306,$A25,Depletion!$C$7:$C$306))</x:f>
      </x:c>
      <x:c r="N25" s="60" t="str">
        <x:f>IF($A25="","",SUMIF(Depletion!$A$7:$A$306,$A25,Depletion!$I$7:$I$306))</x:f>
      </x:c>
      <x:c r="O25" s="60" t="str">
        <x:f>IF($A25="","",$L25-$N25)</x:f>
      </x:c>
      <x:c r="P25" s="64" t="str">
        <x:f>IF($A25="","",IFERROR($O25/$L25,0))</x:f>
      </x:c>
      <x:c r="Q25" s="60" t="str">
        <x:f>IF($A25="","",MAX($L25-$G25,0))</x:f>
      </x:c>
      <x:c r="R25" s="66" t="str">
        <x:f>IF($A25="","",IFERROR($B25+VLOOKUP($F25,Setup!$Z$7:$AA$20,2,FALSE),""))</x:f>
      </x:c>
      <x:c r="S25" s="52" t="str">
        <x:f>IF($A25="","",IF($L25=0,"Draft",IF($Q25&lt;=0,"Paid",IF($G25&gt;0,"Partial","Unpaid"))))</x:f>
      </x:c>
      <x:c r="T25" s="52" t="str">
        <x:f>IF($A25="","",IF($Q25&lt;=0,0,IF($R25="","",MAX(TODAY()-$R25,0))))</x:f>
      </x:c>
      <x:c r="U25" s="52" t="str">
        <x:f>IF($A25="","",IF($S25="Paid","Closed",IF($R25="","Review",IF(TODAY()&lt;=$R25,"Current",IF($T25&lt;=30,"1-30",IF($T25&lt;=60,"31-60",IF($T25&lt;=90,"61-90","90+")))))))</x:f>
      </x:c>
      <x:c r="V25" s="66" t="str">
        <x:f>IF($A25="","",IF(AND($S25="Paid",$H25&lt;&gt;""),$H25,""))</x:f>
      </x:c>
      <x:c r="W25" s="52" t="str">
        <x:f>IF($A25="","",IF(OR(COUNTIF($A$7:$A$156,$A25)&gt;1,$B25="",$C25="",$D25="",$E25="",$F25="",$J25="",$K25="",$L25&lt;=0,$G25&lt;0,$G25&gt;$L25,AND($S25="Paid",$H25="")),"REVIEW","OK"))</x:f>
      </x:c>
    </x:row>
    <x:row r="26">
      <x:c r="A26" s="46"/>
      <x:c r="B26" s="56"/>
      <x:c r="C26" s="46"/>
      <x:c r="D26" s="46"/>
      <x:c r="E26" s="46"/>
      <x:c r="F26" s="46"/>
      <x:c r="G26" s="58"/>
      <x:c r="H26" s="56"/>
      <x:c r="I26" s="46"/>
      <x:c r="J26" s="52" t="str">
        <x:f>IF($A26="","",IFERROR(VLOOKUP($C26,Setup!$J$7:$M$56,2,FALSE),""))</x:f>
      </x:c>
      <x:c r="K26" s="52" t="str">
        <x:f>IF($A26="","",IFERROR(VLOOKUP($C26,Setup!$J$7:$M$56,3,FALSE),""))</x:f>
      </x:c>
      <x:c r="L26" s="60" t="str">
        <x:f>IF($A26="","",SUMIF(Depletion!$A$7:$A$306,$A26,Depletion!$E$7:$E$306))</x:f>
      </x:c>
      <x:c r="M26" s="62" t="str">
        <x:f>IF($A26="","",SUMIF(Depletion!$A$7:$A$306,$A26,Depletion!$C$7:$C$306))</x:f>
      </x:c>
      <x:c r="N26" s="60" t="str">
        <x:f>IF($A26="","",SUMIF(Depletion!$A$7:$A$306,$A26,Depletion!$I$7:$I$306))</x:f>
      </x:c>
      <x:c r="O26" s="60" t="str">
        <x:f>IF($A26="","",$L26-$N26)</x:f>
      </x:c>
      <x:c r="P26" s="64" t="str">
        <x:f>IF($A26="","",IFERROR($O26/$L26,0))</x:f>
      </x:c>
      <x:c r="Q26" s="60" t="str">
        <x:f>IF($A26="","",MAX($L26-$G26,0))</x:f>
      </x:c>
      <x:c r="R26" s="66" t="str">
        <x:f>IF($A26="","",IFERROR($B26+VLOOKUP($F26,Setup!$Z$7:$AA$20,2,FALSE),""))</x:f>
      </x:c>
      <x:c r="S26" s="52" t="str">
        <x:f>IF($A26="","",IF($L26=0,"Draft",IF($Q26&lt;=0,"Paid",IF($G26&gt;0,"Partial","Unpaid"))))</x:f>
      </x:c>
      <x:c r="T26" s="52" t="str">
        <x:f>IF($A26="","",IF($Q26&lt;=0,0,IF($R26="","",MAX(TODAY()-$R26,0))))</x:f>
      </x:c>
      <x:c r="U26" s="52" t="str">
        <x:f>IF($A26="","",IF($S26="Paid","Closed",IF($R26="","Review",IF(TODAY()&lt;=$R26,"Current",IF($T26&lt;=30,"1-30",IF($T26&lt;=60,"31-60",IF($T26&lt;=90,"61-90","90+")))))))</x:f>
      </x:c>
      <x:c r="V26" s="66" t="str">
        <x:f>IF($A26="","",IF(AND($S26="Paid",$H26&lt;&gt;""),$H26,""))</x:f>
      </x:c>
      <x:c r="W26" s="52" t="str">
        <x:f>IF($A26="","",IF(OR(COUNTIF($A$7:$A$156,$A26)&gt;1,$B26="",$C26="",$D26="",$E26="",$F26="",$J26="",$K26="",$L26&lt;=0,$G26&lt;0,$G26&gt;$L26,AND($S26="Paid",$H26="")),"REVIEW","OK"))</x:f>
      </x:c>
    </x:row>
    <x:row r="27">
      <x:c r="A27" s="46"/>
      <x:c r="B27" s="56"/>
      <x:c r="C27" s="46"/>
      <x:c r="D27" s="46"/>
      <x:c r="E27" s="46"/>
      <x:c r="F27" s="46"/>
      <x:c r="G27" s="58"/>
      <x:c r="H27" s="56"/>
      <x:c r="I27" s="46"/>
      <x:c r="J27" s="52" t="str">
        <x:f>IF($A27="","",IFERROR(VLOOKUP($C27,Setup!$J$7:$M$56,2,FALSE),""))</x:f>
      </x:c>
      <x:c r="K27" s="52" t="str">
        <x:f>IF($A27="","",IFERROR(VLOOKUP($C27,Setup!$J$7:$M$56,3,FALSE),""))</x:f>
      </x:c>
      <x:c r="L27" s="60" t="str">
        <x:f>IF($A27="","",SUMIF(Depletion!$A$7:$A$306,$A27,Depletion!$E$7:$E$306))</x:f>
      </x:c>
      <x:c r="M27" s="62" t="str">
        <x:f>IF($A27="","",SUMIF(Depletion!$A$7:$A$306,$A27,Depletion!$C$7:$C$306))</x:f>
      </x:c>
      <x:c r="N27" s="60" t="str">
        <x:f>IF($A27="","",SUMIF(Depletion!$A$7:$A$306,$A27,Depletion!$I$7:$I$306))</x:f>
      </x:c>
      <x:c r="O27" s="60" t="str">
        <x:f>IF($A27="","",$L27-$N27)</x:f>
      </x:c>
      <x:c r="P27" s="64" t="str">
        <x:f>IF($A27="","",IFERROR($O27/$L27,0))</x:f>
      </x:c>
      <x:c r="Q27" s="60" t="str">
        <x:f>IF($A27="","",MAX($L27-$G27,0))</x:f>
      </x:c>
      <x:c r="R27" s="66" t="str">
        <x:f>IF($A27="","",IFERROR($B27+VLOOKUP($F27,Setup!$Z$7:$AA$20,2,FALSE),""))</x:f>
      </x:c>
      <x:c r="S27" s="52" t="str">
        <x:f>IF($A27="","",IF($L27=0,"Draft",IF($Q27&lt;=0,"Paid",IF($G27&gt;0,"Partial","Unpaid"))))</x:f>
      </x:c>
      <x:c r="T27" s="52" t="str">
        <x:f>IF($A27="","",IF($Q27&lt;=0,0,IF($R27="","",MAX(TODAY()-$R27,0))))</x:f>
      </x:c>
      <x:c r="U27" s="52" t="str">
        <x:f>IF($A27="","",IF($S27="Paid","Closed",IF($R27="","Review",IF(TODAY()&lt;=$R27,"Current",IF($T27&lt;=30,"1-30",IF($T27&lt;=60,"31-60",IF($T27&lt;=90,"61-90","90+")))))))</x:f>
      </x:c>
      <x:c r="V27" s="66" t="str">
        <x:f>IF($A27="","",IF(AND($S27="Paid",$H27&lt;&gt;""),$H27,""))</x:f>
      </x:c>
      <x:c r="W27" s="52" t="str">
        <x:f>IF($A27="","",IF(OR(COUNTIF($A$7:$A$156,$A27)&gt;1,$B27="",$C27="",$D27="",$E27="",$F27="",$J27="",$K27="",$L27&lt;=0,$G27&lt;0,$G27&gt;$L27,AND($S27="Paid",$H27="")),"REVIEW","OK"))</x:f>
      </x:c>
    </x:row>
    <x:row r="28">
      <x:c r="A28" s="46"/>
      <x:c r="B28" s="56"/>
      <x:c r="C28" s="46"/>
      <x:c r="D28" s="46"/>
      <x:c r="E28" s="46"/>
      <x:c r="F28" s="46"/>
      <x:c r="G28" s="58"/>
      <x:c r="H28" s="56"/>
      <x:c r="I28" s="46"/>
      <x:c r="J28" s="52" t="str">
        <x:f>IF($A28="","",IFERROR(VLOOKUP($C28,Setup!$J$7:$M$56,2,FALSE),""))</x:f>
      </x:c>
      <x:c r="K28" s="52" t="str">
        <x:f>IF($A28="","",IFERROR(VLOOKUP($C28,Setup!$J$7:$M$56,3,FALSE),""))</x:f>
      </x:c>
      <x:c r="L28" s="60" t="str">
        <x:f>IF($A28="","",SUMIF(Depletion!$A$7:$A$306,$A28,Depletion!$E$7:$E$306))</x:f>
      </x:c>
      <x:c r="M28" s="62" t="str">
        <x:f>IF($A28="","",SUMIF(Depletion!$A$7:$A$306,$A28,Depletion!$C$7:$C$306))</x:f>
      </x:c>
      <x:c r="N28" s="60" t="str">
        <x:f>IF($A28="","",SUMIF(Depletion!$A$7:$A$306,$A28,Depletion!$I$7:$I$306))</x:f>
      </x:c>
      <x:c r="O28" s="60" t="str">
        <x:f>IF($A28="","",$L28-$N28)</x:f>
      </x:c>
      <x:c r="P28" s="64" t="str">
        <x:f>IF($A28="","",IFERROR($O28/$L28,0))</x:f>
      </x:c>
      <x:c r="Q28" s="60" t="str">
        <x:f>IF($A28="","",MAX($L28-$G28,0))</x:f>
      </x:c>
      <x:c r="R28" s="66" t="str">
        <x:f>IF($A28="","",IFERROR($B28+VLOOKUP($F28,Setup!$Z$7:$AA$20,2,FALSE),""))</x:f>
      </x:c>
      <x:c r="S28" s="52" t="str">
        <x:f>IF($A28="","",IF($L28=0,"Draft",IF($Q28&lt;=0,"Paid",IF($G28&gt;0,"Partial","Unpaid"))))</x:f>
      </x:c>
      <x:c r="T28" s="52" t="str">
        <x:f>IF($A28="","",IF($Q28&lt;=0,0,IF($R28="","",MAX(TODAY()-$R28,0))))</x:f>
      </x:c>
      <x:c r="U28" s="52" t="str">
        <x:f>IF($A28="","",IF($S28="Paid","Closed",IF($R28="","Review",IF(TODAY()&lt;=$R28,"Current",IF($T28&lt;=30,"1-30",IF($T28&lt;=60,"31-60",IF($T28&lt;=90,"61-90","90+")))))))</x:f>
      </x:c>
      <x:c r="V28" s="66" t="str">
        <x:f>IF($A28="","",IF(AND($S28="Paid",$H28&lt;&gt;""),$H28,""))</x:f>
      </x:c>
      <x:c r="W28" s="52" t="str">
        <x:f>IF($A28="","",IF(OR(COUNTIF($A$7:$A$156,$A28)&gt;1,$B28="",$C28="",$D28="",$E28="",$F28="",$J28="",$K28="",$L28&lt;=0,$G28&lt;0,$G28&gt;$L28,AND($S28="Paid",$H28="")),"REVIEW","OK"))</x:f>
      </x:c>
    </x:row>
    <x:row r="29">
      <x:c r="A29" s="46"/>
      <x:c r="B29" s="56"/>
      <x:c r="C29" s="46"/>
      <x:c r="D29" s="46"/>
      <x:c r="E29" s="46"/>
      <x:c r="F29" s="46"/>
      <x:c r="G29" s="58"/>
      <x:c r="H29" s="56"/>
      <x:c r="I29" s="46"/>
      <x:c r="J29" s="52" t="str">
        <x:f>IF($A29="","",IFERROR(VLOOKUP($C29,Setup!$J$7:$M$56,2,FALSE),""))</x:f>
      </x:c>
      <x:c r="K29" s="52" t="str">
        <x:f>IF($A29="","",IFERROR(VLOOKUP($C29,Setup!$J$7:$M$56,3,FALSE),""))</x:f>
      </x:c>
      <x:c r="L29" s="60" t="str">
        <x:f>IF($A29="","",SUMIF(Depletion!$A$7:$A$306,$A29,Depletion!$E$7:$E$306))</x:f>
      </x:c>
      <x:c r="M29" s="62" t="str">
        <x:f>IF($A29="","",SUMIF(Depletion!$A$7:$A$306,$A29,Depletion!$C$7:$C$306))</x:f>
      </x:c>
      <x:c r="N29" s="60" t="str">
        <x:f>IF($A29="","",SUMIF(Depletion!$A$7:$A$306,$A29,Depletion!$I$7:$I$306))</x:f>
      </x:c>
      <x:c r="O29" s="60" t="str">
        <x:f>IF($A29="","",$L29-$N29)</x:f>
      </x:c>
      <x:c r="P29" s="64" t="str">
        <x:f>IF($A29="","",IFERROR($O29/$L29,0))</x:f>
      </x:c>
      <x:c r="Q29" s="60" t="str">
        <x:f>IF($A29="","",MAX($L29-$G29,0))</x:f>
      </x:c>
      <x:c r="R29" s="66" t="str">
        <x:f>IF($A29="","",IFERROR($B29+VLOOKUP($F29,Setup!$Z$7:$AA$20,2,FALSE),""))</x:f>
      </x:c>
      <x:c r="S29" s="52" t="str">
        <x:f>IF($A29="","",IF($L29=0,"Draft",IF($Q29&lt;=0,"Paid",IF($G29&gt;0,"Partial","Unpaid"))))</x:f>
      </x:c>
      <x:c r="T29" s="52" t="str">
        <x:f>IF($A29="","",IF($Q29&lt;=0,0,IF($R29="","",MAX(TODAY()-$R29,0))))</x:f>
      </x:c>
      <x:c r="U29" s="52" t="str">
        <x:f>IF($A29="","",IF($S29="Paid","Closed",IF($R29="","Review",IF(TODAY()&lt;=$R29,"Current",IF($T29&lt;=30,"1-30",IF($T29&lt;=60,"31-60",IF($T29&lt;=90,"61-90","90+")))))))</x:f>
      </x:c>
      <x:c r="V29" s="66" t="str">
        <x:f>IF($A29="","",IF(AND($S29="Paid",$H29&lt;&gt;""),$H29,""))</x:f>
      </x:c>
      <x:c r="W29" s="52" t="str">
        <x:f>IF($A29="","",IF(OR(COUNTIF($A$7:$A$156,$A29)&gt;1,$B29="",$C29="",$D29="",$E29="",$F29="",$J29="",$K29="",$L29&lt;=0,$G29&lt;0,$G29&gt;$L29,AND($S29="Paid",$H29="")),"REVIEW","OK"))</x:f>
      </x:c>
    </x:row>
    <x:row r="30">
      <x:c r="A30" s="46"/>
      <x:c r="B30" s="56"/>
      <x:c r="C30" s="46"/>
      <x:c r="D30" s="46"/>
      <x:c r="E30" s="46"/>
      <x:c r="F30" s="46"/>
      <x:c r="G30" s="58"/>
      <x:c r="H30" s="56"/>
      <x:c r="I30" s="46"/>
      <x:c r="J30" s="52" t="str">
        <x:f>IF($A30="","",IFERROR(VLOOKUP($C30,Setup!$J$7:$M$56,2,FALSE),""))</x:f>
      </x:c>
      <x:c r="K30" s="52" t="str">
        <x:f>IF($A30="","",IFERROR(VLOOKUP($C30,Setup!$J$7:$M$56,3,FALSE),""))</x:f>
      </x:c>
      <x:c r="L30" s="60" t="str">
        <x:f>IF($A30="","",SUMIF(Depletion!$A$7:$A$306,$A30,Depletion!$E$7:$E$306))</x:f>
      </x:c>
      <x:c r="M30" s="62" t="str">
        <x:f>IF($A30="","",SUMIF(Depletion!$A$7:$A$306,$A30,Depletion!$C$7:$C$306))</x:f>
      </x:c>
      <x:c r="N30" s="60" t="str">
        <x:f>IF($A30="","",SUMIF(Depletion!$A$7:$A$306,$A30,Depletion!$I$7:$I$306))</x:f>
      </x:c>
      <x:c r="O30" s="60" t="str">
        <x:f>IF($A30="","",$L30-$N30)</x:f>
      </x:c>
      <x:c r="P30" s="64" t="str">
        <x:f>IF($A30="","",IFERROR($O30/$L30,0))</x:f>
      </x:c>
      <x:c r="Q30" s="60" t="str">
        <x:f>IF($A30="","",MAX($L30-$G30,0))</x:f>
      </x:c>
      <x:c r="R30" s="66" t="str">
        <x:f>IF($A30="","",IFERROR($B30+VLOOKUP($F30,Setup!$Z$7:$AA$20,2,FALSE),""))</x:f>
      </x:c>
      <x:c r="S30" s="52" t="str">
        <x:f>IF($A30="","",IF($L30=0,"Draft",IF($Q30&lt;=0,"Paid",IF($G30&gt;0,"Partial","Unpaid"))))</x:f>
      </x:c>
      <x:c r="T30" s="52" t="str">
        <x:f>IF($A30="","",IF($Q30&lt;=0,0,IF($R30="","",MAX(TODAY()-$R30,0))))</x:f>
      </x:c>
      <x:c r="U30" s="52" t="str">
        <x:f>IF($A30="","",IF($S30="Paid","Closed",IF($R30="","Review",IF(TODAY()&lt;=$R30,"Current",IF($T30&lt;=30,"1-30",IF($T30&lt;=60,"31-60",IF($T30&lt;=90,"61-90","90+")))))))</x:f>
      </x:c>
      <x:c r="V30" s="66" t="str">
        <x:f>IF($A30="","",IF(AND($S30="Paid",$H30&lt;&gt;""),$H30,""))</x:f>
      </x:c>
      <x:c r="W30" s="52" t="str">
        <x:f>IF($A30="","",IF(OR(COUNTIF($A$7:$A$156,$A30)&gt;1,$B30="",$C30="",$D30="",$E30="",$F30="",$J30="",$K30="",$L30&lt;=0,$G30&lt;0,$G30&gt;$L30,AND($S30="Paid",$H30="")),"REVIEW","OK"))</x:f>
      </x:c>
    </x:row>
    <x:row r="31">
      <x:c r="A31" s="46"/>
      <x:c r="B31" s="56"/>
      <x:c r="C31" s="46"/>
      <x:c r="D31" s="46"/>
      <x:c r="E31" s="46"/>
      <x:c r="F31" s="46"/>
      <x:c r="G31" s="58"/>
      <x:c r="H31" s="56"/>
      <x:c r="I31" s="46"/>
      <x:c r="J31" s="52" t="str">
        <x:f>IF($A31="","",IFERROR(VLOOKUP($C31,Setup!$J$7:$M$56,2,FALSE),""))</x:f>
      </x:c>
      <x:c r="K31" s="52" t="str">
        <x:f>IF($A31="","",IFERROR(VLOOKUP($C31,Setup!$J$7:$M$56,3,FALSE),""))</x:f>
      </x:c>
      <x:c r="L31" s="60" t="str">
        <x:f>IF($A31="","",SUMIF(Depletion!$A$7:$A$306,$A31,Depletion!$E$7:$E$306))</x:f>
      </x:c>
      <x:c r="M31" s="62" t="str">
        <x:f>IF($A31="","",SUMIF(Depletion!$A$7:$A$306,$A31,Depletion!$C$7:$C$306))</x:f>
      </x:c>
      <x:c r="N31" s="60" t="str">
        <x:f>IF($A31="","",SUMIF(Depletion!$A$7:$A$306,$A31,Depletion!$I$7:$I$306))</x:f>
      </x:c>
      <x:c r="O31" s="60" t="str">
        <x:f>IF($A31="","",$L31-$N31)</x:f>
      </x:c>
      <x:c r="P31" s="64" t="str">
        <x:f>IF($A31="","",IFERROR($O31/$L31,0))</x:f>
      </x:c>
      <x:c r="Q31" s="60" t="str">
        <x:f>IF($A31="","",MAX($L31-$G31,0))</x:f>
      </x:c>
      <x:c r="R31" s="66" t="str">
        <x:f>IF($A31="","",IFERROR($B31+VLOOKUP($F31,Setup!$Z$7:$AA$20,2,FALSE),""))</x:f>
      </x:c>
      <x:c r="S31" s="52" t="str">
        <x:f>IF($A31="","",IF($L31=0,"Draft",IF($Q31&lt;=0,"Paid",IF($G31&gt;0,"Partial","Unpaid"))))</x:f>
      </x:c>
      <x:c r="T31" s="52" t="str">
        <x:f>IF($A31="","",IF($Q31&lt;=0,0,IF($R31="","",MAX(TODAY()-$R31,0))))</x:f>
      </x:c>
      <x:c r="U31" s="52" t="str">
        <x:f>IF($A31="","",IF($S31="Paid","Closed",IF($R31="","Review",IF(TODAY()&lt;=$R31,"Current",IF($T31&lt;=30,"1-30",IF($T31&lt;=60,"31-60",IF($T31&lt;=90,"61-90","90+")))))))</x:f>
      </x:c>
      <x:c r="V31" s="66" t="str">
        <x:f>IF($A31="","",IF(AND($S31="Paid",$H31&lt;&gt;""),$H31,""))</x:f>
      </x:c>
      <x:c r="W31" s="52" t="str">
        <x:f>IF($A31="","",IF(OR(COUNTIF($A$7:$A$156,$A31)&gt;1,$B31="",$C31="",$D31="",$E31="",$F31="",$J31="",$K31="",$L31&lt;=0,$G31&lt;0,$G31&gt;$L31,AND($S31="Paid",$H31="")),"REVIEW","OK"))</x:f>
      </x:c>
    </x:row>
    <x:row r="32">
      <x:c r="A32" s="46"/>
      <x:c r="B32" s="56"/>
      <x:c r="C32" s="46"/>
      <x:c r="D32" s="46"/>
      <x:c r="E32" s="46"/>
      <x:c r="F32" s="46"/>
      <x:c r="G32" s="58"/>
      <x:c r="H32" s="56"/>
      <x:c r="I32" s="46"/>
      <x:c r="J32" s="52" t="str">
        <x:f>IF($A32="","",IFERROR(VLOOKUP($C32,Setup!$J$7:$M$56,2,FALSE),""))</x:f>
      </x:c>
      <x:c r="K32" s="52" t="str">
        <x:f>IF($A32="","",IFERROR(VLOOKUP($C32,Setup!$J$7:$M$56,3,FALSE),""))</x:f>
      </x:c>
      <x:c r="L32" s="60" t="str">
        <x:f>IF($A32="","",SUMIF(Depletion!$A$7:$A$306,$A32,Depletion!$E$7:$E$306))</x:f>
      </x:c>
      <x:c r="M32" s="62" t="str">
        <x:f>IF($A32="","",SUMIF(Depletion!$A$7:$A$306,$A32,Depletion!$C$7:$C$306))</x:f>
      </x:c>
      <x:c r="N32" s="60" t="str">
        <x:f>IF($A32="","",SUMIF(Depletion!$A$7:$A$306,$A32,Depletion!$I$7:$I$306))</x:f>
      </x:c>
      <x:c r="O32" s="60" t="str">
        <x:f>IF($A32="","",$L32-$N32)</x:f>
      </x:c>
      <x:c r="P32" s="64" t="str">
        <x:f>IF($A32="","",IFERROR($O32/$L32,0))</x:f>
      </x:c>
      <x:c r="Q32" s="60" t="str">
        <x:f>IF($A32="","",MAX($L32-$G32,0))</x:f>
      </x:c>
      <x:c r="R32" s="66" t="str">
        <x:f>IF($A32="","",IFERROR($B32+VLOOKUP($F32,Setup!$Z$7:$AA$20,2,FALSE),""))</x:f>
      </x:c>
      <x:c r="S32" s="52" t="str">
        <x:f>IF($A32="","",IF($L32=0,"Draft",IF($Q32&lt;=0,"Paid",IF($G32&gt;0,"Partial","Unpaid"))))</x:f>
      </x:c>
      <x:c r="T32" s="52" t="str">
        <x:f>IF($A32="","",IF($Q32&lt;=0,0,IF($R32="","",MAX(TODAY()-$R32,0))))</x:f>
      </x:c>
      <x:c r="U32" s="52" t="str">
        <x:f>IF($A32="","",IF($S32="Paid","Closed",IF($R32="","Review",IF(TODAY()&lt;=$R32,"Current",IF($T32&lt;=30,"1-30",IF($T32&lt;=60,"31-60",IF($T32&lt;=90,"61-90","90+")))))))</x:f>
      </x:c>
      <x:c r="V32" s="66" t="str">
        <x:f>IF($A32="","",IF(AND($S32="Paid",$H32&lt;&gt;""),$H32,""))</x:f>
      </x:c>
      <x:c r="W32" s="52" t="str">
        <x:f>IF($A32="","",IF(OR(COUNTIF($A$7:$A$156,$A32)&gt;1,$B32="",$C32="",$D32="",$E32="",$F32="",$J32="",$K32="",$L32&lt;=0,$G32&lt;0,$G32&gt;$L32,AND($S32="Paid",$H32="")),"REVIEW","OK"))</x:f>
      </x:c>
    </x:row>
    <x:row r="33">
      <x:c r="A33" s="46"/>
      <x:c r="B33" s="56"/>
      <x:c r="C33" s="46"/>
      <x:c r="D33" s="46"/>
      <x:c r="E33" s="46"/>
      <x:c r="F33" s="46"/>
      <x:c r="G33" s="58"/>
      <x:c r="H33" s="56"/>
      <x:c r="I33" s="46"/>
      <x:c r="J33" s="52" t="str">
        <x:f>IF($A33="","",IFERROR(VLOOKUP($C33,Setup!$J$7:$M$56,2,FALSE),""))</x:f>
      </x:c>
      <x:c r="K33" s="52" t="str">
        <x:f>IF($A33="","",IFERROR(VLOOKUP($C33,Setup!$J$7:$M$56,3,FALSE),""))</x:f>
      </x:c>
      <x:c r="L33" s="60" t="str">
        <x:f>IF($A33="","",SUMIF(Depletion!$A$7:$A$306,$A33,Depletion!$E$7:$E$306))</x:f>
      </x:c>
      <x:c r="M33" s="62" t="str">
        <x:f>IF($A33="","",SUMIF(Depletion!$A$7:$A$306,$A33,Depletion!$C$7:$C$306))</x:f>
      </x:c>
      <x:c r="N33" s="60" t="str">
        <x:f>IF($A33="","",SUMIF(Depletion!$A$7:$A$306,$A33,Depletion!$I$7:$I$306))</x:f>
      </x:c>
      <x:c r="O33" s="60" t="str">
        <x:f>IF($A33="","",$L33-$N33)</x:f>
      </x:c>
      <x:c r="P33" s="64" t="str">
        <x:f>IF($A33="","",IFERROR($O33/$L33,0))</x:f>
      </x:c>
      <x:c r="Q33" s="60" t="str">
        <x:f>IF($A33="","",MAX($L33-$G33,0))</x:f>
      </x:c>
      <x:c r="R33" s="66" t="str">
        <x:f>IF($A33="","",IFERROR($B33+VLOOKUP($F33,Setup!$Z$7:$AA$20,2,FALSE),""))</x:f>
      </x:c>
      <x:c r="S33" s="52" t="str">
        <x:f>IF($A33="","",IF($L33=0,"Draft",IF($Q33&lt;=0,"Paid",IF($G33&gt;0,"Partial","Unpaid"))))</x:f>
      </x:c>
      <x:c r="T33" s="52" t="str">
        <x:f>IF($A33="","",IF($Q33&lt;=0,0,IF($R33="","",MAX(TODAY()-$R33,0))))</x:f>
      </x:c>
      <x:c r="U33" s="52" t="str">
        <x:f>IF($A33="","",IF($S33="Paid","Closed",IF($R33="","Review",IF(TODAY()&lt;=$R33,"Current",IF($T33&lt;=30,"1-30",IF($T33&lt;=60,"31-60",IF($T33&lt;=90,"61-90","90+")))))))</x:f>
      </x:c>
      <x:c r="V33" s="66" t="str">
        <x:f>IF($A33="","",IF(AND($S33="Paid",$H33&lt;&gt;""),$H33,""))</x:f>
      </x:c>
      <x:c r="W33" s="52" t="str">
        <x:f>IF($A33="","",IF(OR(COUNTIF($A$7:$A$156,$A33)&gt;1,$B33="",$C33="",$D33="",$E33="",$F33="",$J33="",$K33="",$L33&lt;=0,$G33&lt;0,$G33&gt;$L33,AND($S33="Paid",$H33="")),"REVIEW","OK"))</x:f>
      </x:c>
    </x:row>
    <x:row r="34">
      <x:c r="A34" s="46"/>
      <x:c r="B34" s="56"/>
      <x:c r="C34" s="46"/>
      <x:c r="D34" s="46"/>
      <x:c r="E34" s="46"/>
      <x:c r="F34" s="46"/>
      <x:c r="G34" s="58"/>
      <x:c r="H34" s="56"/>
      <x:c r="I34" s="46"/>
      <x:c r="J34" s="52" t="str">
        <x:f>IF($A34="","",IFERROR(VLOOKUP($C34,Setup!$J$7:$M$56,2,FALSE),""))</x:f>
      </x:c>
      <x:c r="K34" s="52" t="str">
        <x:f>IF($A34="","",IFERROR(VLOOKUP($C34,Setup!$J$7:$M$56,3,FALSE),""))</x:f>
      </x:c>
      <x:c r="L34" s="60" t="str">
        <x:f>IF($A34="","",SUMIF(Depletion!$A$7:$A$306,$A34,Depletion!$E$7:$E$306))</x:f>
      </x:c>
      <x:c r="M34" s="62" t="str">
        <x:f>IF($A34="","",SUMIF(Depletion!$A$7:$A$306,$A34,Depletion!$C$7:$C$306))</x:f>
      </x:c>
      <x:c r="N34" s="60" t="str">
        <x:f>IF($A34="","",SUMIF(Depletion!$A$7:$A$306,$A34,Depletion!$I$7:$I$306))</x:f>
      </x:c>
      <x:c r="O34" s="60" t="str">
        <x:f>IF($A34="","",$L34-$N34)</x:f>
      </x:c>
      <x:c r="P34" s="64" t="str">
        <x:f>IF($A34="","",IFERROR($O34/$L34,0))</x:f>
      </x:c>
      <x:c r="Q34" s="60" t="str">
        <x:f>IF($A34="","",MAX($L34-$G34,0))</x:f>
      </x:c>
      <x:c r="R34" s="66" t="str">
        <x:f>IF($A34="","",IFERROR($B34+VLOOKUP($F34,Setup!$Z$7:$AA$20,2,FALSE),""))</x:f>
      </x:c>
      <x:c r="S34" s="52" t="str">
        <x:f>IF($A34="","",IF($L34=0,"Draft",IF($Q34&lt;=0,"Paid",IF($G34&gt;0,"Partial","Unpaid"))))</x:f>
      </x:c>
      <x:c r="T34" s="52" t="str">
        <x:f>IF($A34="","",IF($Q34&lt;=0,0,IF($R34="","",MAX(TODAY()-$R34,0))))</x:f>
      </x:c>
      <x:c r="U34" s="52" t="str">
        <x:f>IF($A34="","",IF($S34="Paid","Closed",IF($R34="","Review",IF(TODAY()&lt;=$R34,"Current",IF($T34&lt;=30,"1-30",IF($T34&lt;=60,"31-60",IF($T34&lt;=90,"61-90","90+")))))))</x:f>
      </x:c>
      <x:c r="V34" s="66" t="str">
        <x:f>IF($A34="","",IF(AND($S34="Paid",$H34&lt;&gt;""),$H34,""))</x:f>
      </x:c>
      <x:c r="W34" s="52" t="str">
        <x:f>IF($A34="","",IF(OR(COUNTIF($A$7:$A$156,$A34)&gt;1,$B34="",$C34="",$D34="",$E34="",$F34="",$J34="",$K34="",$L34&lt;=0,$G34&lt;0,$G34&gt;$L34,AND($S34="Paid",$H34="")),"REVIEW","OK"))</x:f>
      </x:c>
    </x:row>
    <x:row r="35">
      <x:c r="A35" s="46"/>
      <x:c r="B35" s="56"/>
      <x:c r="C35" s="46"/>
      <x:c r="D35" s="46"/>
      <x:c r="E35" s="46"/>
      <x:c r="F35" s="46"/>
      <x:c r="G35" s="58"/>
      <x:c r="H35" s="56"/>
      <x:c r="I35" s="46"/>
      <x:c r="J35" s="52" t="str">
        <x:f>IF($A35="","",IFERROR(VLOOKUP($C35,Setup!$J$7:$M$56,2,FALSE),""))</x:f>
      </x:c>
      <x:c r="K35" s="52" t="str">
        <x:f>IF($A35="","",IFERROR(VLOOKUP($C35,Setup!$J$7:$M$56,3,FALSE),""))</x:f>
      </x:c>
      <x:c r="L35" s="60" t="str">
        <x:f>IF($A35="","",SUMIF(Depletion!$A$7:$A$306,$A35,Depletion!$E$7:$E$306))</x:f>
      </x:c>
      <x:c r="M35" s="62" t="str">
        <x:f>IF($A35="","",SUMIF(Depletion!$A$7:$A$306,$A35,Depletion!$C$7:$C$306))</x:f>
      </x:c>
      <x:c r="N35" s="60" t="str">
        <x:f>IF($A35="","",SUMIF(Depletion!$A$7:$A$306,$A35,Depletion!$I$7:$I$306))</x:f>
      </x:c>
      <x:c r="O35" s="60" t="str">
        <x:f>IF($A35="","",$L35-$N35)</x:f>
      </x:c>
      <x:c r="P35" s="64" t="str">
        <x:f>IF($A35="","",IFERROR($O35/$L35,0))</x:f>
      </x:c>
      <x:c r="Q35" s="60" t="str">
        <x:f>IF($A35="","",MAX($L35-$G35,0))</x:f>
      </x:c>
      <x:c r="R35" s="66" t="str">
        <x:f>IF($A35="","",IFERROR($B35+VLOOKUP($F35,Setup!$Z$7:$AA$20,2,FALSE),""))</x:f>
      </x:c>
      <x:c r="S35" s="52" t="str">
        <x:f>IF($A35="","",IF($L35=0,"Draft",IF($Q35&lt;=0,"Paid",IF($G35&gt;0,"Partial","Unpaid"))))</x:f>
      </x:c>
      <x:c r="T35" s="52" t="str">
        <x:f>IF($A35="","",IF($Q35&lt;=0,0,IF($R35="","",MAX(TODAY()-$R35,0))))</x:f>
      </x:c>
      <x:c r="U35" s="52" t="str">
        <x:f>IF($A35="","",IF($S35="Paid","Closed",IF($R35="","Review",IF(TODAY()&lt;=$R35,"Current",IF($T35&lt;=30,"1-30",IF($T35&lt;=60,"31-60",IF($T35&lt;=90,"61-90","90+")))))))</x:f>
      </x:c>
      <x:c r="V35" s="66" t="str">
        <x:f>IF($A35="","",IF(AND($S35="Paid",$H35&lt;&gt;""),$H35,""))</x:f>
      </x:c>
      <x:c r="W35" s="52" t="str">
        <x:f>IF($A35="","",IF(OR(COUNTIF($A$7:$A$156,$A35)&gt;1,$B35="",$C35="",$D35="",$E35="",$F35="",$J35="",$K35="",$L35&lt;=0,$G35&lt;0,$G35&gt;$L35,AND($S35="Paid",$H35="")),"REVIEW","OK"))</x:f>
      </x:c>
    </x:row>
    <x:row r="36">
      <x:c r="A36" s="46"/>
      <x:c r="B36" s="56"/>
      <x:c r="C36" s="46"/>
      <x:c r="D36" s="46"/>
      <x:c r="E36" s="46"/>
      <x:c r="F36" s="46"/>
      <x:c r="G36" s="58"/>
      <x:c r="H36" s="56"/>
      <x:c r="I36" s="46"/>
      <x:c r="J36" s="52" t="str">
        <x:f>IF($A36="","",IFERROR(VLOOKUP($C36,Setup!$J$7:$M$56,2,FALSE),""))</x:f>
      </x:c>
      <x:c r="K36" s="52" t="str">
        <x:f>IF($A36="","",IFERROR(VLOOKUP($C36,Setup!$J$7:$M$56,3,FALSE),""))</x:f>
      </x:c>
      <x:c r="L36" s="60" t="str">
        <x:f>IF($A36="","",SUMIF(Depletion!$A$7:$A$306,$A36,Depletion!$E$7:$E$306))</x:f>
      </x:c>
      <x:c r="M36" s="62" t="str">
        <x:f>IF($A36="","",SUMIF(Depletion!$A$7:$A$306,$A36,Depletion!$C$7:$C$306))</x:f>
      </x:c>
      <x:c r="N36" s="60" t="str">
        <x:f>IF($A36="","",SUMIF(Depletion!$A$7:$A$306,$A36,Depletion!$I$7:$I$306))</x:f>
      </x:c>
      <x:c r="O36" s="60" t="str">
        <x:f>IF($A36="","",$L36-$N36)</x:f>
      </x:c>
      <x:c r="P36" s="64" t="str">
        <x:f>IF($A36="","",IFERROR($O36/$L36,0))</x:f>
      </x:c>
      <x:c r="Q36" s="60" t="str">
        <x:f>IF($A36="","",MAX($L36-$G36,0))</x:f>
      </x:c>
      <x:c r="R36" s="66" t="str">
        <x:f>IF($A36="","",IFERROR($B36+VLOOKUP($F36,Setup!$Z$7:$AA$20,2,FALSE),""))</x:f>
      </x:c>
      <x:c r="S36" s="52" t="str">
        <x:f>IF($A36="","",IF($L36=0,"Draft",IF($Q36&lt;=0,"Paid",IF($G36&gt;0,"Partial","Unpaid"))))</x:f>
      </x:c>
      <x:c r="T36" s="52" t="str">
        <x:f>IF($A36="","",IF($Q36&lt;=0,0,IF($R36="","",MAX(TODAY()-$R36,0))))</x:f>
      </x:c>
      <x:c r="U36" s="52" t="str">
        <x:f>IF($A36="","",IF($S36="Paid","Closed",IF($R36="","Review",IF(TODAY()&lt;=$R36,"Current",IF($T36&lt;=30,"1-30",IF($T36&lt;=60,"31-60",IF($T36&lt;=90,"61-90","90+")))))))</x:f>
      </x:c>
      <x:c r="V36" s="66" t="str">
        <x:f>IF($A36="","",IF(AND($S36="Paid",$H36&lt;&gt;""),$H36,""))</x:f>
      </x:c>
      <x:c r="W36" s="52" t="str">
        <x:f>IF($A36="","",IF(OR(COUNTIF($A$7:$A$156,$A36)&gt;1,$B36="",$C36="",$D36="",$E36="",$F36="",$J36="",$K36="",$L36&lt;=0,$G36&lt;0,$G36&gt;$L36,AND($S36="Paid",$H36="")),"REVIEW","OK"))</x:f>
      </x:c>
    </x:row>
    <x:row r="37">
      <x:c r="A37" s="46"/>
      <x:c r="B37" s="56"/>
      <x:c r="C37" s="46"/>
      <x:c r="D37" s="46"/>
      <x:c r="E37" s="46"/>
      <x:c r="F37" s="46"/>
      <x:c r="G37" s="58"/>
      <x:c r="H37" s="56"/>
      <x:c r="I37" s="46"/>
      <x:c r="J37" s="52" t="str">
        <x:f>IF($A37="","",IFERROR(VLOOKUP($C37,Setup!$J$7:$M$56,2,FALSE),""))</x:f>
      </x:c>
      <x:c r="K37" s="52" t="str">
        <x:f>IF($A37="","",IFERROR(VLOOKUP($C37,Setup!$J$7:$M$56,3,FALSE),""))</x:f>
      </x:c>
      <x:c r="L37" s="60" t="str">
        <x:f>IF($A37="","",SUMIF(Depletion!$A$7:$A$306,$A37,Depletion!$E$7:$E$306))</x:f>
      </x:c>
      <x:c r="M37" s="62" t="str">
        <x:f>IF($A37="","",SUMIF(Depletion!$A$7:$A$306,$A37,Depletion!$C$7:$C$306))</x:f>
      </x:c>
      <x:c r="N37" s="60" t="str">
        <x:f>IF($A37="","",SUMIF(Depletion!$A$7:$A$306,$A37,Depletion!$I$7:$I$306))</x:f>
      </x:c>
      <x:c r="O37" s="60" t="str">
        <x:f>IF($A37="","",$L37-$N37)</x:f>
      </x:c>
      <x:c r="P37" s="64" t="str">
        <x:f>IF($A37="","",IFERROR($O37/$L37,0))</x:f>
      </x:c>
      <x:c r="Q37" s="60" t="str">
        <x:f>IF($A37="","",MAX($L37-$G37,0))</x:f>
      </x:c>
      <x:c r="R37" s="66" t="str">
        <x:f>IF($A37="","",IFERROR($B37+VLOOKUP($F37,Setup!$Z$7:$AA$20,2,FALSE),""))</x:f>
      </x:c>
      <x:c r="S37" s="52" t="str">
        <x:f>IF($A37="","",IF($L37=0,"Draft",IF($Q37&lt;=0,"Paid",IF($G37&gt;0,"Partial","Unpaid"))))</x:f>
      </x:c>
      <x:c r="T37" s="52" t="str">
        <x:f>IF($A37="","",IF($Q37&lt;=0,0,IF($R37="","",MAX(TODAY()-$R37,0))))</x:f>
      </x:c>
      <x:c r="U37" s="52" t="str">
        <x:f>IF($A37="","",IF($S37="Paid","Closed",IF($R37="","Review",IF(TODAY()&lt;=$R37,"Current",IF($T37&lt;=30,"1-30",IF($T37&lt;=60,"31-60",IF($T37&lt;=90,"61-90","90+")))))))</x:f>
      </x:c>
      <x:c r="V37" s="66" t="str">
        <x:f>IF($A37="","",IF(AND($S37="Paid",$H37&lt;&gt;""),$H37,""))</x:f>
      </x:c>
      <x:c r="W37" s="52" t="str">
        <x:f>IF($A37="","",IF(OR(COUNTIF($A$7:$A$156,$A37)&gt;1,$B37="",$C37="",$D37="",$E37="",$F37="",$J37="",$K37="",$L37&lt;=0,$G37&lt;0,$G37&gt;$L37,AND($S37="Paid",$H37="")),"REVIEW","OK"))</x:f>
      </x:c>
    </x:row>
    <x:row r="38">
      <x:c r="A38" s="46"/>
      <x:c r="B38" s="56"/>
      <x:c r="C38" s="46"/>
      <x:c r="D38" s="46"/>
      <x:c r="E38" s="46"/>
      <x:c r="F38" s="46"/>
      <x:c r="G38" s="58"/>
      <x:c r="H38" s="56"/>
      <x:c r="I38" s="46"/>
      <x:c r="J38" s="52" t="str">
        <x:f>IF($A38="","",IFERROR(VLOOKUP($C38,Setup!$J$7:$M$56,2,FALSE),""))</x:f>
      </x:c>
      <x:c r="K38" s="52" t="str">
        <x:f>IF($A38="","",IFERROR(VLOOKUP($C38,Setup!$J$7:$M$56,3,FALSE),""))</x:f>
      </x:c>
      <x:c r="L38" s="60" t="str">
        <x:f>IF($A38="","",SUMIF(Depletion!$A$7:$A$306,$A38,Depletion!$E$7:$E$306))</x:f>
      </x:c>
      <x:c r="M38" s="62" t="str">
        <x:f>IF($A38="","",SUMIF(Depletion!$A$7:$A$306,$A38,Depletion!$C$7:$C$306))</x:f>
      </x:c>
      <x:c r="N38" s="60" t="str">
        <x:f>IF($A38="","",SUMIF(Depletion!$A$7:$A$306,$A38,Depletion!$I$7:$I$306))</x:f>
      </x:c>
      <x:c r="O38" s="60" t="str">
        <x:f>IF($A38="","",$L38-$N38)</x:f>
      </x:c>
      <x:c r="P38" s="64" t="str">
        <x:f>IF($A38="","",IFERROR($O38/$L38,0))</x:f>
      </x:c>
      <x:c r="Q38" s="60" t="str">
        <x:f>IF($A38="","",MAX($L38-$G38,0))</x:f>
      </x:c>
      <x:c r="R38" s="66" t="str">
        <x:f>IF($A38="","",IFERROR($B38+VLOOKUP($F38,Setup!$Z$7:$AA$20,2,FALSE),""))</x:f>
      </x:c>
      <x:c r="S38" s="52" t="str">
        <x:f>IF($A38="","",IF($L38=0,"Draft",IF($Q38&lt;=0,"Paid",IF($G38&gt;0,"Partial","Unpaid"))))</x:f>
      </x:c>
      <x:c r="T38" s="52" t="str">
        <x:f>IF($A38="","",IF($Q38&lt;=0,0,IF($R38="","",MAX(TODAY()-$R38,0))))</x:f>
      </x:c>
      <x:c r="U38" s="52" t="str">
        <x:f>IF($A38="","",IF($S38="Paid","Closed",IF($R38="","Review",IF(TODAY()&lt;=$R38,"Current",IF($T38&lt;=30,"1-30",IF($T38&lt;=60,"31-60",IF($T38&lt;=90,"61-90","90+")))))))</x:f>
      </x:c>
      <x:c r="V38" s="66" t="str">
        <x:f>IF($A38="","",IF(AND($S38="Paid",$H38&lt;&gt;""),$H38,""))</x:f>
      </x:c>
      <x:c r="W38" s="52" t="str">
        <x:f>IF($A38="","",IF(OR(COUNTIF($A$7:$A$156,$A38)&gt;1,$B38="",$C38="",$D38="",$E38="",$F38="",$J38="",$K38="",$L38&lt;=0,$G38&lt;0,$G38&gt;$L38,AND($S38="Paid",$H38="")),"REVIEW","OK"))</x:f>
      </x:c>
    </x:row>
    <x:row r="39">
      <x:c r="A39" s="46"/>
      <x:c r="B39" s="56"/>
      <x:c r="C39" s="46"/>
      <x:c r="D39" s="46"/>
      <x:c r="E39" s="46"/>
      <x:c r="F39" s="46"/>
      <x:c r="G39" s="58"/>
      <x:c r="H39" s="56"/>
      <x:c r="I39" s="46"/>
      <x:c r="J39" s="52" t="str">
        <x:f>IF($A39="","",IFERROR(VLOOKUP($C39,Setup!$J$7:$M$56,2,FALSE),""))</x:f>
      </x:c>
      <x:c r="K39" s="52" t="str">
        <x:f>IF($A39="","",IFERROR(VLOOKUP($C39,Setup!$J$7:$M$56,3,FALSE),""))</x:f>
      </x:c>
      <x:c r="L39" s="60" t="str">
        <x:f>IF($A39="","",SUMIF(Depletion!$A$7:$A$306,$A39,Depletion!$E$7:$E$306))</x:f>
      </x:c>
      <x:c r="M39" s="62" t="str">
        <x:f>IF($A39="","",SUMIF(Depletion!$A$7:$A$306,$A39,Depletion!$C$7:$C$306))</x:f>
      </x:c>
      <x:c r="N39" s="60" t="str">
        <x:f>IF($A39="","",SUMIF(Depletion!$A$7:$A$306,$A39,Depletion!$I$7:$I$306))</x:f>
      </x:c>
      <x:c r="O39" s="60" t="str">
        <x:f>IF($A39="","",$L39-$N39)</x:f>
      </x:c>
      <x:c r="P39" s="64" t="str">
        <x:f>IF($A39="","",IFERROR($O39/$L39,0))</x:f>
      </x:c>
      <x:c r="Q39" s="60" t="str">
        <x:f>IF($A39="","",MAX($L39-$G39,0))</x:f>
      </x:c>
      <x:c r="R39" s="66" t="str">
        <x:f>IF($A39="","",IFERROR($B39+VLOOKUP($F39,Setup!$Z$7:$AA$20,2,FALSE),""))</x:f>
      </x:c>
      <x:c r="S39" s="52" t="str">
        <x:f>IF($A39="","",IF($L39=0,"Draft",IF($Q39&lt;=0,"Paid",IF($G39&gt;0,"Partial","Unpaid"))))</x:f>
      </x:c>
      <x:c r="T39" s="52" t="str">
        <x:f>IF($A39="","",IF($Q39&lt;=0,0,IF($R39="","",MAX(TODAY()-$R39,0))))</x:f>
      </x:c>
      <x:c r="U39" s="52" t="str">
        <x:f>IF($A39="","",IF($S39="Paid","Closed",IF($R39="","Review",IF(TODAY()&lt;=$R39,"Current",IF($T39&lt;=30,"1-30",IF($T39&lt;=60,"31-60",IF($T39&lt;=90,"61-90","90+")))))))</x:f>
      </x:c>
      <x:c r="V39" s="66" t="str">
        <x:f>IF($A39="","",IF(AND($S39="Paid",$H39&lt;&gt;""),$H39,""))</x:f>
      </x:c>
      <x:c r="W39" s="52" t="str">
        <x:f>IF($A39="","",IF(OR(COUNTIF($A$7:$A$156,$A39)&gt;1,$B39="",$C39="",$D39="",$E39="",$F39="",$J39="",$K39="",$L39&lt;=0,$G39&lt;0,$G39&gt;$L39,AND($S39="Paid",$H39="")),"REVIEW","OK"))</x:f>
      </x:c>
    </x:row>
    <x:row r="40">
      <x:c r="A40" s="46"/>
      <x:c r="B40" s="56"/>
      <x:c r="C40" s="46"/>
      <x:c r="D40" s="46"/>
      <x:c r="E40" s="46"/>
      <x:c r="F40" s="46"/>
      <x:c r="G40" s="58"/>
      <x:c r="H40" s="56"/>
      <x:c r="I40" s="46"/>
      <x:c r="J40" s="52" t="str">
        <x:f>IF($A40="","",IFERROR(VLOOKUP($C40,Setup!$J$7:$M$56,2,FALSE),""))</x:f>
      </x:c>
      <x:c r="K40" s="52" t="str">
        <x:f>IF($A40="","",IFERROR(VLOOKUP($C40,Setup!$J$7:$M$56,3,FALSE),""))</x:f>
      </x:c>
      <x:c r="L40" s="60" t="str">
        <x:f>IF($A40="","",SUMIF(Depletion!$A$7:$A$306,$A40,Depletion!$E$7:$E$306))</x:f>
      </x:c>
      <x:c r="M40" s="62" t="str">
        <x:f>IF($A40="","",SUMIF(Depletion!$A$7:$A$306,$A40,Depletion!$C$7:$C$306))</x:f>
      </x:c>
      <x:c r="N40" s="60" t="str">
        <x:f>IF($A40="","",SUMIF(Depletion!$A$7:$A$306,$A40,Depletion!$I$7:$I$306))</x:f>
      </x:c>
      <x:c r="O40" s="60" t="str">
        <x:f>IF($A40="","",$L40-$N40)</x:f>
      </x:c>
      <x:c r="P40" s="64" t="str">
        <x:f>IF($A40="","",IFERROR($O40/$L40,0))</x:f>
      </x:c>
      <x:c r="Q40" s="60" t="str">
        <x:f>IF($A40="","",MAX($L40-$G40,0))</x:f>
      </x:c>
      <x:c r="R40" s="66" t="str">
        <x:f>IF($A40="","",IFERROR($B40+VLOOKUP($F40,Setup!$Z$7:$AA$20,2,FALSE),""))</x:f>
      </x:c>
      <x:c r="S40" s="52" t="str">
        <x:f>IF($A40="","",IF($L40=0,"Draft",IF($Q40&lt;=0,"Paid",IF($G40&gt;0,"Partial","Unpaid"))))</x:f>
      </x:c>
      <x:c r="T40" s="52" t="str">
        <x:f>IF($A40="","",IF($Q40&lt;=0,0,IF($R40="","",MAX(TODAY()-$R40,0))))</x:f>
      </x:c>
      <x:c r="U40" s="52" t="str">
        <x:f>IF($A40="","",IF($S40="Paid","Closed",IF($R40="","Review",IF(TODAY()&lt;=$R40,"Current",IF($T40&lt;=30,"1-30",IF($T40&lt;=60,"31-60",IF($T40&lt;=90,"61-90","90+")))))))</x:f>
      </x:c>
      <x:c r="V40" s="66" t="str">
        <x:f>IF($A40="","",IF(AND($S40="Paid",$H40&lt;&gt;""),$H40,""))</x:f>
      </x:c>
      <x:c r="W40" s="52" t="str">
        <x:f>IF($A40="","",IF(OR(COUNTIF($A$7:$A$156,$A40)&gt;1,$B40="",$C40="",$D40="",$E40="",$F40="",$J40="",$K40="",$L40&lt;=0,$G40&lt;0,$G40&gt;$L40,AND($S40="Paid",$H40="")),"REVIEW","OK"))</x:f>
      </x:c>
    </x:row>
    <x:row r="41">
      <x:c r="A41" s="46"/>
      <x:c r="B41" s="56"/>
      <x:c r="C41" s="46"/>
      <x:c r="D41" s="46"/>
      <x:c r="E41" s="46"/>
      <x:c r="F41" s="46"/>
      <x:c r="G41" s="58"/>
      <x:c r="H41" s="56"/>
      <x:c r="I41" s="46"/>
      <x:c r="J41" s="52" t="str">
        <x:f>IF($A41="","",IFERROR(VLOOKUP($C41,Setup!$J$7:$M$56,2,FALSE),""))</x:f>
      </x:c>
      <x:c r="K41" s="52" t="str">
        <x:f>IF($A41="","",IFERROR(VLOOKUP($C41,Setup!$J$7:$M$56,3,FALSE),""))</x:f>
      </x:c>
      <x:c r="L41" s="60" t="str">
        <x:f>IF($A41="","",SUMIF(Depletion!$A$7:$A$306,$A41,Depletion!$E$7:$E$306))</x:f>
      </x:c>
      <x:c r="M41" s="62" t="str">
        <x:f>IF($A41="","",SUMIF(Depletion!$A$7:$A$306,$A41,Depletion!$C$7:$C$306))</x:f>
      </x:c>
      <x:c r="N41" s="60" t="str">
        <x:f>IF($A41="","",SUMIF(Depletion!$A$7:$A$306,$A41,Depletion!$I$7:$I$306))</x:f>
      </x:c>
      <x:c r="O41" s="60" t="str">
        <x:f>IF($A41="","",$L41-$N41)</x:f>
      </x:c>
      <x:c r="P41" s="64" t="str">
        <x:f>IF($A41="","",IFERROR($O41/$L41,0))</x:f>
      </x:c>
      <x:c r="Q41" s="60" t="str">
        <x:f>IF($A41="","",MAX($L41-$G41,0))</x:f>
      </x:c>
      <x:c r="R41" s="66" t="str">
        <x:f>IF($A41="","",IFERROR($B41+VLOOKUP($F41,Setup!$Z$7:$AA$20,2,FALSE),""))</x:f>
      </x:c>
      <x:c r="S41" s="52" t="str">
        <x:f>IF($A41="","",IF($L41=0,"Draft",IF($Q41&lt;=0,"Paid",IF($G41&gt;0,"Partial","Unpaid"))))</x:f>
      </x:c>
      <x:c r="T41" s="52" t="str">
        <x:f>IF($A41="","",IF($Q41&lt;=0,0,IF($R41="","",MAX(TODAY()-$R41,0))))</x:f>
      </x:c>
      <x:c r="U41" s="52" t="str">
        <x:f>IF($A41="","",IF($S41="Paid","Closed",IF($R41="","Review",IF(TODAY()&lt;=$R41,"Current",IF($T41&lt;=30,"1-30",IF($T41&lt;=60,"31-60",IF($T41&lt;=90,"61-90","90+")))))))</x:f>
      </x:c>
      <x:c r="V41" s="66" t="str">
        <x:f>IF($A41="","",IF(AND($S41="Paid",$H41&lt;&gt;""),$H41,""))</x:f>
      </x:c>
      <x:c r="W41" s="52" t="str">
        <x:f>IF($A41="","",IF(OR(COUNTIF($A$7:$A$156,$A41)&gt;1,$B41="",$C41="",$D41="",$E41="",$F41="",$J41="",$K41="",$L41&lt;=0,$G41&lt;0,$G41&gt;$L41,AND($S41="Paid",$H41="")),"REVIEW","OK"))</x:f>
      </x:c>
    </x:row>
    <x:row r="42">
      <x:c r="A42" s="46"/>
      <x:c r="B42" s="56"/>
      <x:c r="C42" s="46"/>
      <x:c r="D42" s="46"/>
      <x:c r="E42" s="46"/>
      <x:c r="F42" s="46"/>
      <x:c r="G42" s="58"/>
      <x:c r="H42" s="56"/>
      <x:c r="I42" s="46"/>
      <x:c r="J42" s="52" t="str">
        <x:f>IF($A42="","",IFERROR(VLOOKUP($C42,Setup!$J$7:$M$56,2,FALSE),""))</x:f>
      </x:c>
      <x:c r="K42" s="52" t="str">
        <x:f>IF($A42="","",IFERROR(VLOOKUP($C42,Setup!$J$7:$M$56,3,FALSE),""))</x:f>
      </x:c>
      <x:c r="L42" s="60" t="str">
        <x:f>IF($A42="","",SUMIF(Depletion!$A$7:$A$306,$A42,Depletion!$E$7:$E$306))</x:f>
      </x:c>
      <x:c r="M42" s="62" t="str">
        <x:f>IF($A42="","",SUMIF(Depletion!$A$7:$A$306,$A42,Depletion!$C$7:$C$306))</x:f>
      </x:c>
      <x:c r="N42" s="60" t="str">
        <x:f>IF($A42="","",SUMIF(Depletion!$A$7:$A$306,$A42,Depletion!$I$7:$I$306))</x:f>
      </x:c>
      <x:c r="O42" s="60" t="str">
        <x:f>IF($A42="","",$L42-$N42)</x:f>
      </x:c>
      <x:c r="P42" s="64" t="str">
        <x:f>IF($A42="","",IFERROR($O42/$L42,0))</x:f>
      </x:c>
      <x:c r="Q42" s="60" t="str">
        <x:f>IF($A42="","",MAX($L42-$G42,0))</x:f>
      </x:c>
      <x:c r="R42" s="66" t="str">
        <x:f>IF($A42="","",IFERROR($B42+VLOOKUP($F42,Setup!$Z$7:$AA$20,2,FALSE),""))</x:f>
      </x:c>
      <x:c r="S42" s="52" t="str">
        <x:f>IF($A42="","",IF($L42=0,"Draft",IF($Q42&lt;=0,"Paid",IF($G42&gt;0,"Partial","Unpaid"))))</x:f>
      </x:c>
      <x:c r="T42" s="52" t="str">
        <x:f>IF($A42="","",IF($Q42&lt;=0,0,IF($R42="","",MAX(TODAY()-$R42,0))))</x:f>
      </x:c>
      <x:c r="U42" s="52" t="str">
        <x:f>IF($A42="","",IF($S42="Paid","Closed",IF($R42="","Review",IF(TODAY()&lt;=$R42,"Current",IF($T42&lt;=30,"1-30",IF($T42&lt;=60,"31-60",IF($T42&lt;=90,"61-90","90+")))))))</x:f>
      </x:c>
      <x:c r="V42" s="66" t="str">
        <x:f>IF($A42="","",IF(AND($S42="Paid",$H42&lt;&gt;""),$H42,""))</x:f>
      </x:c>
      <x:c r="W42" s="52" t="str">
        <x:f>IF($A42="","",IF(OR(COUNTIF($A$7:$A$156,$A42)&gt;1,$B42="",$C42="",$D42="",$E42="",$F42="",$J42="",$K42="",$L42&lt;=0,$G42&lt;0,$G42&gt;$L42,AND($S42="Paid",$H42="")),"REVIEW","OK"))</x:f>
      </x:c>
    </x:row>
    <x:row r="43">
      <x:c r="A43" s="46"/>
      <x:c r="B43" s="56"/>
      <x:c r="C43" s="46"/>
      <x:c r="D43" s="46"/>
      <x:c r="E43" s="46"/>
      <x:c r="F43" s="46"/>
      <x:c r="G43" s="58"/>
      <x:c r="H43" s="56"/>
      <x:c r="I43" s="46"/>
      <x:c r="J43" s="52" t="str">
        <x:f>IF($A43="","",IFERROR(VLOOKUP($C43,Setup!$J$7:$M$56,2,FALSE),""))</x:f>
      </x:c>
      <x:c r="K43" s="52" t="str">
        <x:f>IF($A43="","",IFERROR(VLOOKUP($C43,Setup!$J$7:$M$56,3,FALSE),""))</x:f>
      </x:c>
      <x:c r="L43" s="60" t="str">
        <x:f>IF($A43="","",SUMIF(Depletion!$A$7:$A$306,$A43,Depletion!$E$7:$E$306))</x:f>
      </x:c>
      <x:c r="M43" s="62" t="str">
        <x:f>IF($A43="","",SUMIF(Depletion!$A$7:$A$306,$A43,Depletion!$C$7:$C$306))</x:f>
      </x:c>
      <x:c r="N43" s="60" t="str">
        <x:f>IF($A43="","",SUMIF(Depletion!$A$7:$A$306,$A43,Depletion!$I$7:$I$306))</x:f>
      </x:c>
      <x:c r="O43" s="60" t="str">
        <x:f>IF($A43="","",$L43-$N43)</x:f>
      </x:c>
      <x:c r="P43" s="64" t="str">
        <x:f>IF($A43="","",IFERROR($O43/$L43,0))</x:f>
      </x:c>
      <x:c r="Q43" s="60" t="str">
        <x:f>IF($A43="","",MAX($L43-$G43,0))</x:f>
      </x:c>
      <x:c r="R43" s="66" t="str">
        <x:f>IF($A43="","",IFERROR($B43+VLOOKUP($F43,Setup!$Z$7:$AA$20,2,FALSE),""))</x:f>
      </x:c>
      <x:c r="S43" s="52" t="str">
        <x:f>IF($A43="","",IF($L43=0,"Draft",IF($Q43&lt;=0,"Paid",IF($G43&gt;0,"Partial","Unpaid"))))</x:f>
      </x:c>
      <x:c r="T43" s="52" t="str">
        <x:f>IF($A43="","",IF($Q43&lt;=0,0,IF($R43="","",MAX(TODAY()-$R43,0))))</x:f>
      </x:c>
      <x:c r="U43" s="52" t="str">
        <x:f>IF($A43="","",IF($S43="Paid","Closed",IF($R43="","Review",IF(TODAY()&lt;=$R43,"Current",IF($T43&lt;=30,"1-30",IF($T43&lt;=60,"31-60",IF($T43&lt;=90,"61-90","90+")))))))</x:f>
      </x:c>
      <x:c r="V43" s="66" t="str">
        <x:f>IF($A43="","",IF(AND($S43="Paid",$H43&lt;&gt;""),$H43,""))</x:f>
      </x:c>
      <x:c r="W43" s="52" t="str">
        <x:f>IF($A43="","",IF(OR(COUNTIF($A$7:$A$156,$A43)&gt;1,$B43="",$C43="",$D43="",$E43="",$F43="",$J43="",$K43="",$L43&lt;=0,$G43&lt;0,$G43&gt;$L43,AND($S43="Paid",$H43="")),"REVIEW","OK"))</x:f>
      </x:c>
    </x:row>
    <x:row r="44">
      <x:c r="A44" s="46"/>
      <x:c r="B44" s="56"/>
      <x:c r="C44" s="46"/>
      <x:c r="D44" s="46"/>
      <x:c r="E44" s="46"/>
      <x:c r="F44" s="46"/>
      <x:c r="G44" s="58"/>
      <x:c r="H44" s="56"/>
      <x:c r="I44" s="46"/>
      <x:c r="J44" s="52" t="str">
        <x:f>IF($A44="","",IFERROR(VLOOKUP($C44,Setup!$J$7:$M$56,2,FALSE),""))</x:f>
      </x:c>
      <x:c r="K44" s="52" t="str">
        <x:f>IF($A44="","",IFERROR(VLOOKUP($C44,Setup!$J$7:$M$56,3,FALSE),""))</x:f>
      </x:c>
      <x:c r="L44" s="60" t="str">
        <x:f>IF($A44="","",SUMIF(Depletion!$A$7:$A$306,$A44,Depletion!$E$7:$E$306))</x:f>
      </x:c>
      <x:c r="M44" s="62" t="str">
        <x:f>IF($A44="","",SUMIF(Depletion!$A$7:$A$306,$A44,Depletion!$C$7:$C$306))</x:f>
      </x:c>
      <x:c r="N44" s="60" t="str">
        <x:f>IF($A44="","",SUMIF(Depletion!$A$7:$A$306,$A44,Depletion!$I$7:$I$306))</x:f>
      </x:c>
      <x:c r="O44" s="60" t="str">
        <x:f>IF($A44="","",$L44-$N44)</x:f>
      </x:c>
      <x:c r="P44" s="64" t="str">
        <x:f>IF($A44="","",IFERROR($O44/$L44,0))</x:f>
      </x:c>
      <x:c r="Q44" s="60" t="str">
        <x:f>IF($A44="","",MAX($L44-$G44,0))</x:f>
      </x:c>
      <x:c r="R44" s="66" t="str">
        <x:f>IF($A44="","",IFERROR($B44+VLOOKUP($F44,Setup!$Z$7:$AA$20,2,FALSE),""))</x:f>
      </x:c>
      <x:c r="S44" s="52" t="str">
        <x:f>IF($A44="","",IF($L44=0,"Draft",IF($Q44&lt;=0,"Paid",IF($G44&gt;0,"Partial","Unpaid"))))</x:f>
      </x:c>
      <x:c r="T44" s="52" t="str">
        <x:f>IF($A44="","",IF($Q44&lt;=0,0,IF($R44="","",MAX(TODAY()-$R44,0))))</x:f>
      </x:c>
      <x:c r="U44" s="52" t="str">
        <x:f>IF($A44="","",IF($S44="Paid","Closed",IF($R44="","Review",IF(TODAY()&lt;=$R44,"Current",IF($T44&lt;=30,"1-30",IF($T44&lt;=60,"31-60",IF($T44&lt;=90,"61-90","90+")))))))</x:f>
      </x:c>
      <x:c r="V44" s="66" t="str">
        <x:f>IF($A44="","",IF(AND($S44="Paid",$H44&lt;&gt;""),$H44,""))</x:f>
      </x:c>
      <x:c r="W44" s="52" t="str">
        <x:f>IF($A44="","",IF(OR(COUNTIF($A$7:$A$156,$A44)&gt;1,$B44="",$C44="",$D44="",$E44="",$F44="",$J44="",$K44="",$L44&lt;=0,$G44&lt;0,$G44&gt;$L44,AND($S44="Paid",$H44="")),"REVIEW","OK"))</x:f>
      </x:c>
    </x:row>
    <x:row r="45">
      <x:c r="A45" s="46"/>
      <x:c r="B45" s="56"/>
      <x:c r="C45" s="46"/>
      <x:c r="D45" s="46"/>
      <x:c r="E45" s="46"/>
      <x:c r="F45" s="46"/>
      <x:c r="G45" s="58"/>
      <x:c r="H45" s="56"/>
      <x:c r="I45" s="46"/>
      <x:c r="J45" s="52" t="str">
        <x:f>IF($A45="","",IFERROR(VLOOKUP($C45,Setup!$J$7:$M$56,2,FALSE),""))</x:f>
      </x:c>
      <x:c r="K45" s="52" t="str">
        <x:f>IF($A45="","",IFERROR(VLOOKUP($C45,Setup!$J$7:$M$56,3,FALSE),""))</x:f>
      </x:c>
      <x:c r="L45" s="60" t="str">
        <x:f>IF($A45="","",SUMIF(Depletion!$A$7:$A$306,$A45,Depletion!$E$7:$E$306))</x:f>
      </x:c>
      <x:c r="M45" s="62" t="str">
        <x:f>IF($A45="","",SUMIF(Depletion!$A$7:$A$306,$A45,Depletion!$C$7:$C$306))</x:f>
      </x:c>
      <x:c r="N45" s="60" t="str">
        <x:f>IF($A45="","",SUMIF(Depletion!$A$7:$A$306,$A45,Depletion!$I$7:$I$306))</x:f>
      </x:c>
      <x:c r="O45" s="60" t="str">
        <x:f>IF($A45="","",$L45-$N45)</x:f>
      </x:c>
      <x:c r="P45" s="64" t="str">
        <x:f>IF($A45="","",IFERROR($O45/$L45,0))</x:f>
      </x:c>
      <x:c r="Q45" s="60" t="str">
        <x:f>IF($A45="","",MAX($L45-$G45,0))</x:f>
      </x:c>
      <x:c r="R45" s="66" t="str">
        <x:f>IF($A45="","",IFERROR($B45+VLOOKUP($F45,Setup!$Z$7:$AA$20,2,FALSE),""))</x:f>
      </x:c>
      <x:c r="S45" s="52" t="str">
        <x:f>IF($A45="","",IF($L45=0,"Draft",IF($Q45&lt;=0,"Paid",IF($G45&gt;0,"Partial","Unpaid"))))</x:f>
      </x:c>
      <x:c r="T45" s="52" t="str">
        <x:f>IF($A45="","",IF($Q45&lt;=0,0,IF($R45="","",MAX(TODAY()-$R45,0))))</x:f>
      </x:c>
      <x:c r="U45" s="52" t="str">
        <x:f>IF($A45="","",IF($S45="Paid","Closed",IF($R45="","Review",IF(TODAY()&lt;=$R45,"Current",IF($T45&lt;=30,"1-30",IF($T45&lt;=60,"31-60",IF($T45&lt;=90,"61-90","90+")))))))</x:f>
      </x:c>
      <x:c r="V45" s="66" t="str">
        <x:f>IF($A45="","",IF(AND($S45="Paid",$H45&lt;&gt;""),$H45,""))</x:f>
      </x:c>
      <x:c r="W45" s="52" t="str">
        <x:f>IF($A45="","",IF(OR(COUNTIF($A$7:$A$156,$A45)&gt;1,$B45="",$C45="",$D45="",$E45="",$F45="",$J45="",$K45="",$L45&lt;=0,$G45&lt;0,$G45&gt;$L45,AND($S45="Paid",$H45="")),"REVIEW","OK"))</x:f>
      </x:c>
    </x:row>
    <x:row r="46">
      <x:c r="A46" s="46"/>
      <x:c r="B46" s="56"/>
      <x:c r="C46" s="46"/>
      <x:c r="D46" s="46"/>
      <x:c r="E46" s="46"/>
      <x:c r="F46" s="46"/>
      <x:c r="G46" s="58"/>
      <x:c r="H46" s="56"/>
      <x:c r="I46" s="46"/>
      <x:c r="J46" s="52" t="str">
        <x:f>IF($A46="","",IFERROR(VLOOKUP($C46,Setup!$J$7:$M$56,2,FALSE),""))</x:f>
      </x:c>
      <x:c r="K46" s="52" t="str">
        <x:f>IF($A46="","",IFERROR(VLOOKUP($C46,Setup!$J$7:$M$56,3,FALSE),""))</x:f>
      </x:c>
      <x:c r="L46" s="60" t="str">
        <x:f>IF($A46="","",SUMIF(Depletion!$A$7:$A$306,$A46,Depletion!$E$7:$E$306))</x:f>
      </x:c>
      <x:c r="M46" s="62" t="str">
        <x:f>IF($A46="","",SUMIF(Depletion!$A$7:$A$306,$A46,Depletion!$C$7:$C$306))</x:f>
      </x:c>
      <x:c r="N46" s="60" t="str">
        <x:f>IF($A46="","",SUMIF(Depletion!$A$7:$A$306,$A46,Depletion!$I$7:$I$306))</x:f>
      </x:c>
      <x:c r="O46" s="60" t="str">
        <x:f>IF($A46="","",$L46-$N46)</x:f>
      </x:c>
      <x:c r="P46" s="64" t="str">
        <x:f>IF($A46="","",IFERROR($O46/$L46,0))</x:f>
      </x:c>
      <x:c r="Q46" s="60" t="str">
        <x:f>IF($A46="","",MAX($L46-$G46,0))</x:f>
      </x:c>
      <x:c r="R46" s="66" t="str">
        <x:f>IF($A46="","",IFERROR($B46+VLOOKUP($F46,Setup!$Z$7:$AA$20,2,FALSE),""))</x:f>
      </x:c>
      <x:c r="S46" s="52" t="str">
        <x:f>IF($A46="","",IF($L46=0,"Draft",IF($Q46&lt;=0,"Paid",IF($G46&gt;0,"Partial","Unpaid"))))</x:f>
      </x:c>
      <x:c r="T46" s="52" t="str">
        <x:f>IF($A46="","",IF($Q46&lt;=0,0,IF($R46="","",MAX(TODAY()-$R46,0))))</x:f>
      </x:c>
      <x:c r="U46" s="52" t="str">
        <x:f>IF($A46="","",IF($S46="Paid","Closed",IF($R46="","Review",IF(TODAY()&lt;=$R46,"Current",IF($T46&lt;=30,"1-30",IF($T46&lt;=60,"31-60",IF($T46&lt;=90,"61-90","90+")))))))</x:f>
      </x:c>
      <x:c r="V46" s="66" t="str">
        <x:f>IF($A46="","",IF(AND($S46="Paid",$H46&lt;&gt;""),$H46,""))</x:f>
      </x:c>
      <x:c r="W46" s="52" t="str">
        <x:f>IF($A46="","",IF(OR(COUNTIF($A$7:$A$156,$A46)&gt;1,$B46="",$C46="",$D46="",$E46="",$F46="",$J46="",$K46="",$L46&lt;=0,$G46&lt;0,$G46&gt;$L46,AND($S46="Paid",$H46="")),"REVIEW","OK"))</x:f>
      </x:c>
    </x:row>
    <x:row r="47">
      <x:c r="A47" s="46"/>
      <x:c r="B47" s="56"/>
      <x:c r="C47" s="46"/>
      <x:c r="D47" s="46"/>
      <x:c r="E47" s="46"/>
      <x:c r="F47" s="46"/>
      <x:c r="G47" s="58"/>
      <x:c r="H47" s="56"/>
      <x:c r="I47" s="46"/>
      <x:c r="J47" s="52" t="str">
        <x:f>IF($A47="","",IFERROR(VLOOKUP($C47,Setup!$J$7:$M$56,2,FALSE),""))</x:f>
      </x:c>
      <x:c r="K47" s="52" t="str">
        <x:f>IF($A47="","",IFERROR(VLOOKUP($C47,Setup!$J$7:$M$56,3,FALSE),""))</x:f>
      </x:c>
      <x:c r="L47" s="60" t="str">
        <x:f>IF($A47="","",SUMIF(Depletion!$A$7:$A$306,$A47,Depletion!$E$7:$E$306))</x:f>
      </x:c>
      <x:c r="M47" s="62" t="str">
        <x:f>IF($A47="","",SUMIF(Depletion!$A$7:$A$306,$A47,Depletion!$C$7:$C$306))</x:f>
      </x:c>
      <x:c r="N47" s="60" t="str">
        <x:f>IF($A47="","",SUMIF(Depletion!$A$7:$A$306,$A47,Depletion!$I$7:$I$306))</x:f>
      </x:c>
      <x:c r="O47" s="60" t="str">
        <x:f>IF($A47="","",$L47-$N47)</x:f>
      </x:c>
      <x:c r="P47" s="64" t="str">
        <x:f>IF($A47="","",IFERROR($O47/$L47,0))</x:f>
      </x:c>
      <x:c r="Q47" s="60" t="str">
        <x:f>IF($A47="","",MAX($L47-$G47,0))</x:f>
      </x:c>
      <x:c r="R47" s="66" t="str">
        <x:f>IF($A47="","",IFERROR($B47+VLOOKUP($F47,Setup!$Z$7:$AA$20,2,FALSE),""))</x:f>
      </x:c>
      <x:c r="S47" s="52" t="str">
        <x:f>IF($A47="","",IF($L47=0,"Draft",IF($Q47&lt;=0,"Paid",IF($G47&gt;0,"Partial","Unpaid"))))</x:f>
      </x:c>
      <x:c r="T47" s="52" t="str">
        <x:f>IF($A47="","",IF($Q47&lt;=0,0,IF($R47="","",MAX(TODAY()-$R47,0))))</x:f>
      </x:c>
      <x:c r="U47" s="52" t="str">
        <x:f>IF($A47="","",IF($S47="Paid","Closed",IF($R47="","Review",IF(TODAY()&lt;=$R47,"Current",IF($T47&lt;=30,"1-30",IF($T47&lt;=60,"31-60",IF($T47&lt;=90,"61-90","90+")))))))</x:f>
      </x:c>
      <x:c r="V47" s="66" t="str">
        <x:f>IF($A47="","",IF(AND($S47="Paid",$H47&lt;&gt;""),$H47,""))</x:f>
      </x:c>
      <x:c r="W47" s="52" t="str">
        <x:f>IF($A47="","",IF(OR(COUNTIF($A$7:$A$156,$A47)&gt;1,$B47="",$C47="",$D47="",$E47="",$F47="",$J47="",$K47="",$L47&lt;=0,$G47&lt;0,$G47&gt;$L47,AND($S47="Paid",$H47="")),"REVIEW","OK"))</x:f>
      </x:c>
    </x:row>
    <x:row r="48">
      <x:c r="A48" s="46"/>
      <x:c r="B48" s="56"/>
      <x:c r="C48" s="46"/>
      <x:c r="D48" s="46"/>
      <x:c r="E48" s="46"/>
      <x:c r="F48" s="46"/>
      <x:c r="G48" s="58"/>
      <x:c r="H48" s="56"/>
      <x:c r="I48" s="46"/>
      <x:c r="J48" s="52" t="str">
        <x:f>IF($A48="","",IFERROR(VLOOKUP($C48,Setup!$J$7:$M$56,2,FALSE),""))</x:f>
      </x:c>
      <x:c r="K48" s="52" t="str">
        <x:f>IF($A48="","",IFERROR(VLOOKUP($C48,Setup!$J$7:$M$56,3,FALSE),""))</x:f>
      </x:c>
      <x:c r="L48" s="60" t="str">
        <x:f>IF($A48="","",SUMIF(Depletion!$A$7:$A$306,$A48,Depletion!$E$7:$E$306))</x:f>
      </x:c>
      <x:c r="M48" s="62" t="str">
        <x:f>IF($A48="","",SUMIF(Depletion!$A$7:$A$306,$A48,Depletion!$C$7:$C$306))</x:f>
      </x:c>
      <x:c r="N48" s="60" t="str">
        <x:f>IF($A48="","",SUMIF(Depletion!$A$7:$A$306,$A48,Depletion!$I$7:$I$306))</x:f>
      </x:c>
      <x:c r="O48" s="60" t="str">
        <x:f>IF($A48="","",$L48-$N48)</x:f>
      </x:c>
      <x:c r="P48" s="64" t="str">
        <x:f>IF($A48="","",IFERROR($O48/$L48,0))</x:f>
      </x:c>
      <x:c r="Q48" s="60" t="str">
        <x:f>IF($A48="","",MAX($L48-$G48,0))</x:f>
      </x:c>
      <x:c r="R48" s="66" t="str">
        <x:f>IF($A48="","",IFERROR($B48+VLOOKUP($F48,Setup!$Z$7:$AA$20,2,FALSE),""))</x:f>
      </x:c>
      <x:c r="S48" s="52" t="str">
        <x:f>IF($A48="","",IF($L48=0,"Draft",IF($Q48&lt;=0,"Paid",IF($G48&gt;0,"Partial","Unpaid"))))</x:f>
      </x:c>
      <x:c r="T48" s="52" t="str">
        <x:f>IF($A48="","",IF($Q48&lt;=0,0,IF($R48="","",MAX(TODAY()-$R48,0))))</x:f>
      </x:c>
      <x:c r="U48" s="52" t="str">
        <x:f>IF($A48="","",IF($S48="Paid","Closed",IF($R48="","Review",IF(TODAY()&lt;=$R48,"Current",IF($T48&lt;=30,"1-30",IF($T48&lt;=60,"31-60",IF($T48&lt;=90,"61-90","90+")))))))</x:f>
      </x:c>
      <x:c r="V48" s="66" t="str">
        <x:f>IF($A48="","",IF(AND($S48="Paid",$H48&lt;&gt;""),$H48,""))</x:f>
      </x:c>
      <x:c r="W48" s="52" t="str">
        <x:f>IF($A48="","",IF(OR(COUNTIF($A$7:$A$156,$A48)&gt;1,$B48="",$C48="",$D48="",$E48="",$F48="",$J48="",$K48="",$L48&lt;=0,$G48&lt;0,$G48&gt;$L48,AND($S48="Paid",$H48="")),"REVIEW","OK"))</x:f>
      </x:c>
    </x:row>
    <x:row r="49">
      <x:c r="A49" s="46"/>
      <x:c r="B49" s="56"/>
      <x:c r="C49" s="46"/>
      <x:c r="D49" s="46"/>
      <x:c r="E49" s="46"/>
      <x:c r="F49" s="46"/>
      <x:c r="G49" s="58"/>
      <x:c r="H49" s="56"/>
      <x:c r="I49" s="46"/>
      <x:c r="J49" s="52" t="str">
        <x:f>IF($A49="","",IFERROR(VLOOKUP($C49,Setup!$J$7:$M$56,2,FALSE),""))</x:f>
      </x:c>
      <x:c r="K49" s="52" t="str">
        <x:f>IF($A49="","",IFERROR(VLOOKUP($C49,Setup!$J$7:$M$56,3,FALSE),""))</x:f>
      </x:c>
      <x:c r="L49" s="60" t="str">
        <x:f>IF($A49="","",SUMIF(Depletion!$A$7:$A$306,$A49,Depletion!$E$7:$E$306))</x:f>
      </x:c>
      <x:c r="M49" s="62" t="str">
        <x:f>IF($A49="","",SUMIF(Depletion!$A$7:$A$306,$A49,Depletion!$C$7:$C$306))</x:f>
      </x:c>
      <x:c r="N49" s="60" t="str">
        <x:f>IF($A49="","",SUMIF(Depletion!$A$7:$A$306,$A49,Depletion!$I$7:$I$306))</x:f>
      </x:c>
      <x:c r="O49" s="60" t="str">
        <x:f>IF($A49="","",$L49-$N49)</x:f>
      </x:c>
      <x:c r="P49" s="64" t="str">
        <x:f>IF($A49="","",IFERROR($O49/$L49,0))</x:f>
      </x:c>
      <x:c r="Q49" s="60" t="str">
        <x:f>IF($A49="","",MAX($L49-$G49,0))</x:f>
      </x:c>
      <x:c r="R49" s="66" t="str">
        <x:f>IF($A49="","",IFERROR($B49+VLOOKUP($F49,Setup!$Z$7:$AA$20,2,FALSE),""))</x:f>
      </x:c>
      <x:c r="S49" s="52" t="str">
        <x:f>IF($A49="","",IF($L49=0,"Draft",IF($Q49&lt;=0,"Paid",IF($G49&gt;0,"Partial","Unpaid"))))</x:f>
      </x:c>
      <x:c r="T49" s="52" t="str">
        <x:f>IF($A49="","",IF($Q49&lt;=0,0,IF($R49="","",MAX(TODAY()-$R49,0))))</x:f>
      </x:c>
      <x:c r="U49" s="52" t="str">
        <x:f>IF($A49="","",IF($S49="Paid","Closed",IF($R49="","Review",IF(TODAY()&lt;=$R49,"Current",IF($T49&lt;=30,"1-30",IF($T49&lt;=60,"31-60",IF($T49&lt;=90,"61-90","90+")))))))</x:f>
      </x:c>
      <x:c r="V49" s="66" t="str">
        <x:f>IF($A49="","",IF(AND($S49="Paid",$H49&lt;&gt;""),$H49,""))</x:f>
      </x:c>
      <x:c r="W49" s="52" t="str">
        <x:f>IF($A49="","",IF(OR(COUNTIF($A$7:$A$156,$A49)&gt;1,$B49="",$C49="",$D49="",$E49="",$F49="",$J49="",$K49="",$L49&lt;=0,$G49&lt;0,$G49&gt;$L49,AND($S49="Paid",$H49="")),"REVIEW","OK"))</x:f>
      </x:c>
    </x:row>
    <x:row r="50">
      <x:c r="A50" s="46"/>
      <x:c r="B50" s="56"/>
      <x:c r="C50" s="46"/>
      <x:c r="D50" s="46"/>
      <x:c r="E50" s="46"/>
      <x:c r="F50" s="46"/>
      <x:c r="G50" s="58"/>
      <x:c r="H50" s="56"/>
      <x:c r="I50" s="46"/>
      <x:c r="J50" s="52" t="str">
        <x:f>IF($A50="","",IFERROR(VLOOKUP($C50,Setup!$J$7:$M$56,2,FALSE),""))</x:f>
      </x:c>
      <x:c r="K50" s="52" t="str">
        <x:f>IF($A50="","",IFERROR(VLOOKUP($C50,Setup!$J$7:$M$56,3,FALSE),""))</x:f>
      </x:c>
      <x:c r="L50" s="60" t="str">
        <x:f>IF($A50="","",SUMIF(Depletion!$A$7:$A$306,$A50,Depletion!$E$7:$E$306))</x:f>
      </x:c>
      <x:c r="M50" s="62" t="str">
        <x:f>IF($A50="","",SUMIF(Depletion!$A$7:$A$306,$A50,Depletion!$C$7:$C$306))</x:f>
      </x:c>
      <x:c r="N50" s="60" t="str">
        <x:f>IF($A50="","",SUMIF(Depletion!$A$7:$A$306,$A50,Depletion!$I$7:$I$306))</x:f>
      </x:c>
      <x:c r="O50" s="60" t="str">
        <x:f>IF($A50="","",$L50-$N50)</x:f>
      </x:c>
      <x:c r="P50" s="64" t="str">
        <x:f>IF($A50="","",IFERROR($O50/$L50,0))</x:f>
      </x:c>
      <x:c r="Q50" s="60" t="str">
        <x:f>IF($A50="","",MAX($L50-$G50,0))</x:f>
      </x:c>
      <x:c r="R50" s="66" t="str">
        <x:f>IF($A50="","",IFERROR($B50+VLOOKUP($F50,Setup!$Z$7:$AA$20,2,FALSE),""))</x:f>
      </x:c>
      <x:c r="S50" s="52" t="str">
        <x:f>IF($A50="","",IF($L50=0,"Draft",IF($Q50&lt;=0,"Paid",IF($G50&gt;0,"Partial","Unpaid"))))</x:f>
      </x:c>
      <x:c r="T50" s="52" t="str">
        <x:f>IF($A50="","",IF($Q50&lt;=0,0,IF($R50="","",MAX(TODAY()-$R50,0))))</x:f>
      </x:c>
      <x:c r="U50" s="52" t="str">
        <x:f>IF($A50="","",IF($S50="Paid","Closed",IF($R50="","Review",IF(TODAY()&lt;=$R50,"Current",IF($T50&lt;=30,"1-30",IF($T50&lt;=60,"31-60",IF($T50&lt;=90,"61-90","90+")))))))</x:f>
      </x:c>
      <x:c r="V50" s="66" t="str">
        <x:f>IF($A50="","",IF(AND($S50="Paid",$H50&lt;&gt;""),$H50,""))</x:f>
      </x:c>
      <x:c r="W50" s="52" t="str">
        <x:f>IF($A50="","",IF(OR(COUNTIF($A$7:$A$156,$A50)&gt;1,$B50="",$C50="",$D50="",$E50="",$F50="",$J50="",$K50="",$L50&lt;=0,$G50&lt;0,$G50&gt;$L50,AND($S50="Paid",$H50="")),"REVIEW","OK"))</x:f>
      </x:c>
    </x:row>
    <x:row r="51">
      <x:c r="A51" s="46"/>
      <x:c r="B51" s="56"/>
      <x:c r="C51" s="46"/>
      <x:c r="D51" s="46"/>
      <x:c r="E51" s="46"/>
      <x:c r="F51" s="46"/>
      <x:c r="G51" s="58"/>
      <x:c r="H51" s="56"/>
      <x:c r="I51" s="46"/>
      <x:c r="J51" s="52" t="str">
        <x:f>IF($A51="","",IFERROR(VLOOKUP($C51,Setup!$J$7:$M$56,2,FALSE),""))</x:f>
      </x:c>
      <x:c r="K51" s="52" t="str">
        <x:f>IF($A51="","",IFERROR(VLOOKUP($C51,Setup!$J$7:$M$56,3,FALSE),""))</x:f>
      </x:c>
      <x:c r="L51" s="60" t="str">
        <x:f>IF($A51="","",SUMIF(Depletion!$A$7:$A$306,$A51,Depletion!$E$7:$E$306))</x:f>
      </x:c>
      <x:c r="M51" s="62" t="str">
        <x:f>IF($A51="","",SUMIF(Depletion!$A$7:$A$306,$A51,Depletion!$C$7:$C$306))</x:f>
      </x:c>
      <x:c r="N51" s="60" t="str">
        <x:f>IF($A51="","",SUMIF(Depletion!$A$7:$A$306,$A51,Depletion!$I$7:$I$306))</x:f>
      </x:c>
      <x:c r="O51" s="60" t="str">
        <x:f>IF($A51="","",$L51-$N51)</x:f>
      </x:c>
      <x:c r="P51" s="64" t="str">
        <x:f>IF($A51="","",IFERROR($O51/$L51,0))</x:f>
      </x:c>
      <x:c r="Q51" s="60" t="str">
        <x:f>IF($A51="","",MAX($L51-$G51,0))</x:f>
      </x:c>
      <x:c r="R51" s="66" t="str">
        <x:f>IF($A51="","",IFERROR($B51+VLOOKUP($F51,Setup!$Z$7:$AA$20,2,FALSE),""))</x:f>
      </x:c>
      <x:c r="S51" s="52" t="str">
        <x:f>IF($A51="","",IF($L51=0,"Draft",IF($Q51&lt;=0,"Paid",IF($G51&gt;0,"Partial","Unpaid"))))</x:f>
      </x:c>
      <x:c r="T51" s="52" t="str">
        <x:f>IF($A51="","",IF($Q51&lt;=0,0,IF($R51="","",MAX(TODAY()-$R51,0))))</x:f>
      </x:c>
      <x:c r="U51" s="52" t="str">
        <x:f>IF($A51="","",IF($S51="Paid","Closed",IF($R51="","Review",IF(TODAY()&lt;=$R51,"Current",IF($T51&lt;=30,"1-30",IF($T51&lt;=60,"31-60",IF($T51&lt;=90,"61-90","90+")))))))</x:f>
      </x:c>
      <x:c r="V51" s="66" t="str">
        <x:f>IF($A51="","",IF(AND($S51="Paid",$H51&lt;&gt;""),$H51,""))</x:f>
      </x:c>
      <x:c r="W51" s="52" t="str">
        <x:f>IF($A51="","",IF(OR(COUNTIF($A$7:$A$156,$A51)&gt;1,$B51="",$C51="",$D51="",$E51="",$F51="",$J51="",$K51="",$L51&lt;=0,$G51&lt;0,$G51&gt;$L51,AND($S51="Paid",$H51="")),"REVIEW","OK"))</x:f>
      </x:c>
    </x:row>
    <x:row r="52">
      <x:c r="A52" s="46"/>
      <x:c r="B52" s="56"/>
      <x:c r="C52" s="46"/>
      <x:c r="D52" s="46"/>
      <x:c r="E52" s="46"/>
      <x:c r="F52" s="46"/>
      <x:c r="G52" s="58"/>
      <x:c r="H52" s="56"/>
      <x:c r="I52" s="46"/>
      <x:c r="J52" s="52" t="str">
        <x:f>IF($A52="","",IFERROR(VLOOKUP($C52,Setup!$J$7:$M$56,2,FALSE),""))</x:f>
      </x:c>
      <x:c r="K52" s="52" t="str">
        <x:f>IF($A52="","",IFERROR(VLOOKUP($C52,Setup!$J$7:$M$56,3,FALSE),""))</x:f>
      </x:c>
      <x:c r="L52" s="60" t="str">
        <x:f>IF($A52="","",SUMIF(Depletion!$A$7:$A$306,$A52,Depletion!$E$7:$E$306))</x:f>
      </x:c>
      <x:c r="M52" s="62" t="str">
        <x:f>IF($A52="","",SUMIF(Depletion!$A$7:$A$306,$A52,Depletion!$C$7:$C$306))</x:f>
      </x:c>
      <x:c r="N52" s="60" t="str">
        <x:f>IF($A52="","",SUMIF(Depletion!$A$7:$A$306,$A52,Depletion!$I$7:$I$306))</x:f>
      </x:c>
      <x:c r="O52" s="60" t="str">
        <x:f>IF($A52="","",$L52-$N52)</x:f>
      </x:c>
      <x:c r="P52" s="64" t="str">
        <x:f>IF($A52="","",IFERROR($O52/$L52,0))</x:f>
      </x:c>
      <x:c r="Q52" s="60" t="str">
        <x:f>IF($A52="","",MAX($L52-$G52,0))</x:f>
      </x:c>
      <x:c r="R52" s="66" t="str">
        <x:f>IF($A52="","",IFERROR($B52+VLOOKUP($F52,Setup!$Z$7:$AA$20,2,FALSE),""))</x:f>
      </x:c>
      <x:c r="S52" s="52" t="str">
        <x:f>IF($A52="","",IF($L52=0,"Draft",IF($Q52&lt;=0,"Paid",IF($G52&gt;0,"Partial","Unpaid"))))</x:f>
      </x:c>
      <x:c r="T52" s="52" t="str">
        <x:f>IF($A52="","",IF($Q52&lt;=0,0,IF($R52="","",MAX(TODAY()-$R52,0))))</x:f>
      </x:c>
      <x:c r="U52" s="52" t="str">
        <x:f>IF($A52="","",IF($S52="Paid","Closed",IF($R52="","Review",IF(TODAY()&lt;=$R52,"Current",IF($T52&lt;=30,"1-30",IF($T52&lt;=60,"31-60",IF($T52&lt;=90,"61-90","90+")))))))</x:f>
      </x:c>
      <x:c r="V52" s="66" t="str">
        <x:f>IF($A52="","",IF(AND($S52="Paid",$H52&lt;&gt;""),$H52,""))</x:f>
      </x:c>
      <x:c r="W52" s="52" t="str">
        <x:f>IF($A52="","",IF(OR(COUNTIF($A$7:$A$156,$A52)&gt;1,$B52="",$C52="",$D52="",$E52="",$F52="",$J52="",$K52="",$L52&lt;=0,$G52&lt;0,$G52&gt;$L52,AND($S52="Paid",$H52="")),"REVIEW","OK"))</x:f>
      </x:c>
    </x:row>
    <x:row r="53">
      <x:c r="A53" s="46"/>
      <x:c r="B53" s="56"/>
      <x:c r="C53" s="46"/>
      <x:c r="D53" s="46"/>
      <x:c r="E53" s="46"/>
      <x:c r="F53" s="46"/>
      <x:c r="G53" s="58"/>
      <x:c r="H53" s="56"/>
      <x:c r="I53" s="46"/>
      <x:c r="J53" s="52" t="str">
        <x:f>IF($A53="","",IFERROR(VLOOKUP($C53,Setup!$J$7:$M$56,2,FALSE),""))</x:f>
      </x:c>
      <x:c r="K53" s="52" t="str">
        <x:f>IF($A53="","",IFERROR(VLOOKUP($C53,Setup!$J$7:$M$56,3,FALSE),""))</x:f>
      </x:c>
      <x:c r="L53" s="60" t="str">
        <x:f>IF($A53="","",SUMIF(Depletion!$A$7:$A$306,$A53,Depletion!$E$7:$E$306))</x:f>
      </x:c>
      <x:c r="M53" s="62" t="str">
        <x:f>IF($A53="","",SUMIF(Depletion!$A$7:$A$306,$A53,Depletion!$C$7:$C$306))</x:f>
      </x:c>
      <x:c r="N53" s="60" t="str">
        <x:f>IF($A53="","",SUMIF(Depletion!$A$7:$A$306,$A53,Depletion!$I$7:$I$306))</x:f>
      </x:c>
      <x:c r="O53" s="60" t="str">
        <x:f>IF($A53="","",$L53-$N53)</x:f>
      </x:c>
      <x:c r="P53" s="64" t="str">
        <x:f>IF($A53="","",IFERROR($O53/$L53,0))</x:f>
      </x:c>
      <x:c r="Q53" s="60" t="str">
        <x:f>IF($A53="","",MAX($L53-$G53,0))</x:f>
      </x:c>
      <x:c r="R53" s="66" t="str">
        <x:f>IF($A53="","",IFERROR($B53+VLOOKUP($F53,Setup!$Z$7:$AA$20,2,FALSE),""))</x:f>
      </x:c>
      <x:c r="S53" s="52" t="str">
        <x:f>IF($A53="","",IF($L53=0,"Draft",IF($Q53&lt;=0,"Paid",IF($G53&gt;0,"Partial","Unpaid"))))</x:f>
      </x:c>
      <x:c r="T53" s="52" t="str">
        <x:f>IF($A53="","",IF($Q53&lt;=0,0,IF($R53="","",MAX(TODAY()-$R53,0))))</x:f>
      </x:c>
      <x:c r="U53" s="52" t="str">
        <x:f>IF($A53="","",IF($S53="Paid","Closed",IF($R53="","Review",IF(TODAY()&lt;=$R53,"Current",IF($T53&lt;=30,"1-30",IF($T53&lt;=60,"31-60",IF($T53&lt;=90,"61-90","90+")))))))</x:f>
      </x:c>
      <x:c r="V53" s="66" t="str">
        <x:f>IF($A53="","",IF(AND($S53="Paid",$H53&lt;&gt;""),$H53,""))</x:f>
      </x:c>
      <x:c r="W53" s="52" t="str">
        <x:f>IF($A53="","",IF(OR(COUNTIF($A$7:$A$156,$A53)&gt;1,$B53="",$C53="",$D53="",$E53="",$F53="",$J53="",$K53="",$L53&lt;=0,$G53&lt;0,$G53&gt;$L53,AND($S53="Paid",$H53="")),"REVIEW","OK"))</x:f>
      </x:c>
    </x:row>
    <x:row r="54">
      <x:c r="A54" s="46"/>
      <x:c r="B54" s="56"/>
      <x:c r="C54" s="46"/>
      <x:c r="D54" s="46"/>
      <x:c r="E54" s="46"/>
      <x:c r="F54" s="46"/>
      <x:c r="G54" s="58"/>
      <x:c r="H54" s="56"/>
      <x:c r="I54" s="46"/>
      <x:c r="J54" s="52" t="str">
        <x:f>IF($A54="","",IFERROR(VLOOKUP($C54,Setup!$J$7:$M$56,2,FALSE),""))</x:f>
      </x:c>
      <x:c r="K54" s="52" t="str">
        <x:f>IF($A54="","",IFERROR(VLOOKUP($C54,Setup!$J$7:$M$56,3,FALSE),""))</x:f>
      </x:c>
      <x:c r="L54" s="60" t="str">
        <x:f>IF($A54="","",SUMIF(Depletion!$A$7:$A$306,$A54,Depletion!$E$7:$E$306))</x:f>
      </x:c>
      <x:c r="M54" s="62" t="str">
        <x:f>IF($A54="","",SUMIF(Depletion!$A$7:$A$306,$A54,Depletion!$C$7:$C$306))</x:f>
      </x:c>
      <x:c r="N54" s="60" t="str">
        <x:f>IF($A54="","",SUMIF(Depletion!$A$7:$A$306,$A54,Depletion!$I$7:$I$306))</x:f>
      </x:c>
      <x:c r="O54" s="60" t="str">
        <x:f>IF($A54="","",$L54-$N54)</x:f>
      </x:c>
      <x:c r="P54" s="64" t="str">
        <x:f>IF($A54="","",IFERROR($O54/$L54,0))</x:f>
      </x:c>
      <x:c r="Q54" s="60" t="str">
        <x:f>IF($A54="","",MAX($L54-$G54,0))</x:f>
      </x:c>
      <x:c r="R54" s="66" t="str">
        <x:f>IF($A54="","",IFERROR($B54+VLOOKUP($F54,Setup!$Z$7:$AA$20,2,FALSE),""))</x:f>
      </x:c>
      <x:c r="S54" s="52" t="str">
        <x:f>IF($A54="","",IF($L54=0,"Draft",IF($Q54&lt;=0,"Paid",IF($G54&gt;0,"Partial","Unpaid"))))</x:f>
      </x:c>
      <x:c r="T54" s="52" t="str">
        <x:f>IF($A54="","",IF($Q54&lt;=0,0,IF($R54="","",MAX(TODAY()-$R54,0))))</x:f>
      </x:c>
      <x:c r="U54" s="52" t="str">
        <x:f>IF($A54="","",IF($S54="Paid","Closed",IF($R54="","Review",IF(TODAY()&lt;=$R54,"Current",IF($T54&lt;=30,"1-30",IF($T54&lt;=60,"31-60",IF($T54&lt;=90,"61-90","90+")))))))</x:f>
      </x:c>
      <x:c r="V54" s="66" t="str">
        <x:f>IF($A54="","",IF(AND($S54="Paid",$H54&lt;&gt;""),$H54,""))</x:f>
      </x:c>
      <x:c r="W54" s="52" t="str">
        <x:f>IF($A54="","",IF(OR(COUNTIF($A$7:$A$156,$A54)&gt;1,$B54="",$C54="",$D54="",$E54="",$F54="",$J54="",$K54="",$L54&lt;=0,$G54&lt;0,$G54&gt;$L54,AND($S54="Paid",$H54="")),"REVIEW","OK"))</x:f>
      </x:c>
    </x:row>
    <x:row r="55">
      <x:c r="A55" s="46"/>
      <x:c r="B55" s="56"/>
      <x:c r="C55" s="46"/>
      <x:c r="D55" s="46"/>
      <x:c r="E55" s="46"/>
      <x:c r="F55" s="46"/>
      <x:c r="G55" s="58"/>
      <x:c r="H55" s="56"/>
      <x:c r="I55" s="46"/>
      <x:c r="J55" s="52" t="str">
        <x:f>IF($A55="","",IFERROR(VLOOKUP($C55,Setup!$J$7:$M$56,2,FALSE),""))</x:f>
      </x:c>
      <x:c r="K55" s="52" t="str">
        <x:f>IF($A55="","",IFERROR(VLOOKUP($C55,Setup!$J$7:$M$56,3,FALSE),""))</x:f>
      </x:c>
      <x:c r="L55" s="60" t="str">
        <x:f>IF($A55="","",SUMIF(Depletion!$A$7:$A$306,$A55,Depletion!$E$7:$E$306))</x:f>
      </x:c>
      <x:c r="M55" s="62" t="str">
        <x:f>IF($A55="","",SUMIF(Depletion!$A$7:$A$306,$A55,Depletion!$C$7:$C$306))</x:f>
      </x:c>
      <x:c r="N55" s="60" t="str">
        <x:f>IF($A55="","",SUMIF(Depletion!$A$7:$A$306,$A55,Depletion!$I$7:$I$306))</x:f>
      </x:c>
      <x:c r="O55" s="60" t="str">
        <x:f>IF($A55="","",$L55-$N55)</x:f>
      </x:c>
      <x:c r="P55" s="64" t="str">
        <x:f>IF($A55="","",IFERROR($O55/$L55,0))</x:f>
      </x:c>
      <x:c r="Q55" s="60" t="str">
        <x:f>IF($A55="","",MAX($L55-$G55,0))</x:f>
      </x:c>
      <x:c r="R55" s="66" t="str">
        <x:f>IF($A55="","",IFERROR($B55+VLOOKUP($F55,Setup!$Z$7:$AA$20,2,FALSE),""))</x:f>
      </x:c>
      <x:c r="S55" s="52" t="str">
        <x:f>IF($A55="","",IF($L55=0,"Draft",IF($Q55&lt;=0,"Paid",IF($G55&gt;0,"Partial","Unpaid"))))</x:f>
      </x:c>
      <x:c r="T55" s="52" t="str">
        <x:f>IF($A55="","",IF($Q55&lt;=0,0,IF($R55="","",MAX(TODAY()-$R55,0))))</x:f>
      </x:c>
      <x:c r="U55" s="52" t="str">
        <x:f>IF($A55="","",IF($S55="Paid","Closed",IF($R55="","Review",IF(TODAY()&lt;=$R55,"Current",IF($T55&lt;=30,"1-30",IF($T55&lt;=60,"31-60",IF($T55&lt;=90,"61-90","90+")))))))</x:f>
      </x:c>
      <x:c r="V55" s="66" t="str">
        <x:f>IF($A55="","",IF(AND($S55="Paid",$H55&lt;&gt;""),$H55,""))</x:f>
      </x:c>
      <x:c r="W55" s="52" t="str">
        <x:f>IF($A55="","",IF(OR(COUNTIF($A$7:$A$156,$A55)&gt;1,$B55="",$C55="",$D55="",$E55="",$F55="",$J55="",$K55="",$L55&lt;=0,$G55&lt;0,$G55&gt;$L55,AND($S55="Paid",$H55="")),"REVIEW","OK"))</x:f>
      </x:c>
    </x:row>
    <x:row r="56">
      <x:c r="A56" s="46"/>
      <x:c r="B56" s="56"/>
      <x:c r="C56" s="46"/>
      <x:c r="D56" s="46"/>
      <x:c r="E56" s="46"/>
      <x:c r="F56" s="46"/>
      <x:c r="G56" s="58"/>
      <x:c r="H56" s="56"/>
      <x:c r="I56" s="46"/>
      <x:c r="J56" s="52" t="str">
        <x:f>IF($A56="","",IFERROR(VLOOKUP($C56,Setup!$J$7:$M$56,2,FALSE),""))</x:f>
      </x:c>
      <x:c r="K56" s="52" t="str">
        <x:f>IF($A56="","",IFERROR(VLOOKUP($C56,Setup!$J$7:$M$56,3,FALSE),""))</x:f>
      </x:c>
      <x:c r="L56" s="60" t="str">
        <x:f>IF($A56="","",SUMIF(Depletion!$A$7:$A$306,$A56,Depletion!$E$7:$E$306))</x:f>
      </x:c>
      <x:c r="M56" s="62" t="str">
        <x:f>IF($A56="","",SUMIF(Depletion!$A$7:$A$306,$A56,Depletion!$C$7:$C$306))</x:f>
      </x:c>
      <x:c r="N56" s="60" t="str">
        <x:f>IF($A56="","",SUMIF(Depletion!$A$7:$A$306,$A56,Depletion!$I$7:$I$306))</x:f>
      </x:c>
      <x:c r="O56" s="60" t="str">
        <x:f>IF($A56="","",$L56-$N56)</x:f>
      </x:c>
      <x:c r="P56" s="64" t="str">
        <x:f>IF($A56="","",IFERROR($O56/$L56,0))</x:f>
      </x:c>
      <x:c r="Q56" s="60" t="str">
        <x:f>IF($A56="","",MAX($L56-$G56,0))</x:f>
      </x:c>
      <x:c r="R56" s="66" t="str">
        <x:f>IF($A56="","",IFERROR($B56+VLOOKUP($F56,Setup!$Z$7:$AA$20,2,FALSE),""))</x:f>
      </x:c>
      <x:c r="S56" s="52" t="str">
        <x:f>IF($A56="","",IF($L56=0,"Draft",IF($Q56&lt;=0,"Paid",IF($G56&gt;0,"Partial","Unpaid"))))</x:f>
      </x:c>
      <x:c r="T56" s="52" t="str">
        <x:f>IF($A56="","",IF($Q56&lt;=0,0,IF($R56="","",MAX(TODAY()-$R56,0))))</x:f>
      </x:c>
      <x:c r="U56" s="52" t="str">
        <x:f>IF($A56="","",IF($S56="Paid","Closed",IF($R56="","Review",IF(TODAY()&lt;=$R56,"Current",IF($T56&lt;=30,"1-30",IF($T56&lt;=60,"31-60",IF($T56&lt;=90,"61-90","90+")))))))</x:f>
      </x:c>
      <x:c r="V56" s="66" t="str">
        <x:f>IF($A56="","",IF(AND($S56="Paid",$H56&lt;&gt;""),$H56,""))</x:f>
      </x:c>
      <x:c r="W56" s="52" t="str">
        <x:f>IF($A56="","",IF(OR(COUNTIF($A$7:$A$156,$A56)&gt;1,$B56="",$C56="",$D56="",$E56="",$F56="",$J56="",$K56="",$L56&lt;=0,$G56&lt;0,$G56&gt;$L56,AND($S56="Paid",$H56="")),"REVIEW","OK"))</x:f>
      </x:c>
    </x:row>
    <x:row r="57">
      <x:c r="A57" s="46"/>
      <x:c r="B57" s="56"/>
      <x:c r="C57" s="46"/>
      <x:c r="D57" s="46"/>
      <x:c r="E57" s="46"/>
      <x:c r="F57" s="46"/>
      <x:c r="G57" s="58"/>
      <x:c r="H57" s="56"/>
      <x:c r="I57" s="46"/>
      <x:c r="J57" s="52" t="str">
        <x:f>IF($A57="","",IFERROR(VLOOKUP($C57,Setup!$J$7:$M$56,2,FALSE),""))</x:f>
      </x:c>
      <x:c r="K57" s="52" t="str">
        <x:f>IF($A57="","",IFERROR(VLOOKUP($C57,Setup!$J$7:$M$56,3,FALSE),""))</x:f>
      </x:c>
      <x:c r="L57" s="60" t="str">
        <x:f>IF($A57="","",SUMIF(Depletion!$A$7:$A$306,$A57,Depletion!$E$7:$E$306))</x:f>
      </x:c>
      <x:c r="M57" s="62" t="str">
        <x:f>IF($A57="","",SUMIF(Depletion!$A$7:$A$306,$A57,Depletion!$C$7:$C$306))</x:f>
      </x:c>
      <x:c r="N57" s="60" t="str">
        <x:f>IF($A57="","",SUMIF(Depletion!$A$7:$A$306,$A57,Depletion!$I$7:$I$306))</x:f>
      </x:c>
      <x:c r="O57" s="60" t="str">
        <x:f>IF($A57="","",$L57-$N57)</x:f>
      </x:c>
      <x:c r="P57" s="64" t="str">
        <x:f>IF($A57="","",IFERROR($O57/$L57,0))</x:f>
      </x:c>
      <x:c r="Q57" s="60" t="str">
        <x:f>IF($A57="","",MAX($L57-$G57,0))</x:f>
      </x:c>
      <x:c r="R57" s="66" t="str">
        <x:f>IF($A57="","",IFERROR($B57+VLOOKUP($F57,Setup!$Z$7:$AA$20,2,FALSE),""))</x:f>
      </x:c>
      <x:c r="S57" s="52" t="str">
        <x:f>IF($A57="","",IF($L57=0,"Draft",IF($Q57&lt;=0,"Paid",IF($G57&gt;0,"Partial","Unpaid"))))</x:f>
      </x:c>
      <x:c r="T57" s="52" t="str">
        <x:f>IF($A57="","",IF($Q57&lt;=0,0,IF($R57="","",MAX(TODAY()-$R57,0))))</x:f>
      </x:c>
      <x:c r="U57" s="52" t="str">
        <x:f>IF($A57="","",IF($S57="Paid","Closed",IF($R57="","Review",IF(TODAY()&lt;=$R57,"Current",IF($T57&lt;=30,"1-30",IF($T57&lt;=60,"31-60",IF($T57&lt;=90,"61-90","90+")))))))</x:f>
      </x:c>
      <x:c r="V57" s="66" t="str">
        <x:f>IF($A57="","",IF(AND($S57="Paid",$H57&lt;&gt;""),$H57,""))</x:f>
      </x:c>
      <x:c r="W57" s="52" t="str">
        <x:f>IF($A57="","",IF(OR(COUNTIF($A$7:$A$156,$A57)&gt;1,$B57="",$C57="",$D57="",$E57="",$F57="",$J57="",$K57="",$L57&lt;=0,$G57&lt;0,$G57&gt;$L57,AND($S57="Paid",$H57="")),"REVIEW","OK"))</x:f>
      </x:c>
    </x:row>
    <x:row r="58">
      <x:c r="A58" s="46"/>
      <x:c r="B58" s="56"/>
      <x:c r="C58" s="46"/>
      <x:c r="D58" s="46"/>
      <x:c r="E58" s="46"/>
      <x:c r="F58" s="46"/>
      <x:c r="G58" s="58"/>
      <x:c r="H58" s="56"/>
      <x:c r="I58" s="46"/>
      <x:c r="J58" s="52" t="str">
        <x:f>IF($A58="","",IFERROR(VLOOKUP($C58,Setup!$J$7:$M$56,2,FALSE),""))</x:f>
      </x:c>
      <x:c r="K58" s="52" t="str">
        <x:f>IF($A58="","",IFERROR(VLOOKUP($C58,Setup!$J$7:$M$56,3,FALSE),""))</x:f>
      </x:c>
      <x:c r="L58" s="60" t="str">
        <x:f>IF($A58="","",SUMIF(Depletion!$A$7:$A$306,$A58,Depletion!$E$7:$E$306))</x:f>
      </x:c>
      <x:c r="M58" s="62" t="str">
        <x:f>IF($A58="","",SUMIF(Depletion!$A$7:$A$306,$A58,Depletion!$C$7:$C$306))</x:f>
      </x:c>
      <x:c r="N58" s="60" t="str">
        <x:f>IF($A58="","",SUMIF(Depletion!$A$7:$A$306,$A58,Depletion!$I$7:$I$306))</x:f>
      </x:c>
      <x:c r="O58" s="60" t="str">
        <x:f>IF($A58="","",$L58-$N58)</x:f>
      </x:c>
      <x:c r="P58" s="64" t="str">
        <x:f>IF($A58="","",IFERROR($O58/$L58,0))</x:f>
      </x:c>
      <x:c r="Q58" s="60" t="str">
        <x:f>IF($A58="","",MAX($L58-$G58,0))</x:f>
      </x:c>
      <x:c r="R58" s="66" t="str">
        <x:f>IF($A58="","",IFERROR($B58+VLOOKUP($F58,Setup!$Z$7:$AA$20,2,FALSE),""))</x:f>
      </x:c>
      <x:c r="S58" s="52" t="str">
        <x:f>IF($A58="","",IF($L58=0,"Draft",IF($Q58&lt;=0,"Paid",IF($G58&gt;0,"Partial","Unpaid"))))</x:f>
      </x:c>
      <x:c r="T58" s="52" t="str">
        <x:f>IF($A58="","",IF($Q58&lt;=0,0,IF($R58="","",MAX(TODAY()-$R58,0))))</x:f>
      </x:c>
      <x:c r="U58" s="52" t="str">
        <x:f>IF($A58="","",IF($S58="Paid","Closed",IF($R58="","Review",IF(TODAY()&lt;=$R58,"Current",IF($T58&lt;=30,"1-30",IF($T58&lt;=60,"31-60",IF($T58&lt;=90,"61-90","90+")))))))</x:f>
      </x:c>
      <x:c r="V58" s="66" t="str">
        <x:f>IF($A58="","",IF(AND($S58="Paid",$H58&lt;&gt;""),$H58,""))</x:f>
      </x:c>
      <x:c r="W58" s="52" t="str">
        <x:f>IF($A58="","",IF(OR(COUNTIF($A$7:$A$156,$A58)&gt;1,$B58="",$C58="",$D58="",$E58="",$F58="",$J58="",$K58="",$L58&lt;=0,$G58&lt;0,$G58&gt;$L58,AND($S58="Paid",$H58="")),"REVIEW","OK"))</x:f>
      </x:c>
    </x:row>
    <x:row r="59">
      <x:c r="A59" s="46"/>
      <x:c r="B59" s="56"/>
      <x:c r="C59" s="46"/>
      <x:c r="D59" s="46"/>
      <x:c r="E59" s="46"/>
      <x:c r="F59" s="46"/>
      <x:c r="G59" s="58"/>
      <x:c r="H59" s="56"/>
      <x:c r="I59" s="46"/>
      <x:c r="J59" s="52" t="str">
        <x:f>IF($A59="","",IFERROR(VLOOKUP($C59,Setup!$J$7:$M$56,2,FALSE),""))</x:f>
      </x:c>
      <x:c r="K59" s="52" t="str">
        <x:f>IF($A59="","",IFERROR(VLOOKUP($C59,Setup!$J$7:$M$56,3,FALSE),""))</x:f>
      </x:c>
      <x:c r="L59" s="60" t="str">
        <x:f>IF($A59="","",SUMIF(Depletion!$A$7:$A$306,$A59,Depletion!$E$7:$E$306))</x:f>
      </x:c>
      <x:c r="M59" s="62" t="str">
        <x:f>IF($A59="","",SUMIF(Depletion!$A$7:$A$306,$A59,Depletion!$C$7:$C$306))</x:f>
      </x:c>
      <x:c r="N59" s="60" t="str">
        <x:f>IF($A59="","",SUMIF(Depletion!$A$7:$A$306,$A59,Depletion!$I$7:$I$306))</x:f>
      </x:c>
      <x:c r="O59" s="60" t="str">
        <x:f>IF($A59="","",$L59-$N59)</x:f>
      </x:c>
      <x:c r="P59" s="64" t="str">
        <x:f>IF($A59="","",IFERROR($O59/$L59,0))</x:f>
      </x:c>
      <x:c r="Q59" s="60" t="str">
        <x:f>IF($A59="","",MAX($L59-$G59,0))</x:f>
      </x:c>
      <x:c r="R59" s="66" t="str">
        <x:f>IF($A59="","",IFERROR($B59+VLOOKUP($F59,Setup!$Z$7:$AA$20,2,FALSE),""))</x:f>
      </x:c>
      <x:c r="S59" s="52" t="str">
        <x:f>IF($A59="","",IF($L59=0,"Draft",IF($Q59&lt;=0,"Paid",IF($G59&gt;0,"Partial","Unpaid"))))</x:f>
      </x:c>
      <x:c r="T59" s="52" t="str">
        <x:f>IF($A59="","",IF($Q59&lt;=0,0,IF($R59="","",MAX(TODAY()-$R59,0))))</x:f>
      </x:c>
      <x:c r="U59" s="52" t="str">
        <x:f>IF($A59="","",IF($S59="Paid","Closed",IF($R59="","Review",IF(TODAY()&lt;=$R59,"Current",IF($T59&lt;=30,"1-30",IF($T59&lt;=60,"31-60",IF($T59&lt;=90,"61-90","90+")))))))</x:f>
      </x:c>
      <x:c r="V59" s="66" t="str">
        <x:f>IF($A59="","",IF(AND($S59="Paid",$H59&lt;&gt;""),$H59,""))</x:f>
      </x:c>
      <x:c r="W59" s="52" t="str">
        <x:f>IF($A59="","",IF(OR(COUNTIF($A$7:$A$156,$A59)&gt;1,$B59="",$C59="",$D59="",$E59="",$F59="",$J59="",$K59="",$L59&lt;=0,$G59&lt;0,$G59&gt;$L59,AND($S59="Paid",$H59="")),"REVIEW","OK"))</x:f>
      </x:c>
    </x:row>
    <x:row r="60">
      <x:c r="A60" s="46"/>
      <x:c r="B60" s="56"/>
      <x:c r="C60" s="46"/>
      <x:c r="D60" s="46"/>
      <x:c r="E60" s="46"/>
      <x:c r="F60" s="46"/>
      <x:c r="G60" s="58"/>
      <x:c r="H60" s="56"/>
      <x:c r="I60" s="46"/>
      <x:c r="J60" s="52" t="str">
        <x:f>IF($A60="","",IFERROR(VLOOKUP($C60,Setup!$J$7:$M$56,2,FALSE),""))</x:f>
      </x:c>
      <x:c r="K60" s="52" t="str">
        <x:f>IF($A60="","",IFERROR(VLOOKUP($C60,Setup!$J$7:$M$56,3,FALSE),""))</x:f>
      </x:c>
      <x:c r="L60" s="60" t="str">
        <x:f>IF($A60="","",SUMIF(Depletion!$A$7:$A$306,$A60,Depletion!$E$7:$E$306))</x:f>
      </x:c>
      <x:c r="M60" s="62" t="str">
        <x:f>IF($A60="","",SUMIF(Depletion!$A$7:$A$306,$A60,Depletion!$C$7:$C$306))</x:f>
      </x:c>
      <x:c r="N60" s="60" t="str">
        <x:f>IF($A60="","",SUMIF(Depletion!$A$7:$A$306,$A60,Depletion!$I$7:$I$306))</x:f>
      </x:c>
      <x:c r="O60" s="60" t="str">
        <x:f>IF($A60="","",$L60-$N60)</x:f>
      </x:c>
      <x:c r="P60" s="64" t="str">
        <x:f>IF($A60="","",IFERROR($O60/$L60,0))</x:f>
      </x:c>
      <x:c r="Q60" s="60" t="str">
        <x:f>IF($A60="","",MAX($L60-$G60,0))</x:f>
      </x:c>
      <x:c r="R60" s="66" t="str">
        <x:f>IF($A60="","",IFERROR($B60+VLOOKUP($F60,Setup!$Z$7:$AA$20,2,FALSE),""))</x:f>
      </x:c>
      <x:c r="S60" s="52" t="str">
        <x:f>IF($A60="","",IF($L60=0,"Draft",IF($Q60&lt;=0,"Paid",IF($G60&gt;0,"Partial","Unpaid"))))</x:f>
      </x:c>
      <x:c r="T60" s="52" t="str">
        <x:f>IF($A60="","",IF($Q60&lt;=0,0,IF($R60="","",MAX(TODAY()-$R60,0))))</x:f>
      </x:c>
      <x:c r="U60" s="52" t="str">
        <x:f>IF($A60="","",IF($S60="Paid","Closed",IF($R60="","Review",IF(TODAY()&lt;=$R60,"Current",IF($T60&lt;=30,"1-30",IF($T60&lt;=60,"31-60",IF($T60&lt;=90,"61-90","90+")))))))</x:f>
      </x:c>
      <x:c r="V60" s="66" t="str">
        <x:f>IF($A60="","",IF(AND($S60="Paid",$H60&lt;&gt;""),$H60,""))</x:f>
      </x:c>
      <x:c r="W60" s="52" t="str">
        <x:f>IF($A60="","",IF(OR(COUNTIF($A$7:$A$156,$A60)&gt;1,$B60="",$C60="",$D60="",$E60="",$F60="",$J60="",$K60="",$L60&lt;=0,$G60&lt;0,$G60&gt;$L60,AND($S60="Paid",$H60="")),"REVIEW","OK"))</x:f>
      </x:c>
    </x:row>
    <x:row r="61">
      <x:c r="A61" s="46"/>
      <x:c r="B61" s="56"/>
      <x:c r="C61" s="46"/>
      <x:c r="D61" s="46"/>
      <x:c r="E61" s="46"/>
      <x:c r="F61" s="46"/>
      <x:c r="G61" s="58"/>
      <x:c r="H61" s="56"/>
      <x:c r="I61" s="46"/>
      <x:c r="J61" s="52" t="str">
        <x:f>IF($A61="","",IFERROR(VLOOKUP($C61,Setup!$J$7:$M$56,2,FALSE),""))</x:f>
      </x:c>
      <x:c r="K61" s="52" t="str">
        <x:f>IF($A61="","",IFERROR(VLOOKUP($C61,Setup!$J$7:$M$56,3,FALSE),""))</x:f>
      </x:c>
      <x:c r="L61" s="60" t="str">
        <x:f>IF($A61="","",SUMIF(Depletion!$A$7:$A$306,$A61,Depletion!$E$7:$E$306))</x:f>
      </x:c>
      <x:c r="M61" s="62" t="str">
        <x:f>IF($A61="","",SUMIF(Depletion!$A$7:$A$306,$A61,Depletion!$C$7:$C$306))</x:f>
      </x:c>
      <x:c r="N61" s="60" t="str">
        <x:f>IF($A61="","",SUMIF(Depletion!$A$7:$A$306,$A61,Depletion!$I$7:$I$306))</x:f>
      </x:c>
      <x:c r="O61" s="60" t="str">
        <x:f>IF($A61="","",$L61-$N61)</x:f>
      </x:c>
      <x:c r="P61" s="64" t="str">
        <x:f>IF($A61="","",IFERROR($O61/$L61,0))</x:f>
      </x:c>
      <x:c r="Q61" s="60" t="str">
        <x:f>IF($A61="","",MAX($L61-$G61,0))</x:f>
      </x:c>
      <x:c r="R61" s="66" t="str">
        <x:f>IF($A61="","",IFERROR($B61+VLOOKUP($F61,Setup!$Z$7:$AA$20,2,FALSE),""))</x:f>
      </x:c>
      <x:c r="S61" s="52" t="str">
        <x:f>IF($A61="","",IF($L61=0,"Draft",IF($Q61&lt;=0,"Paid",IF($G61&gt;0,"Partial","Unpaid"))))</x:f>
      </x:c>
      <x:c r="T61" s="52" t="str">
        <x:f>IF($A61="","",IF($Q61&lt;=0,0,IF($R61="","",MAX(TODAY()-$R61,0))))</x:f>
      </x:c>
      <x:c r="U61" s="52" t="str">
        <x:f>IF($A61="","",IF($S61="Paid","Closed",IF($R61="","Review",IF(TODAY()&lt;=$R61,"Current",IF($T61&lt;=30,"1-30",IF($T61&lt;=60,"31-60",IF($T61&lt;=90,"61-90","90+")))))))</x:f>
      </x:c>
      <x:c r="V61" s="66" t="str">
        <x:f>IF($A61="","",IF(AND($S61="Paid",$H61&lt;&gt;""),$H61,""))</x:f>
      </x:c>
      <x:c r="W61" s="52" t="str">
        <x:f>IF($A61="","",IF(OR(COUNTIF($A$7:$A$156,$A61)&gt;1,$B61="",$C61="",$D61="",$E61="",$F61="",$J61="",$K61="",$L61&lt;=0,$G61&lt;0,$G61&gt;$L61,AND($S61="Paid",$H61="")),"REVIEW","OK"))</x:f>
      </x:c>
    </x:row>
    <x:row r="62">
      <x:c r="A62" s="46"/>
      <x:c r="B62" s="56"/>
      <x:c r="C62" s="46"/>
      <x:c r="D62" s="46"/>
      <x:c r="E62" s="46"/>
      <x:c r="F62" s="46"/>
      <x:c r="G62" s="58"/>
      <x:c r="H62" s="56"/>
      <x:c r="I62" s="46"/>
      <x:c r="J62" s="52" t="str">
        <x:f>IF($A62="","",IFERROR(VLOOKUP($C62,Setup!$J$7:$M$56,2,FALSE),""))</x:f>
      </x:c>
      <x:c r="K62" s="52" t="str">
        <x:f>IF($A62="","",IFERROR(VLOOKUP($C62,Setup!$J$7:$M$56,3,FALSE),""))</x:f>
      </x:c>
      <x:c r="L62" s="60" t="str">
        <x:f>IF($A62="","",SUMIF(Depletion!$A$7:$A$306,$A62,Depletion!$E$7:$E$306))</x:f>
      </x:c>
      <x:c r="M62" s="62" t="str">
        <x:f>IF($A62="","",SUMIF(Depletion!$A$7:$A$306,$A62,Depletion!$C$7:$C$306))</x:f>
      </x:c>
      <x:c r="N62" s="60" t="str">
        <x:f>IF($A62="","",SUMIF(Depletion!$A$7:$A$306,$A62,Depletion!$I$7:$I$306))</x:f>
      </x:c>
      <x:c r="O62" s="60" t="str">
        <x:f>IF($A62="","",$L62-$N62)</x:f>
      </x:c>
      <x:c r="P62" s="64" t="str">
        <x:f>IF($A62="","",IFERROR($O62/$L62,0))</x:f>
      </x:c>
      <x:c r="Q62" s="60" t="str">
        <x:f>IF($A62="","",MAX($L62-$G62,0))</x:f>
      </x:c>
      <x:c r="R62" s="66" t="str">
        <x:f>IF($A62="","",IFERROR($B62+VLOOKUP($F62,Setup!$Z$7:$AA$20,2,FALSE),""))</x:f>
      </x:c>
      <x:c r="S62" s="52" t="str">
        <x:f>IF($A62="","",IF($L62=0,"Draft",IF($Q62&lt;=0,"Paid",IF($G62&gt;0,"Partial","Unpaid"))))</x:f>
      </x:c>
      <x:c r="T62" s="52" t="str">
        <x:f>IF($A62="","",IF($Q62&lt;=0,0,IF($R62="","",MAX(TODAY()-$R62,0))))</x:f>
      </x:c>
      <x:c r="U62" s="52" t="str">
        <x:f>IF($A62="","",IF($S62="Paid","Closed",IF($R62="","Review",IF(TODAY()&lt;=$R62,"Current",IF($T62&lt;=30,"1-30",IF($T62&lt;=60,"31-60",IF($T62&lt;=90,"61-90","90+")))))))</x:f>
      </x:c>
      <x:c r="V62" s="66" t="str">
        <x:f>IF($A62="","",IF(AND($S62="Paid",$H62&lt;&gt;""),$H62,""))</x:f>
      </x:c>
      <x:c r="W62" s="52" t="str">
        <x:f>IF($A62="","",IF(OR(COUNTIF($A$7:$A$156,$A62)&gt;1,$B62="",$C62="",$D62="",$E62="",$F62="",$J62="",$K62="",$L62&lt;=0,$G62&lt;0,$G62&gt;$L62,AND($S62="Paid",$H62="")),"REVIEW","OK"))</x:f>
      </x:c>
    </x:row>
    <x:row r="63">
      <x:c r="A63" s="46"/>
      <x:c r="B63" s="56"/>
      <x:c r="C63" s="46"/>
      <x:c r="D63" s="46"/>
      <x:c r="E63" s="46"/>
      <x:c r="F63" s="46"/>
      <x:c r="G63" s="58"/>
      <x:c r="H63" s="56"/>
      <x:c r="I63" s="46"/>
      <x:c r="J63" s="52" t="str">
        <x:f>IF($A63="","",IFERROR(VLOOKUP($C63,Setup!$J$7:$M$56,2,FALSE),""))</x:f>
      </x:c>
      <x:c r="K63" s="52" t="str">
        <x:f>IF($A63="","",IFERROR(VLOOKUP($C63,Setup!$J$7:$M$56,3,FALSE),""))</x:f>
      </x:c>
      <x:c r="L63" s="60" t="str">
        <x:f>IF($A63="","",SUMIF(Depletion!$A$7:$A$306,$A63,Depletion!$E$7:$E$306))</x:f>
      </x:c>
      <x:c r="M63" s="62" t="str">
        <x:f>IF($A63="","",SUMIF(Depletion!$A$7:$A$306,$A63,Depletion!$C$7:$C$306))</x:f>
      </x:c>
      <x:c r="N63" s="60" t="str">
        <x:f>IF($A63="","",SUMIF(Depletion!$A$7:$A$306,$A63,Depletion!$I$7:$I$306))</x:f>
      </x:c>
      <x:c r="O63" s="60" t="str">
        <x:f>IF($A63="","",$L63-$N63)</x:f>
      </x:c>
      <x:c r="P63" s="64" t="str">
        <x:f>IF($A63="","",IFERROR($O63/$L63,0))</x:f>
      </x:c>
      <x:c r="Q63" s="60" t="str">
        <x:f>IF($A63="","",MAX($L63-$G63,0))</x:f>
      </x:c>
      <x:c r="R63" s="66" t="str">
        <x:f>IF($A63="","",IFERROR($B63+VLOOKUP($F63,Setup!$Z$7:$AA$20,2,FALSE),""))</x:f>
      </x:c>
      <x:c r="S63" s="52" t="str">
        <x:f>IF($A63="","",IF($L63=0,"Draft",IF($Q63&lt;=0,"Paid",IF($G63&gt;0,"Partial","Unpaid"))))</x:f>
      </x:c>
      <x:c r="T63" s="52" t="str">
        <x:f>IF($A63="","",IF($Q63&lt;=0,0,IF($R63="","",MAX(TODAY()-$R63,0))))</x:f>
      </x:c>
      <x:c r="U63" s="52" t="str">
        <x:f>IF($A63="","",IF($S63="Paid","Closed",IF($R63="","Review",IF(TODAY()&lt;=$R63,"Current",IF($T63&lt;=30,"1-30",IF($T63&lt;=60,"31-60",IF($T63&lt;=90,"61-90","90+")))))))</x:f>
      </x:c>
      <x:c r="V63" s="66" t="str">
        <x:f>IF($A63="","",IF(AND($S63="Paid",$H63&lt;&gt;""),$H63,""))</x:f>
      </x:c>
      <x:c r="W63" s="52" t="str">
        <x:f>IF($A63="","",IF(OR(COUNTIF($A$7:$A$156,$A63)&gt;1,$B63="",$C63="",$D63="",$E63="",$F63="",$J63="",$K63="",$L63&lt;=0,$G63&lt;0,$G63&gt;$L63,AND($S63="Paid",$H63="")),"REVIEW","OK"))</x:f>
      </x:c>
    </x:row>
    <x:row r="64">
      <x:c r="A64" s="46"/>
      <x:c r="B64" s="56"/>
      <x:c r="C64" s="46"/>
      <x:c r="D64" s="46"/>
      <x:c r="E64" s="46"/>
      <x:c r="F64" s="46"/>
      <x:c r="G64" s="58"/>
      <x:c r="H64" s="56"/>
      <x:c r="I64" s="46"/>
      <x:c r="J64" s="52" t="str">
        <x:f>IF($A64="","",IFERROR(VLOOKUP($C64,Setup!$J$7:$M$56,2,FALSE),""))</x:f>
      </x:c>
      <x:c r="K64" s="52" t="str">
        <x:f>IF($A64="","",IFERROR(VLOOKUP($C64,Setup!$J$7:$M$56,3,FALSE),""))</x:f>
      </x:c>
      <x:c r="L64" s="60" t="str">
        <x:f>IF($A64="","",SUMIF(Depletion!$A$7:$A$306,$A64,Depletion!$E$7:$E$306))</x:f>
      </x:c>
      <x:c r="M64" s="62" t="str">
        <x:f>IF($A64="","",SUMIF(Depletion!$A$7:$A$306,$A64,Depletion!$C$7:$C$306))</x:f>
      </x:c>
      <x:c r="N64" s="60" t="str">
        <x:f>IF($A64="","",SUMIF(Depletion!$A$7:$A$306,$A64,Depletion!$I$7:$I$306))</x:f>
      </x:c>
      <x:c r="O64" s="60" t="str">
        <x:f>IF($A64="","",$L64-$N64)</x:f>
      </x:c>
      <x:c r="P64" s="64" t="str">
        <x:f>IF($A64="","",IFERROR($O64/$L64,0))</x:f>
      </x:c>
      <x:c r="Q64" s="60" t="str">
        <x:f>IF($A64="","",MAX($L64-$G64,0))</x:f>
      </x:c>
      <x:c r="R64" s="66" t="str">
        <x:f>IF($A64="","",IFERROR($B64+VLOOKUP($F64,Setup!$Z$7:$AA$20,2,FALSE),""))</x:f>
      </x:c>
      <x:c r="S64" s="52" t="str">
        <x:f>IF($A64="","",IF($L64=0,"Draft",IF($Q64&lt;=0,"Paid",IF($G64&gt;0,"Partial","Unpaid"))))</x:f>
      </x:c>
      <x:c r="T64" s="52" t="str">
        <x:f>IF($A64="","",IF($Q64&lt;=0,0,IF($R64="","",MAX(TODAY()-$R64,0))))</x:f>
      </x:c>
      <x:c r="U64" s="52" t="str">
        <x:f>IF($A64="","",IF($S64="Paid","Closed",IF($R64="","Review",IF(TODAY()&lt;=$R64,"Current",IF($T64&lt;=30,"1-30",IF($T64&lt;=60,"31-60",IF($T64&lt;=90,"61-90","90+")))))))</x:f>
      </x:c>
      <x:c r="V64" s="66" t="str">
        <x:f>IF($A64="","",IF(AND($S64="Paid",$H64&lt;&gt;""),$H64,""))</x:f>
      </x:c>
      <x:c r="W64" s="52" t="str">
        <x:f>IF($A64="","",IF(OR(COUNTIF($A$7:$A$156,$A64)&gt;1,$B64="",$C64="",$D64="",$E64="",$F64="",$J64="",$K64="",$L64&lt;=0,$G64&lt;0,$G64&gt;$L64,AND($S64="Paid",$H64="")),"REVIEW","OK"))</x:f>
      </x:c>
    </x:row>
    <x:row r="65">
      <x:c r="A65" s="46"/>
      <x:c r="B65" s="56"/>
      <x:c r="C65" s="46"/>
      <x:c r="D65" s="46"/>
      <x:c r="E65" s="46"/>
      <x:c r="F65" s="46"/>
      <x:c r="G65" s="58"/>
      <x:c r="H65" s="56"/>
      <x:c r="I65" s="46"/>
      <x:c r="J65" s="52" t="str">
        <x:f>IF($A65="","",IFERROR(VLOOKUP($C65,Setup!$J$7:$M$56,2,FALSE),""))</x:f>
      </x:c>
      <x:c r="K65" s="52" t="str">
        <x:f>IF($A65="","",IFERROR(VLOOKUP($C65,Setup!$J$7:$M$56,3,FALSE),""))</x:f>
      </x:c>
      <x:c r="L65" s="60" t="str">
        <x:f>IF($A65="","",SUMIF(Depletion!$A$7:$A$306,$A65,Depletion!$E$7:$E$306))</x:f>
      </x:c>
      <x:c r="M65" s="62" t="str">
        <x:f>IF($A65="","",SUMIF(Depletion!$A$7:$A$306,$A65,Depletion!$C$7:$C$306))</x:f>
      </x:c>
      <x:c r="N65" s="60" t="str">
        <x:f>IF($A65="","",SUMIF(Depletion!$A$7:$A$306,$A65,Depletion!$I$7:$I$306))</x:f>
      </x:c>
      <x:c r="O65" s="60" t="str">
        <x:f>IF($A65="","",$L65-$N65)</x:f>
      </x:c>
      <x:c r="P65" s="64" t="str">
        <x:f>IF($A65="","",IFERROR($O65/$L65,0))</x:f>
      </x:c>
      <x:c r="Q65" s="60" t="str">
        <x:f>IF($A65="","",MAX($L65-$G65,0))</x:f>
      </x:c>
      <x:c r="R65" s="66" t="str">
        <x:f>IF($A65="","",IFERROR($B65+VLOOKUP($F65,Setup!$Z$7:$AA$20,2,FALSE),""))</x:f>
      </x:c>
      <x:c r="S65" s="52" t="str">
        <x:f>IF($A65="","",IF($L65=0,"Draft",IF($Q65&lt;=0,"Paid",IF($G65&gt;0,"Partial","Unpaid"))))</x:f>
      </x:c>
      <x:c r="T65" s="52" t="str">
        <x:f>IF($A65="","",IF($Q65&lt;=0,0,IF($R65="","",MAX(TODAY()-$R65,0))))</x:f>
      </x:c>
      <x:c r="U65" s="52" t="str">
        <x:f>IF($A65="","",IF($S65="Paid","Closed",IF($R65="","Review",IF(TODAY()&lt;=$R65,"Current",IF($T65&lt;=30,"1-30",IF($T65&lt;=60,"31-60",IF($T65&lt;=90,"61-90","90+")))))))</x:f>
      </x:c>
      <x:c r="V65" s="66" t="str">
        <x:f>IF($A65="","",IF(AND($S65="Paid",$H65&lt;&gt;""),$H65,""))</x:f>
      </x:c>
      <x:c r="W65" s="52" t="str">
        <x:f>IF($A65="","",IF(OR(COUNTIF($A$7:$A$156,$A65)&gt;1,$B65="",$C65="",$D65="",$E65="",$F65="",$J65="",$K65="",$L65&lt;=0,$G65&lt;0,$G65&gt;$L65,AND($S65="Paid",$H65="")),"REVIEW","OK"))</x:f>
      </x:c>
    </x:row>
    <x:row r="66">
      <x:c r="A66" s="46"/>
      <x:c r="B66" s="56"/>
      <x:c r="C66" s="46"/>
      <x:c r="D66" s="46"/>
      <x:c r="E66" s="46"/>
      <x:c r="F66" s="46"/>
      <x:c r="G66" s="58"/>
      <x:c r="H66" s="56"/>
      <x:c r="I66" s="46"/>
      <x:c r="J66" s="52" t="str">
        <x:f>IF($A66="","",IFERROR(VLOOKUP($C66,Setup!$J$7:$M$56,2,FALSE),""))</x:f>
      </x:c>
      <x:c r="K66" s="52" t="str">
        <x:f>IF($A66="","",IFERROR(VLOOKUP($C66,Setup!$J$7:$M$56,3,FALSE),""))</x:f>
      </x:c>
      <x:c r="L66" s="60" t="str">
        <x:f>IF($A66="","",SUMIF(Depletion!$A$7:$A$306,$A66,Depletion!$E$7:$E$306))</x:f>
      </x:c>
      <x:c r="M66" s="62" t="str">
        <x:f>IF($A66="","",SUMIF(Depletion!$A$7:$A$306,$A66,Depletion!$C$7:$C$306))</x:f>
      </x:c>
      <x:c r="N66" s="60" t="str">
        <x:f>IF($A66="","",SUMIF(Depletion!$A$7:$A$306,$A66,Depletion!$I$7:$I$306))</x:f>
      </x:c>
      <x:c r="O66" s="60" t="str">
        <x:f>IF($A66="","",$L66-$N66)</x:f>
      </x:c>
      <x:c r="P66" s="64" t="str">
        <x:f>IF($A66="","",IFERROR($O66/$L66,0))</x:f>
      </x:c>
      <x:c r="Q66" s="60" t="str">
        <x:f>IF($A66="","",MAX($L66-$G66,0))</x:f>
      </x:c>
      <x:c r="R66" s="66" t="str">
        <x:f>IF($A66="","",IFERROR($B66+VLOOKUP($F66,Setup!$Z$7:$AA$20,2,FALSE),""))</x:f>
      </x:c>
      <x:c r="S66" s="52" t="str">
        <x:f>IF($A66="","",IF($L66=0,"Draft",IF($Q66&lt;=0,"Paid",IF($G66&gt;0,"Partial","Unpaid"))))</x:f>
      </x:c>
      <x:c r="T66" s="52" t="str">
        <x:f>IF($A66="","",IF($Q66&lt;=0,0,IF($R66="","",MAX(TODAY()-$R66,0))))</x:f>
      </x:c>
      <x:c r="U66" s="52" t="str">
        <x:f>IF($A66="","",IF($S66="Paid","Closed",IF($R66="","Review",IF(TODAY()&lt;=$R66,"Current",IF($T66&lt;=30,"1-30",IF($T66&lt;=60,"31-60",IF($T66&lt;=90,"61-90","90+")))))))</x:f>
      </x:c>
      <x:c r="V66" s="66" t="str">
        <x:f>IF($A66="","",IF(AND($S66="Paid",$H66&lt;&gt;""),$H66,""))</x:f>
      </x:c>
      <x:c r="W66" s="52" t="str">
        <x:f>IF($A66="","",IF(OR(COUNTIF($A$7:$A$156,$A66)&gt;1,$B66="",$C66="",$D66="",$E66="",$F66="",$J66="",$K66="",$L66&lt;=0,$G66&lt;0,$G66&gt;$L66,AND($S66="Paid",$H66="")),"REVIEW","OK"))</x:f>
      </x:c>
    </x:row>
    <x:row r="67">
      <x:c r="A67" s="46"/>
      <x:c r="B67" s="56"/>
      <x:c r="C67" s="46"/>
      <x:c r="D67" s="46"/>
      <x:c r="E67" s="46"/>
      <x:c r="F67" s="46"/>
      <x:c r="G67" s="58"/>
      <x:c r="H67" s="56"/>
      <x:c r="I67" s="46"/>
      <x:c r="J67" s="52" t="str">
        <x:f>IF($A67="","",IFERROR(VLOOKUP($C67,Setup!$J$7:$M$56,2,FALSE),""))</x:f>
      </x:c>
      <x:c r="K67" s="52" t="str">
        <x:f>IF($A67="","",IFERROR(VLOOKUP($C67,Setup!$J$7:$M$56,3,FALSE),""))</x:f>
      </x:c>
      <x:c r="L67" s="60" t="str">
        <x:f>IF($A67="","",SUMIF(Depletion!$A$7:$A$306,$A67,Depletion!$E$7:$E$306))</x:f>
      </x:c>
      <x:c r="M67" s="62" t="str">
        <x:f>IF($A67="","",SUMIF(Depletion!$A$7:$A$306,$A67,Depletion!$C$7:$C$306))</x:f>
      </x:c>
      <x:c r="N67" s="60" t="str">
        <x:f>IF($A67="","",SUMIF(Depletion!$A$7:$A$306,$A67,Depletion!$I$7:$I$306))</x:f>
      </x:c>
      <x:c r="O67" s="60" t="str">
        <x:f>IF($A67="","",$L67-$N67)</x:f>
      </x:c>
      <x:c r="P67" s="64" t="str">
        <x:f>IF($A67="","",IFERROR($O67/$L67,0))</x:f>
      </x:c>
      <x:c r="Q67" s="60" t="str">
        <x:f>IF($A67="","",MAX($L67-$G67,0))</x:f>
      </x:c>
      <x:c r="R67" s="66" t="str">
        <x:f>IF($A67="","",IFERROR($B67+VLOOKUP($F67,Setup!$Z$7:$AA$20,2,FALSE),""))</x:f>
      </x:c>
      <x:c r="S67" s="52" t="str">
        <x:f>IF($A67="","",IF($L67=0,"Draft",IF($Q67&lt;=0,"Paid",IF($G67&gt;0,"Partial","Unpaid"))))</x:f>
      </x:c>
      <x:c r="T67" s="52" t="str">
        <x:f>IF($A67="","",IF($Q67&lt;=0,0,IF($R67="","",MAX(TODAY()-$R67,0))))</x:f>
      </x:c>
      <x:c r="U67" s="52" t="str">
        <x:f>IF($A67="","",IF($S67="Paid","Closed",IF($R67="","Review",IF(TODAY()&lt;=$R67,"Current",IF($T67&lt;=30,"1-30",IF($T67&lt;=60,"31-60",IF($T67&lt;=90,"61-90","90+")))))))</x:f>
      </x:c>
      <x:c r="V67" s="66" t="str">
        <x:f>IF($A67="","",IF(AND($S67="Paid",$H67&lt;&gt;""),$H67,""))</x:f>
      </x:c>
      <x:c r="W67" s="52" t="str">
        <x:f>IF($A67="","",IF(OR(COUNTIF($A$7:$A$156,$A67)&gt;1,$B67="",$C67="",$D67="",$E67="",$F67="",$J67="",$K67="",$L67&lt;=0,$G67&lt;0,$G67&gt;$L67,AND($S67="Paid",$H67="")),"REVIEW","OK"))</x:f>
      </x:c>
    </x:row>
    <x:row r="68">
      <x:c r="A68" s="46"/>
      <x:c r="B68" s="56"/>
      <x:c r="C68" s="46"/>
      <x:c r="D68" s="46"/>
      <x:c r="E68" s="46"/>
      <x:c r="F68" s="46"/>
      <x:c r="G68" s="58"/>
      <x:c r="H68" s="56"/>
      <x:c r="I68" s="46"/>
      <x:c r="J68" s="52" t="str">
        <x:f>IF($A68="","",IFERROR(VLOOKUP($C68,Setup!$J$7:$M$56,2,FALSE),""))</x:f>
      </x:c>
      <x:c r="K68" s="52" t="str">
        <x:f>IF($A68="","",IFERROR(VLOOKUP($C68,Setup!$J$7:$M$56,3,FALSE),""))</x:f>
      </x:c>
      <x:c r="L68" s="60" t="str">
        <x:f>IF($A68="","",SUMIF(Depletion!$A$7:$A$306,$A68,Depletion!$E$7:$E$306))</x:f>
      </x:c>
      <x:c r="M68" s="62" t="str">
        <x:f>IF($A68="","",SUMIF(Depletion!$A$7:$A$306,$A68,Depletion!$C$7:$C$306))</x:f>
      </x:c>
      <x:c r="N68" s="60" t="str">
        <x:f>IF($A68="","",SUMIF(Depletion!$A$7:$A$306,$A68,Depletion!$I$7:$I$306))</x:f>
      </x:c>
      <x:c r="O68" s="60" t="str">
        <x:f>IF($A68="","",$L68-$N68)</x:f>
      </x:c>
      <x:c r="P68" s="64" t="str">
        <x:f>IF($A68="","",IFERROR($O68/$L68,0))</x:f>
      </x:c>
      <x:c r="Q68" s="60" t="str">
        <x:f>IF($A68="","",MAX($L68-$G68,0))</x:f>
      </x:c>
      <x:c r="R68" s="66" t="str">
        <x:f>IF($A68="","",IFERROR($B68+VLOOKUP($F68,Setup!$Z$7:$AA$20,2,FALSE),""))</x:f>
      </x:c>
      <x:c r="S68" s="52" t="str">
        <x:f>IF($A68="","",IF($L68=0,"Draft",IF($Q68&lt;=0,"Paid",IF($G68&gt;0,"Partial","Unpaid"))))</x:f>
      </x:c>
      <x:c r="T68" s="52" t="str">
        <x:f>IF($A68="","",IF($Q68&lt;=0,0,IF($R68="","",MAX(TODAY()-$R68,0))))</x:f>
      </x:c>
      <x:c r="U68" s="52" t="str">
        <x:f>IF($A68="","",IF($S68="Paid","Closed",IF($R68="","Review",IF(TODAY()&lt;=$R68,"Current",IF($T68&lt;=30,"1-30",IF($T68&lt;=60,"31-60",IF($T68&lt;=90,"61-90","90+")))))))</x:f>
      </x:c>
      <x:c r="V68" s="66" t="str">
        <x:f>IF($A68="","",IF(AND($S68="Paid",$H68&lt;&gt;""),$H68,""))</x:f>
      </x:c>
      <x:c r="W68" s="52" t="str">
        <x:f>IF($A68="","",IF(OR(COUNTIF($A$7:$A$156,$A68)&gt;1,$B68="",$C68="",$D68="",$E68="",$F68="",$J68="",$K68="",$L68&lt;=0,$G68&lt;0,$G68&gt;$L68,AND($S68="Paid",$H68="")),"REVIEW","OK"))</x:f>
      </x:c>
    </x:row>
    <x:row r="69">
      <x:c r="A69" s="46"/>
      <x:c r="B69" s="56"/>
      <x:c r="C69" s="46"/>
      <x:c r="D69" s="46"/>
      <x:c r="E69" s="46"/>
      <x:c r="F69" s="46"/>
      <x:c r="G69" s="58"/>
      <x:c r="H69" s="56"/>
      <x:c r="I69" s="46"/>
      <x:c r="J69" s="52" t="str">
        <x:f>IF($A69="","",IFERROR(VLOOKUP($C69,Setup!$J$7:$M$56,2,FALSE),""))</x:f>
      </x:c>
      <x:c r="K69" s="52" t="str">
        <x:f>IF($A69="","",IFERROR(VLOOKUP($C69,Setup!$J$7:$M$56,3,FALSE),""))</x:f>
      </x:c>
      <x:c r="L69" s="60" t="str">
        <x:f>IF($A69="","",SUMIF(Depletion!$A$7:$A$306,$A69,Depletion!$E$7:$E$306))</x:f>
      </x:c>
      <x:c r="M69" s="62" t="str">
        <x:f>IF($A69="","",SUMIF(Depletion!$A$7:$A$306,$A69,Depletion!$C$7:$C$306))</x:f>
      </x:c>
      <x:c r="N69" s="60" t="str">
        <x:f>IF($A69="","",SUMIF(Depletion!$A$7:$A$306,$A69,Depletion!$I$7:$I$306))</x:f>
      </x:c>
      <x:c r="O69" s="60" t="str">
        <x:f>IF($A69="","",$L69-$N69)</x:f>
      </x:c>
      <x:c r="P69" s="64" t="str">
        <x:f>IF($A69="","",IFERROR($O69/$L69,0))</x:f>
      </x:c>
      <x:c r="Q69" s="60" t="str">
        <x:f>IF($A69="","",MAX($L69-$G69,0))</x:f>
      </x:c>
      <x:c r="R69" s="66" t="str">
        <x:f>IF($A69="","",IFERROR($B69+VLOOKUP($F69,Setup!$Z$7:$AA$20,2,FALSE),""))</x:f>
      </x:c>
      <x:c r="S69" s="52" t="str">
        <x:f>IF($A69="","",IF($L69=0,"Draft",IF($Q69&lt;=0,"Paid",IF($G69&gt;0,"Partial","Unpaid"))))</x:f>
      </x:c>
      <x:c r="T69" s="52" t="str">
        <x:f>IF($A69="","",IF($Q69&lt;=0,0,IF($R69="","",MAX(TODAY()-$R69,0))))</x:f>
      </x:c>
      <x:c r="U69" s="52" t="str">
        <x:f>IF($A69="","",IF($S69="Paid","Closed",IF($R69="","Review",IF(TODAY()&lt;=$R69,"Current",IF($T69&lt;=30,"1-30",IF($T69&lt;=60,"31-60",IF($T69&lt;=90,"61-90","90+")))))))</x:f>
      </x:c>
      <x:c r="V69" s="66" t="str">
        <x:f>IF($A69="","",IF(AND($S69="Paid",$H69&lt;&gt;""),$H69,""))</x:f>
      </x:c>
      <x:c r="W69" s="52" t="str">
        <x:f>IF($A69="","",IF(OR(COUNTIF($A$7:$A$156,$A69)&gt;1,$B69="",$C69="",$D69="",$E69="",$F69="",$J69="",$K69="",$L69&lt;=0,$G69&lt;0,$G69&gt;$L69,AND($S69="Paid",$H69="")),"REVIEW","OK"))</x:f>
      </x:c>
    </x:row>
    <x:row r="70">
      <x:c r="A70" s="46"/>
      <x:c r="B70" s="56"/>
      <x:c r="C70" s="46"/>
      <x:c r="D70" s="46"/>
      <x:c r="E70" s="46"/>
      <x:c r="F70" s="46"/>
      <x:c r="G70" s="58"/>
      <x:c r="H70" s="56"/>
      <x:c r="I70" s="46"/>
      <x:c r="J70" s="52" t="str">
        <x:f>IF($A70="","",IFERROR(VLOOKUP($C70,Setup!$J$7:$M$56,2,FALSE),""))</x:f>
      </x:c>
      <x:c r="K70" s="52" t="str">
        <x:f>IF($A70="","",IFERROR(VLOOKUP($C70,Setup!$J$7:$M$56,3,FALSE),""))</x:f>
      </x:c>
      <x:c r="L70" s="60" t="str">
        <x:f>IF($A70="","",SUMIF(Depletion!$A$7:$A$306,$A70,Depletion!$E$7:$E$306))</x:f>
      </x:c>
      <x:c r="M70" s="62" t="str">
        <x:f>IF($A70="","",SUMIF(Depletion!$A$7:$A$306,$A70,Depletion!$C$7:$C$306))</x:f>
      </x:c>
      <x:c r="N70" s="60" t="str">
        <x:f>IF($A70="","",SUMIF(Depletion!$A$7:$A$306,$A70,Depletion!$I$7:$I$306))</x:f>
      </x:c>
      <x:c r="O70" s="60" t="str">
        <x:f>IF($A70="","",$L70-$N70)</x:f>
      </x:c>
      <x:c r="P70" s="64" t="str">
        <x:f>IF($A70="","",IFERROR($O70/$L70,0))</x:f>
      </x:c>
      <x:c r="Q70" s="60" t="str">
        <x:f>IF($A70="","",MAX($L70-$G70,0))</x:f>
      </x:c>
      <x:c r="R70" s="66" t="str">
        <x:f>IF($A70="","",IFERROR($B70+VLOOKUP($F70,Setup!$Z$7:$AA$20,2,FALSE),""))</x:f>
      </x:c>
      <x:c r="S70" s="52" t="str">
        <x:f>IF($A70="","",IF($L70=0,"Draft",IF($Q70&lt;=0,"Paid",IF($G70&gt;0,"Partial","Unpaid"))))</x:f>
      </x:c>
      <x:c r="T70" s="52" t="str">
        <x:f>IF($A70="","",IF($Q70&lt;=0,0,IF($R70="","",MAX(TODAY()-$R70,0))))</x:f>
      </x:c>
      <x:c r="U70" s="52" t="str">
        <x:f>IF($A70="","",IF($S70="Paid","Closed",IF($R70="","Review",IF(TODAY()&lt;=$R70,"Current",IF($T70&lt;=30,"1-30",IF($T70&lt;=60,"31-60",IF($T70&lt;=90,"61-90","90+")))))))</x:f>
      </x:c>
      <x:c r="V70" s="66" t="str">
        <x:f>IF($A70="","",IF(AND($S70="Paid",$H70&lt;&gt;""),$H70,""))</x:f>
      </x:c>
      <x:c r="W70" s="52" t="str">
        <x:f>IF($A70="","",IF(OR(COUNTIF($A$7:$A$156,$A70)&gt;1,$B70="",$C70="",$D70="",$E70="",$F70="",$J70="",$K70="",$L70&lt;=0,$G70&lt;0,$G70&gt;$L70,AND($S70="Paid",$H70="")),"REVIEW","OK"))</x:f>
      </x:c>
    </x:row>
    <x:row r="71">
      <x:c r="A71" s="46"/>
      <x:c r="B71" s="56"/>
      <x:c r="C71" s="46"/>
      <x:c r="D71" s="46"/>
      <x:c r="E71" s="46"/>
      <x:c r="F71" s="46"/>
      <x:c r="G71" s="58"/>
      <x:c r="H71" s="56"/>
      <x:c r="I71" s="46"/>
      <x:c r="J71" s="52" t="str">
        <x:f>IF($A71="","",IFERROR(VLOOKUP($C71,Setup!$J$7:$M$56,2,FALSE),""))</x:f>
      </x:c>
      <x:c r="K71" s="52" t="str">
        <x:f>IF($A71="","",IFERROR(VLOOKUP($C71,Setup!$J$7:$M$56,3,FALSE),""))</x:f>
      </x:c>
      <x:c r="L71" s="60" t="str">
        <x:f>IF($A71="","",SUMIF(Depletion!$A$7:$A$306,$A71,Depletion!$E$7:$E$306))</x:f>
      </x:c>
      <x:c r="M71" s="62" t="str">
        <x:f>IF($A71="","",SUMIF(Depletion!$A$7:$A$306,$A71,Depletion!$C$7:$C$306))</x:f>
      </x:c>
      <x:c r="N71" s="60" t="str">
        <x:f>IF($A71="","",SUMIF(Depletion!$A$7:$A$306,$A71,Depletion!$I$7:$I$306))</x:f>
      </x:c>
      <x:c r="O71" s="60" t="str">
        <x:f>IF($A71="","",$L71-$N71)</x:f>
      </x:c>
      <x:c r="P71" s="64" t="str">
        <x:f>IF($A71="","",IFERROR($O71/$L71,0))</x:f>
      </x:c>
      <x:c r="Q71" s="60" t="str">
        <x:f>IF($A71="","",MAX($L71-$G71,0))</x:f>
      </x:c>
      <x:c r="R71" s="66" t="str">
        <x:f>IF($A71="","",IFERROR($B71+VLOOKUP($F71,Setup!$Z$7:$AA$20,2,FALSE),""))</x:f>
      </x:c>
      <x:c r="S71" s="52" t="str">
        <x:f>IF($A71="","",IF($L71=0,"Draft",IF($Q71&lt;=0,"Paid",IF($G71&gt;0,"Partial","Unpaid"))))</x:f>
      </x:c>
      <x:c r="T71" s="52" t="str">
        <x:f>IF($A71="","",IF($Q71&lt;=0,0,IF($R71="","",MAX(TODAY()-$R71,0))))</x:f>
      </x:c>
      <x:c r="U71" s="52" t="str">
        <x:f>IF($A71="","",IF($S71="Paid","Closed",IF($R71="","Review",IF(TODAY()&lt;=$R71,"Current",IF($T71&lt;=30,"1-30",IF($T71&lt;=60,"31-60",IF($T71&lt;=90,"61-90","90+")))))))</x:f>
      </x:c>
      <x:c r="V71" s="66" t="str">
        <x:f>IF($A71="","",IF(AND($S71="Paid",$H71&lt;&gt;""),$H71,""))</x:f>
      </x:c>
      <x:c r="W71" s="52" t="str">
        <x:f>IF($A71="","",IF(OR(COUNTIF($A$7:$A$156,$A71)&gt;1,$B71="",$C71="",$D71="",$E71="",$F71="",$J71="",$K71="",$L71&lt;=0,$G71&lt;0,$G71&gt;$L71,AND($S71="Paid",$H71="")),"REVIEW","OK"))</x:f>
      </x:c>
    </x:row>
    <x:row r="72">
      <x:c r="A72" s="46"/>
      <x:c r="B72" s="56"/>
      <x:c r="C72" s="46"/>
      <x:c r="D72" s="46"/>
      <x:c r="E72" s="46"/>
      <x:c r="F72" s="46"/>
      <x:c r="G72" s="58"/>
      <x:c r="H72" s="56"/>
      <x:c r="I72" s="46"/>
      <x:c r="J72" s="52" t="str">
        <x:f>IF($A72="","",IFERROR(VLOOKUP($C72,Setup!$J$7:$M$56,2,FALSE),""))</x:f>
      </x:c>
      <x:c r="K72" s="52" t="str">
        <x:f>IF($A72="","",IFERROR(VLOOKUP($C72,Setup!$J$7:$M$56,3,FALSE),""))</x:f>
      </x:c>
      <x:c r="L72" s="60" t="str">
        <x:f>IF($A72="","",SUMIF(Depletion!$A$7:$A$306,$A72,Depletion!$E$7:$E$306))</x:f>
      </x:c>
      <x:c r="M72" s="62" t="str">
        <x:f>IF($A72="","",SUMIF(Depletion!$A$7:$A$306,$A72,Depletion!$C$7:$C$306))</x:f>
      </x:c>
      <x:c r="N72" s="60" t="str">
        <x:f>IF($A72="","",SUMIF(Depletion!$A$7:$A$306,$A72,Depletion!$I$7:$I$306))</x:f>
      </x:c>
      <x:c r="O72" s="60" t="str">
        <x:f>IF($A72="","",$L72-$N72)</x:f>
      </x:c>
      <x:c r="P72" s="64" t="str">
        <x:f>IF($A72="","",IFERROR($O72/$L72,0))</x:f>
      </x:c>
      <x:c r="Q72" s="60" t="str">
        <x:f>IF($A72="","",MAX($L72-$G72,0))</x:f>
      </x:c>
      <x:c r="R72" s="66" t="str">
        <x:f>IF($A72="","",IFERROR($B72+VLOOKUP($F72,Setup!$Z$7:$AA$20,2,FALSE),""))</x:f>
      </x:c>
      <x:c r="S72" s="52" t="str">
        <x:f>IF($A72="","",IF($L72=0,"Draft",IF($Q72&lt;=0,"Paid",IF($G72&gt;0,"Partial","Unpaid"))))</x:f>
      </x:c>
      <x:c r="T72" s="52" t="str">
        <x:f>IF($A72="","",IF($Q72&lt;=0,0,IF($R72="","",MAX(TODAY()-$R72,0))))</x:f>
      </x:c>
      <x:c r="U72" s="52" t="str">
        <x:f>IF($A72="","",IF($S72="Paid","Closed",IF($R72="","Review",IF(TODAY()&lt;=$R72,"Current",IF($T72&lt;=30,"1-30",IF($T72&lt;=60,"31-60",IF($T72&lt;=90,"61-90","90+")))))))</x:f>
      </x:c>
      <x:c r="V72" s="66" t="str">
        <x:f>IF($A72="","",IF(AND($S72="Paid",$H72&lt;&gt;""),$H72,""))</x:f>
      </x:c>
      <x:c r="W72" s="52" t="str">
        <x:f>IF($A72="","",IF(OR(COUNTIF($A$7:$A$156,$A72)&gt;1,$B72="",$C72="",$D72="",$E72="",$F72="",$J72="",$K72="",$L72&lt;=0,$G72&lt;0,$G72&gt;$L72,AND($S72="Paid",$H72="")),"REVIEW","OK"))</x:f>
      </x:c>
    </x:row>
    <x:row r="73">
      <x:c r="A73" s="46"/>
      <x:c r="B73" s="56"/>
      <x:c r="C73" s="46"/>
      <x:c r="D73" s="46"/>
      <x:c r="E73" s="46"/>
      <x:c r="F73" s="46"/>
      <x:c r="G73" s="58"/>
      <x:c r="H73" s="56"/>
      <x:c r="I73" s="46"/>
      <x:c r="J73" s="52" t="str">
        <x:f>IF($A73="","",IFERROR(VLOOKUP($C73,Setup!$J$7:$M$56,2,FALSE),""))</x:f>
      </x:c>
      <x:c r="K73" s="52" t="str">
        <x:f>IF($A73="","",IFERROR(VLOOKUP($C73,Setup!$J$7:$M$56,3,FALSE),""))</x:f>
      </x:c>
      <x:c r="L73" s="60" t="str">
        <x:f>IF($A73="","",SUMIF(Depletion!$A$7:$A$306,$A73,Depletion!$E$7:$E$306))</x:f>
      </x:c>
      <x:c r="M73" s="62" t="str">
        <x:f>IF($A73="","",SUMIF(Depletion!$A$7:$A$306,$A73,Depletion!$C$7:$C$306))</x:f>
      </x:c>
      <x:c r="N73" s="60" t="str">
        <x:f>IF($A73="","",SUMIF(Depletion!$A$7:$A$306,$A73,Depletion!$I$7:$I$306))</x:f>
      </x:c>
      <x:c r="O73" s="60" t="str">
        <x:f>IF($A73="","",$L73-$N73)</x:f>
      </x:c>
      <x:c r="P73" s="64" t="str">
        <x:f>IF($A73="","",IFERROR($O73/$L73,0))</x:f>
      </x:c>
      <x:c r="Q73" s="60" t="str">
        <x:f>IF($A73="","",MAX($L73-$G73,0))</x:f>
      </x:c>
      <x:c r="R73" s="66" t="str">
        <x:f>IF($A73="","",IFERROR($B73+VLOOKUP($F73,Setup!$Z$7:$AA$20,2,FALSE),""))</x:f>
      </x:c>
      <x:c r="S73" s="52" t="str">
        <x:f>IF($A73="","",IF($L73=0,"Draft",IF($Q73&lt;=0,"Paid",IF($G73&gt;0,"Partial","Unpaid"))))</x:f>
      </x:c>
      <x:c r="T73" s="52" t="str">
        <x:f>IF($A73="","",IF($Q73&lt;=0,0,IF($R73="","",MAX(TODAY()-$R73,0))))</x:f>
      </x:c>
      <x:c r="U73" s="52" t="str">
        <x:f>IF($A73="","",IF($S73="Paid","Closed",IF($R73="","Review",IF(TODAY()&lt;=$R73,"Current",IF($T73&lt;=30,"1-30",IF($T73&lt;=60,"31-60",IF($T73&lt;=90,"61-90","90+")))))))</x:f>
      </x:c>
      <x:c r="V73" s="66" t="str">
        <x:f>IF($A73="","",IF(AND($S73="Paid",$H73&lt;&gt;""),$H73,""))</x:f>
      </x:c>
      <x:c r="W73" s="52" t="str">
        <x:f>IF($A73="","",IF(OR(COUNTIF($A$7:$A$156,$A73)&gt;1,$B73="",$C73="",$D73="",$E73="",$F73="",$J73="",$K73="",$L73&lt;=0,$G73&lt;0,$G73&gt;$L73,AND($S73="Paid",$H73="")),"REVIEW","OK"))</x:f>
      </x:c>
    </x:row>
    <x:row r="74">
      <x:c r="A74" s="46"/>
      <x:c r="B74" s="56"/>
      <x:c r="C74" s="46"/>
      <x:c r="D74" s="46"/>
      <x:c r="E74" s="46"/>
      <x:c r="F74" s="46"/>
      <x:c r="G74" s="58"/>
      <x:c r="H74" s="56"/>
      <x:c r="I74" s="46"/>
      <x:c r="J74" s="52" t="str">
        <x:f>IF($A74="","",IFERROR(VLOOKUP($C74,Setup!$J$7:$M$56,2,FALSE),""))</x:f>
      </x:c>
      <x:c r="K74" s="52" t="str">
        <x:f>IF($A74="","",IFERROR(VLOOKUP($C74,Setup!$J$7:$M$56,3,FALSE),""))</x:f>
      </x:c>
      <x:c r="L74" s="60" t="str">
        <x:f>IF($A74="","",SUMIF(Depletion!$A$7:$A$306,$A74,Depletion!$E$7:$E$306))</x:f>
      </x:c>
      <x:c r="M74" s="62" t="str">
        <x:f>IF($A74="","",SUMIF(Depletion!$A$7:$A$306,$A74,Depletion!$C$7:$C$306))</x:f>
      </x:c>
      <x:c r="N74" s="60" t="str">
        <x:f>IF($A74="","",SUMIF(Depletion!$A$7:$A$306,$A74,Depletion!$I$7:$I$306))</x:f>
      </x:c>
      <x:c r="O74" s="60" t="str">
        <x:f>IF($A74="","",$L74-$N74)</x:f>
      </x:c>
      <x:c r="P74" s="64" t="str">
        <x:f>IF($A74="","",IFERROR($O74/$L74,0))</x:f>
      </x:c>
      <x:c r="Q74" s="60" t="str">
        <x:f>IF($A74="","",MAX($L74-$G74,0))</x:f>
      </x:c>
      <x:c r="R74" s="66" t="str">
        <x:f>IF($A74="","",IFERROR($B74+VLOOKUP($F74,Setup!$Z$7:$AA$20,2,FALSE),""))</x:f>
      </x:c>
      <x:c r="S74" s="52" t="str">
        <x:f>IF($A74="","",IF($L74=0,"Draft",IF($Q74&lt;=0,"Paid",IF($G74&gt;0,"Partial","Unpaid"))))</x:f>
      </x:c>
      <x:c r="T74" s="52" t="str">
        <x:f>IF($A74="","",IF($Q74&lt;=0,0,IF($R74="","",MAX(TODAY()-$R74,0))))</x:f>
      </x:c>
      <x:c r="U74" s="52" t="str">
        <x:f>IF($A74="","",IF($S74="Paid","Closed",IF($R74="","Review",IF(TODAY()&lt;=$R74,"Current",IF($T74&lt;=30,"1-30",IF($T74&lt;=60,"31-60",IF($T74&lt;=90,"61-90","90+")))))))</x:f>
      </x:c>
      <x:c r="V74" s="66" t="str">
        <x:f>IF($A74="","",IF(AND($S74="Paid",$H74&lt;&gt;""),$H74,""))</x:f>
      </x:c>
      <x:c r="W74" s="52" t="str">
        <x:f>IF($A74="","",IF(OR(COUNTIF($A$7:$A$156,$A74)&gt;1,$B74="",$C74="",$D74="",$E74="",$F74="",$J74="",$K74="",$L74&lt;=0,$G74&lt;0,$G74&gt;$L74,AND($S74="Paid",$H74="")),"REVIEW","OK"))</x:f>
      </x:c>
    </x:row>
    <x:row r="75">
      <x:c r="A75" s="46"/>
      <x:c r="B75" s="56"/>
      <x:c r="C75" s="46"/>
      <x:c r="D75" s="46"/>
      <x:c r="E75" s="46"/>
      <x:c r="F75" s="46"/>
      <x:c r="G75" s="58"/>
      <x:c r="H75" s="56"/>
      <x:c r="I75" s="46"/>
      <x:c r="J75" s="52" t="str">
        <x:f>IF($A75="","",IFERROR(VLOOKUP($C75,Setup!$J$7:$M$56,2,FALSE),""))</x:f>
      </x:c>
      <x:c r="K75" s="52" t="str">
        <x:f>IF($A75="","",IFERROR(VLOOKUP($C75,Setup!$J$7:$M$56,3,FALSE),""))</x:f>
      </x:c>
      <x:c r="L75" s="60" t="str">
        <x:f>IF($A75="","",SUMIF(Depletion!$A$7:$A$306,$A75,Depletion!$E$7:$E$306))</x:f>
      </x:c>
      <x:c r="M75" s="62" t="str">
        <x:f>IF($A75="","",SUMIF(Depletion!$A$7:$A$306,$A75,Depletion!$C$7:$C$306))</x:f>
      </x:c>
      <x:c r="N75" s="60" t="str">
        <x:f>IF($A75="","",SUMIF(Depletion!$A$7:$A$306,$A75,Depletion!$I$7:$I$306))</x:f>
      </x:c>
      <x:c r="O75" s="60" t="str">
        <x:f>IF($A75="","",$L75-$N75)</x:f>
      </x:c>
      <x:c r="P75" s="64" t="str">
        <x:f>IF($A75="","",IFERROR($O75/$L75,0))</x:f>
      </x:c>
      <x:c r="Q75" s="60" t="str">
        <x:f>IF($A75="","",MAX($L75-$G75,0))</x:f>
      </x:c>
      <x:c r="R75" s="66" t="str">
        <x:f>IF($A75="","",IFERROR($B75+VLOOKUP($F75,Setup!$Z$7:$AA$20,2,FALSE),""))</x:f>
      </x:c>
      <x:c r="S75" s="52" t="str">
        <x:f>IF($A75="","",IF($L75=0,"Draft",IF($Q75&lt;=0,"Paid",IF($G75&gt;0,"Partial","Unpaid"))))</x:f>
      </x:c>
      <x:c r="T75" s="52" t="str">
        <x:f>IF($A75="","",IF($Q75&lt;=0,0,IF($R75="","",MAX(TODAY()-$R75,0))))</x:f>
      </x:c>
      <x:c r="U75" s="52" t="str">
        <x:f>IF($A75="","",IF($S75="Paid","Closed",IF($R75="","Review",IF(TODAY()&lt;=$R75,"Current",IF($T75&lt;=30,"1-30",IF($T75&lt;=60,"31-60",IF($T75&lt;=90,"61-90","90+")))))))</x:f>
      </x:c>
      <x:c r="V75" s="66" t="str">
        <x:f>IF($A75="","",IF(AND($S75="Paid",$H75&lt;&gt;""),$H75,""))</x:f>
      </x:c>
      <x:c r="W75" s="52" t="str">
        <x:f>IF($A75="","",IF(OR(COUNTIF($A$7:$A$156,$A75)&gt;1,$B75="",$C75="",$D75="",$E75="",$F75="",$J75="",$K75="",$L75&lt;=0,$G75&lt;0,$G75&gt;$L75,AND($S75="Paid",$H75="")),"REVIEW","OK"))</x:f>
      </x:c>
    </x:row>
    <x:row r="76">
      <x:c r="A76" s="46"/>
      <x:c r="B76" s="56"/>
      <x:c r="C76" s="46"/>
      <x:c r="D76" s="46"/>
      <x:c r="E76" s="46"/>
      <x:c r="F76" s="46"/>
      <x:c r="G76" s="58"/>
      <x:c r="H76" s="56"/>
      <x:c r="I76" s="46"/>
      <x:c r="J76" s="52" t="str">
        <x:f>IF($A76="","",IFERROR(VLOOKUP($C76,Setup!$J$7:$M$56,2,FALSE),""))</x:f>
      </x:c>
      <x:c r="K76" s="52" t="str">
        <x:f>IF($A76="","",IFERROR(VLOOKUP($C76,Setup!$J$7:$M$56,3,FALSE),""))</x:f>
      </x:c>
      <x:c r="L76" s="60" t="str">
        <x:f>IF($A76="","",SUMIF(Depletion!$A$7:$A$306,$A76,Depletion!$E$7:$E$306))</x:f>
      </x:c>
      <x:c r="M76" s="62" t="str">
        <x:f>IF($A76="","",SUMIF(Depletion!$A$7:$A$306,$A76,Depletion!$C$7:$C$306))</x:f>
      </x:c>
      <x:c r="N76" s="60" t="str">
        <x:f>IF($A76="","",SUMIF(Depletion!$A$7:$A$306,$A76,Depletion!$I$7:$I$306))</x:f>
      </x:c>
      <x:c r="O76" s="60" t="str">
        <x:f>IF($A76="","",$L76-$N76)</x:f>
      </x:c>
      <x:c r="P76" s="64" t="str">
        <x:f>IF($A76="","",IFERROR($O76/$L76,0))</x:f>
      </x:c>
      <x:c r="Q76" s="60" t="str">
        <x:f>IF($A76="","",MAX($L76-$G76,0))</x:f>
      </x:c>
      <x:c r="R76" s="66" t="str">
        <x:f>IF($A76="","",IFERROR($B76+VLOOKUP($F76,Setup!$Z$7:$AA$20,2,FALSE),""))</x:f>
      </x:c>
      <x:c r="S76" s="52" t="str">
        <x:f>IF($A76="","",IF($L76=0,"Draft",IF($Q76&lt;=0,"Paid",IF($G76&gt;0,"Partial","Unpaid"))))</x:f>
      </x:c>
      <x:c r="T76" s="52" t="str">
        <x:f>IF($A76="","",IF($Q76&lt;=0,0,IF($R76="","",MAX(TODAY()-$R76,0))))</x:f>
      </x:c>
      <x:c r="U76" s="52" t="str">
        <x:f>IF($A76="","",IF($S76="Paid","Closed",IF($R76="","Review",IF(TODAY()&lt;=$R76,"Current",IF($T76&lt;=30,"1-30",IF($T76&lt;=60,"31-60",IF($T76&lt;=90,"61-90","90+")))))))</x:f>
      </x:c>
      <x:c r="V76" s="66" t="str">
        <x:f>IF($A76="","",IF(AND($S76="Paid",$H76&lt;&gt;""),$H76,""))</x:f>
      </x:c>
      <x:c r="W76" s="52" t="str">
        <x:f>IF($A76="","",IF(OR(COUNTIF($A$7:$A$156,$A76)&gt;1,$B76="",$C76="",$D76="",$E76="",$F76="",$J76="",$K76="",$L76&lt;=0,$G76&lt;0,$G76&gt;$L76,AND($S76="Paid",$H76="")),"REVIEW","OK"))</x:f>
      </x:c>
    </x:row>
    <x:row r="77">
      <x:c r="A77" s="46"/>
      <x:c r="B77" s="56"/>
      <x:c r="C77" s="46"/>
      <x:c r="D77" s="46"/>
      <x:c r="E77" s="46"/>
      <x:c r="F77" s="46"/>
      <x:c r="G77" s="58"/>
      <x:c r="H77" s="56"/>
      <x:c r="I77" s="46"/>
      <x:c r="J77" s="52" t="str">
        <x:f>IF($A77="","",IFERROR(VLOOKUP($C77,Setup!$J$7:$M$56,2,FALSE),""))</x:f>
      </x:c>
      <x:c r="K77" s="52" t="str">
        <x:f>IF($A77="","",IFERROR(VLOOKUP($C77,Setup!$J$7:$M$56,3,FALSE),""))</x:f>
      </x:c>
      <x:c r="L77" s="60" t="str">
        <x:f>IF($A77="","",SUMIF(Depletion!$A$7:$A$306,$A77,Depletion!$E$7:$E$306))</x:f>
      </x:c>
      <x:c r="M77" s="62" t="str">
        <x:f>IF($A77="","",SUMIF(Depletion!$A$7:$A$306,$A77,Depletion!$C$7:$C$306))</x:f>
      </x:c>
      <x:c r="N77" s="60" t="str">
        <x:f>IF($A77="","",SUMIF(Depletion!$A$7:$A$306,$A77,Depletion!$I$7:$I$306))</x:f>
      </x:c>
      <x:c r="O77" s="60" t="str">
        <x:f>IF($A77="","",$L77-$N77)</x:f>
      </x:c>
      <x:c r="P77" s="64" t="str">
        <x:f>IF($A77="","",IFERROR($O77/$L77,0))</x:f>
      </x:c>
      <x:c r="Q77" s="60" t="str">
        <x:f>IF($A77="","",MAX($L77-$G77,0))</x:f>
      </x:c>
      <x:c r="R77" s="66" t="str">
        <x:f>IF($A77="","",IFERROR($B77+VLOOKUP($F77,Setup!$Z$7:$AA$20,2,FALSE),""))</x:f>
      </x:c>
      <x:c r="S77" s="52" t="str">
        <x:f>IF($A77="","",IF($L77=0,"Draft",IF($Q77&lt;=0,"Paid",IF($G77&gt;0,"Partial","Unpaid"))))</x:f>
      </x:c>
      <x:c r="T77" s="52" t="str">
        <x:f>IF($A77="","",IF($Q77&lt;=0,0,IF($R77="","",MAX(TODAY()-$R77,0))))</x:f>
      </x:c>
      <x:c r="U77" s="52" t="str">
        <x:f>IF($A77="","",IF($S77="Paid","Closed",IF($R77="","Review",IF(TODAY()&lt;=$R77,"Current",IF($T77&lt;=30,"1-30",IF($T77&lt;=60,"31-60",IF($T77&lt;=90,"61-90","90+")))))))</x:f>
      </x:c>
      <x:c r="V77" s="66" t="str">
        <x:f>IF($A77="","",IF(AND($S77="Paid",$H77&lt;&gt;""),$H77,""))</x:f>
      </x:c>
      <x:c r="W77" s="52" t="str">
        <x:f>IF($A77="","",IF(OR(COUNTIF($A$7:$A$156,$A77)&gt;1,$B77="",$C77="",$D77="",$E77="",$F77="",$J77="",$K77="",$L77&lt;=0,$G77&lt;0,$G77&gt;$L77,AND($S77="Paid",$H77="")),"REVIEW","OK"))</x:f>
      </x:c>
    </x:row>
    <x:row r="78">
      <x:c r="A78" s="46"/>
      <x:c r="B78" s="56"/>
      <x:c r="C78" s="46"/>
      <x:c r="D78" s="46"/>
      <x:c r="E78" s="46"/>
      <x:c r="F78" s="46"/>
      <x:c r="G78" s="58"/>
      <x:c r="H78" s="56"/>
      <x:c r="I78" s="46"/>
      <x:c r="J78" s="52" t="str">
        <x:f>IF($A78="","",IFERROR(VLOOKUP($C78,Setup!$J$7:$M$56,2,FALSE),""))</x:f>
      </x:c>
      <x:c r="K78" s="52" t="str">
        <x:f>IF($A78="","",IFERROR(VLOOKUP($C78,Setup!$J$7:$M$56,3,FALSE),""))</x:f>
      </x:c>
      <x:c r="L78" s="60" t="str">
        <x:f>IF($A78="","",SUMIF(Depletion!$A$7:$A$306,$A78,Depletion!$E$7:$E$306))</x:f>
      </x:c>
      <x:c r="M78" s="62" t="str">
        <x:f>IF($A78="","",SUMIF(Depletion!$A$7:$A$306,$A78,Depletion!$C$7:$C$306))</x:f>
      </x:c>
      <x:c r="N78" s="60" t="str">
        <x:f>IF($A78="","",SUMIF(Depletion!$A$7:$A$306,$A78,Depletion!$I$7:$I$306))</x:f>
      </x:c>
      <x:c r="O78" s="60" t="str">
        <x:f>IF($A78="","",$L78-$N78)</x:f>
      </x:c>
      <x:c r="P78" s="64" t="str">
        <x:f>IF($A78="","",IFERROR($O78/$L78,0))</x:f>
      </x:c>
      <x:c r="Q78" s="60" t="str">
        <x:f>IF($A78="","",MAX($L78-$G78,0))</x:f>
      </x:c>
      <x:c r="R78" s="66" t="str">
        <x:f>IF($A78="","",IFERROR($B78+VLOOKUP($F78,Setup!$Z$7:$AA$20,2,FALSE),""))</x:f>
      </x:c>
      <x:c r="S78" s="52" t="str">
        <x:f>IF($A78="","",IF($L78=0,"Draft",IF($Q78&lt;=0,"Paid",IF($G78&gt;0,"Partial","Unpaid"))))</x:f>
      </x:c>
      <x:c r="T78" s="52" t="str">
        <x:f>IF($A78="","",IF($Q78&lt;=0,0,IF($R78="","",MAX(TODAY()-$R78,0))))</x:f>
      </x:c>
      <x:c r="U78" s="52" t="str">
        <x:f>IF($A78="","",IF($S78="Paid","Closed",IF($R78="","Review",IF(TODAY()&lt;=$R78,"Current",IF($T78&lt;=30,"1-30",IF($T78&lt;=60,"31-60",IF($T78&lt;=90,"61-90","90+")))))))</x:f>
      </x:c>
      <x:c r="V78" s="66" t="str">
        <x:f>IF($A78="","",IF(AND($S78="Paid",$H78&lt;&gt;""),$H78,""))</x:f>
      </x:c>
      <x:c r="W78" s="52" t="str">
        <x:f>IF($A78="","",IF(OR(COUNTIF($A$7:$A$156,$A78)&gt;1,$B78="",$C78="",$D78="",$E78="",$F78="",$J78="",$K78="",$L78&lt;=0,$G78&lt;0,$G78&gt;$L78,AND($S78="Paid",$H78="")),"REVIEW","OK"))</x:f>
      </x:c>
    </x:row>
    <x:row r="79">
      <x:c r="A79" s="46"/>
      <x:c r="B79" s="56"/>
      <x:c r="C79" s="46"/>
      <x:c r="D79" s="46"/>
      <x:c r="E79" s="46"/>
      <x:c r="F79" s="46"/>
      <x:c r="G79" s="58"/>
      <x:c r="H79" s="56"/>
      <x:c r="I79" s="46"/>
      <x:c r="J79" s="52" t="str">
        <x:f>IF($A79="","",IFERROR(VLOOKUP($C79,Setup!$J$7:$M$56,2,FALSE),""))</x:f>
      </x:c>
      <x:c r="K79" s="52" t="str">
        <x:f>IF($A79="","",IFERROR(VLOOKUP($C79,Setup!$J$7:$M$56,3,FALSE),""))</x:f>
      </x:c>
      <x:c r="L79" s="60" t="str">
        <x:f>IF($A79="","",SUMIF(Depletion!$A$7:$A$306,$A79,Depletion!$E$7:$E$306))</x:f>
      </x:c>
      <x:c r="M79" s="62" t="str">
        <x:f>IF($A79="","",SUMIF(Depletion!$A$7:$A$306,$A79,Depletion!$C$7:$C$306))</x:f>
      </x:c>
      <x:c r="N79" s="60" t="str">
        <x:f>IF($A79="","",SUMIF(Depletion!$A$7:$A$306,$A79,Depletion!$I$7:$I$306))</x:f>
      </x:c>
      <x:c r="O79" s="60" t="str">
        <x:f>IF($A79="","",$L79-$N79)</x:f>
      </x:c>
      <x:c r="P79" s="64" t="str">
        <x:f>IF($A79="","",IFERROR($O79/$L79,0))</x:f>
      </x:c>
      <x:c r="Q79" s="60" t="str">
        <x:f>IF($A79="","",MAX($L79-$G79,0))</x:f>
      </x:c>
      <x:c r="R79" s="66" t="str">
        <x:f>IF($A79="","",IFERROR($B79+VLOOKUP($F79,Setup!$Z$7:$AA$20,2,FALSE),""))</x:f>
      </x:c>
      <x:c r="S79" s="52" t="str">
        <x:f>IF($A79="","",IF($L79=0,"Draft",IF($Q79&lt;=0,"Paid",IF($G79&gt;0,"Partial","Unpaid"))))</x:f>
      </x:c>
      <x:c r="T79" s="52" t="str">
        <x:f>IF($A79="","",IF($Q79&lt;=0,0,IF($R79="","",MAX(TODAY()-$R79,0))))</x:f>
      </x:c>
      <x:c r="U79" s="52" t="str">
        <x:f>IF($A79="","",IF($S79="Paid","Closed",IF($R79="","Review",IF(TODAY()&lt;=$R79,"Current",IF($T79&lt;=30,"1-30",IF($T79&lt;=60,"31-60",IF($T79&lt;=90,"61-90","90+")))))))</x:f>
      </x:c>
      <x:c r="V79" s="66" t="str">
        <x:f>IF($A79="","",IF(AND($S79="Paid",$H79&lt;&gt;""),$H79,""))</x:f>
      </x:c>
      <x:c r="W79" s="52" t="str">
        <x:f>IF($A79="","",IF(OR(COUNTIF($A$7:$A$156,$A79)&gt;1,$B79="",$C79="",$D79="",$E79="",$F79="",$J79="",$K79="",$L79&lt;=0,$G79&lt;0,$G79&gt;$L79,AND($S79="Paid",$H79="")),"REVIEW","OK"))</x:f>
      </x:c>
    </x:row>
    <x:row r="80">
      <x:c r="A80" s="46"/>
      <x:c r="B80" s="56"/>
      <x:c r="C80" s="46"/>
      <x:c r="D80" s="46"/>
      <x:c r="E80" s="46"/>
      <x:c r="F80" s="46"/>
      <x:c r="G80" s="58"/>
      <x:c r="H80" s="56"/>
      <x:c r="I80" s="46"/>
      <x:c r="J80" s="52" t="str">
        <x:f>IF($A80="","",IFERROR(VLOOKUP($C80,Setup!$J$7:$M$56,2,FALSE),""))</x:f>
      </x:c>
      <x:c r="K80" s="52" t="str">
        <x:f>IF($A80="","",IFERROR(VLOOKUP($C80,Setup!$J$7:$M$56,3,FALSE),""))</x:f>
      </x:c>
      <x:c r="L80" s="60" t="str">
        <x:f>IF($A80="","",SUMIF(Depletion!$A$7:$A$306,$A80,Depletion!$E$7:$E$306))</x:f>
      </x:c>
      <x:c r="M80" s="62" t="str">
        <x:f>IF($A80="","",SUMIF(Depletion!$A$7:$A$306,$A80,Depletion!$C$7:$C$306))</x:f>
      </x:c>
      <x:c r="N80" s="60" t="str">
        <x:f>IF($A80="","",SUMIF(Depletion!$A$7:$A$306,$A80,Depletion!$I$7:$I$306))</x:f>
      </x:c>
      <x:c r="O80" s="60" t="str">
        <x:f>IF($A80="","",$L80-$N80)</x:f>
      </x:c>
      <x:c r="P80" s="64" t="str">
        <x:f>IF($A80="","",IFERROR($O80/$L80,0))</x:f>
      </x:c>
      <x:c r="Q80" s="60" t="str">
        <x:f>IF($A80="","",MAX($L80-$G80,0))</x:f>
      </x:c>
      <x:c r="R80" s="66" t="str">
        <x:f>IF($A80="","",IFERROR($B80+VLOOKUP($F80,Setup!$Z$7:$AA$20,2,FALSE),""))</x:f>
      </x:c>
      <x:c r="S80" s="52" t="str">
        <x:f>IF($A80="","",IF($L80=0,"Draft",IF($Q80&lt;=0,"Paid",IF($G80&gt;0,"Partial","Unpaid"))))</x:f>
      </x:c>
      <x:c r="T80" s="52" t="str">
        <x:f>IF($A80="","",IF($Q80&lt;=0,0,IF($R80="","",MAX(TODAY()-$R80,0))))</x:f>
      </x:c>
      <x:c r="U80" s="52" t="str">
        <x:f>IF($A80="","",IF($S80="Paid","Closed",IF($R80="","Review",IF(TODAY()&lt;=$R80,"Current",IF($T80&lt;=30,"1-30",IF($T80&lt;=60,"31-60",IF($T80&lt;=90,"61-90","90+")))))))</x:f>
      </x:c>
      <x:c r="V80" s="66" t="str">
        <x:f>IF($A80="","",IF(AND($S80="Paid",$H80&lt;&gt;""),$H80,""))</x:f>
      </x:c>
      <x:c r="W80" s="52" t="str">
        <x:f>IF($A80="","",IF(OR(COUNTIF($A$7:$A$156,$A80)&gt;1,$B80="",$C80="",$D80="",$E80="",$F80="",$J80="",$K80="",$L80&lt;=0,$G80&lt;0,$G80&gt;$L80,AND($S80="Paid",$H80="")),"REVIEW","OK"))</x:f>
      </x:c>
    </x:row>
    <x:row r="81">
      <x:c r="A81" s="46"/>
      <x:c r="B81" s="56"/>
      <x:c r="C81" s="46"/>
      <x:c r="D81" s="46"/>
      <x:c r="E81" s="46"/>
      <x:c r="F81" s="46"/>
      <x:c r="G81" s="58"/>
      <x:c r="H81" s="56"/>
      <x:c r="I81" s="46"/>
      <x:c r="J81" s="52" t="str">
        <x:f>IF($A81="","",IFERROR(VLOOKUP($C81,Setup!$J$7:$M$56,2,FALSE),""))</x:f>
      </x:c>
      <x:c r="K81" s="52" t="str">
        <x:f>IF($A81="","",IFERROR(VLOOKUP($C81,Setup!$J$7:$M$56,3,FALSE),""))</x:f>
      </x:c>
      <x:c r="L81" s="60" t="str">
        <x:f>IF($A81="","",SUMIF(Depletion!$A$7:$A$306,$A81,Depletion!$E$7:$E$306))</x:f>
      </x:c>
      <x:c r="M81" s="62" t="str">
        <x:f>IF($A81="","",SUMIF(Depletion!$A$7:$A$306,$A81,Depletion!$C$7:$C$306))</x:f>
      </x:c>
      <x:c r="N81" s="60" t="str">
        <x:f>IF($A81="","",SUMIF(Depletion!$A$7:$A$306,$A81,Depletion!$I$7:$I$306))</x:f>
      </x:c>
      <x:c r="O81" s="60" t="str">
        <x:f>IF($A81="","",$L81-$N81)</x:f>
      </x:c>
      <x:c r="P81" s="64" t="str">
        <x:f>IF($A81="","",IFERROR($O81/$L81,0))</x:f>
      </x:c>
      <x:c r="Q81" s="60" t="str">
        <x:f>IF($A81="","",MAX($L81-$G81,0))</x:f>
      </x:c>
      <x:c r="R81" s="66" t="str">
        <x:f>IF($A81="","",IFERROR($B81+VLOOKUP($F81,Setup!$Z$7:$AA$20,2,FALSE),""))</x:f>
      </x:c>
      <x:c r="S81" s="52" t="str">
        <x:f>IF($A81="","",IF($L81=0,"Draft",IF($Q81&lt;=0,"Paid",IF($G81&gt;0,"Partial","Unpaid"))))</x:f>
      </x:c>
      <x:c r="T81" s="52" t="str">
        <x:f>IF($A81="","",IF($Q81&lt;=0,0,IF($R81="","",MAX(TODAY()-$R81,0))))</x:f>
      </x:c>
      <x:c r="U81" s="52" t="str">
        <x:f>IF($A81="","",IF($S81="Paid","Closed",IF($R81="","Review",IF(TODAY()&lt;=$R81,"Current",IF($T81&lt;=30,"1-30",IF($T81&lt;=60,"31-60",IF($T81&lt;=90,"61-90","90+")))))))</x:f>
      </x:c>
      <x:c r="V81" s="66" t="str">
        <x:f>IF($A81="","",IF(AND($S81="Paid",$H81&lt;&gt;""),$H81,""))</x:f>
      </x:c>
      <x:c r="W81" s="52" t="str">
        <x:f>IF($A81="","",IF(OR(COUNTIF($A$7:$A$156,$A81)&gt;1,$B81="",$C81="",$D81="",$E81="",$F81="",$J81="",$K81="",$L81&lt;=0,$G81&lt;0,$G81&gt;$L81,AND($S81="Paid",$H81="")),"REVIEW","OK"))</x:f>
      </x:c>
    </x:row>
    <x:row r="82">
      <x:c r="A82" s="46"/>
      <x:c r="B82" s="56"/>
      <x:c r="C82" s="46"/>
      <x:c r="D82" s="46"/>
      <x:c r="E82" s="46"/>
      <x:c r="F82" s="46"/>
      <x:c r="G82" s="58"/>
      <x:c r="H82" s="56"/>
      <x:c r="I82" s="46"/>
      <x:c r="J82" s="52" t="str">
        <x:f>IF($A82="","",IFERROR(VLOOKUP($C82,Setup!$J$7:$M$56,2,FALSE),""))</x:f>
      </x:c>
      <x:c r="K82" s="52" t="str">
        <x:f>IF($A82="","",IFERROR(VLOOKUP($C82,Setup!$J$7:$M$56,3,FALSE),""))</x:f>
      </x:c>
      <x:c r="L82" s="60" t="str">
        <x:f>IF($A82="","",SUMIF(Depletion!$A$7:$A$306,$A82,Depletion!$E$7:$E$306))</x:f>
      </x:c>
      <x:c r="M82" s="62" t="str">
        <x:f>IF($A82="","",SUMIF(Depletion!$A$7:$A$306,$A82,Depletion!$C$7:$C$306))</x:f>
      </x:c>
      <x:c r="N82" s="60" t="str">
        <x:f>IF($A82="","",SUMIF(Depletion!$A$7:$A$306,$A82,Depletion!$I$7:$I$306))</x:f>
      </x:c>
      <x:c r="O82" s="60" t="str">
        <x:f>IF($A82="","",$L82-$N82)</x:f>
      </x:c>
      <x:c r="P82" s="64" t="str">
        <x:f>IF($A82="","",IFERROR($O82/$L82,0))</x:f>
      </x:c>
      <x:c r="Q82" s="60" t="str">
        <x:f>IF($A82="","",MAX($L82-$G82,0))</x:f>
      </x:c>
      <x:c r="R82" s="66" t="str">
        <x:f>IF($A82="","",IFERROR($B82+VLOOKUP($F82,Setup!$Z$7:$AA$20,2,FALSE),""))</x:f>
      </x:c>
      <x:c r="S82" s="52" t="str">
        <x:f>IF($A82="","",IF($L82=0,"Draft",IF($Q82&lt;=0,"Paid",IF($G82&gt;0,"Partial","Unpaid"))))</x:f>
      </x:c>
      <x:c r="T82" s="52" t="str">
        <x:f>IF($A82="","",IF($Q82&lt;=0,0,IF($R82="","",MAX(TODAY()-$R82,0))))</x:f>
      </x:c>
      <x:c r="U82" s="52" t="str">
        <x:f>IF($A82="","",IF($S82="Paid","Closed",IF($R82="","Review",IF(TODAY()&lt;=$R82,"Current",IF($T82&lt;=30,"1-30",IF($T82&lt;=60,"31-60",IF($T82&lt;=90,"61-90","90+")))))))</x:f>
      </x:c>
      <x:c r="V82" s="66" t="str">
        <x:f>IF($A82="","",IF(AND($S82="Paid",$H82&lt;&gt;""),$H82,""))</x:f>
      </x:c>
      <x:c r="W82" s="52" t="str">
        <x:f>IF($A82="","",IF(OR(COUNTIF($A$7:$A$156,$A82)&gt;1,$B82="",$C82="",$D82="",$E82="",$F82="",$J82="",$K82="",$L82&lt;=0,$G82&lt;0,$G82&gt;$L82,AND($S82="Paid",$H82="")),"REVIEW","OK"))</x:f>
      </x:c>
    </x:row>
    <x:row r="83">
      <x:c r="A83" s="46"/>
      <x:c r="B83" s="56"/>
      <x:c r="C83" s="46"/>
      <x:c r="D83" s="46"/>
      <x:c r="E83" s="46"/>
      <x:c r="F83" s="46"/>
      <x:c r="G83" s="58"/>
      <x:c r="H83" s="56"/>
      <x:c r="I83" s="46"/>
      <x:c r="J83" s="52" t="str">
        <x:f>IF($A83="","",IFERROR(VLOOKUP($C83,Setup!$J$7:$M$56,2,FALSE),""))</x:f>
      </x:c>
      <x:c r="K83" s="52" t="str">
        <x:f>IF($A83="","",IFERROR(VLOOKUP($C83,Setup!$J$7:$M$56,3,FALSE),""))</x:f>
      </x:c>
      <x:c r="L83" s="60" t="str">
        <x:f>IF($A83="","",SUMIF(Depletion!$A$7:$A$306,$A83,Depletion!$E$7:$E$306))</x:f>
      </x:c>
      <x:c r="M83" s="62" t="str">
        <x:f>IF($A83="","",SUMIF(Depletion!$A$7:$A$306,$A83,Depletion!$C$7:$C$306))</x:f>
      </x:c>
      <x:c r="N83" s="60" t="str">
        <x:f>IF($A83="","",SUMIF(Depletion!$A$7:$A$306,$A83,Depletion!$I$7:$I$306))</x:f>
      </x:c>
      <x:c r="O83" s="60" t="str">
        <x:f>IF($A83="","",$L83-$N83)</x:f>
      </x:c>
      <x:c r="P83" s="64" t="str">
        <x:f>IF($A83="","",IFERROR($O83/$L83,0))</x:f>
      </x:c>
      <x:c r="Q83" s="60" t="str">
        <x:f>IF($A83="","",MAX($L83-$G83,0))</x:f>
      </x:c>
      <x:c r="R83" s="66" t="str">
        <x:f>IF($A83="","",IFERROR($B83+VLOOKUP($F83,Setup!$Z$7:$AA$20,2,FALSE),""))</x:f>
      </x:c>
      <x:c r="S83" s="52" t="str">
        <x:f>IF($A83="","",IF($L83=0,"Draft",IF($Q83&lt;=0,"Paid",IF($G83&gt;0,"Partial","Unpaid"))))</x:f>
      </x:c>
      <x:c r="T83" s="52" t="str">
        <x:f>IF($A83="","",IF($Q83&lt;=0,0,IF($R83="","",MAX(TODAY()-$R83,0))))</x:f>
      </x:c>
      <x:c r="U83" s="52" t="str">
        <x:f>IF($A83="","",IF($S83="Paid","Closed",IF($R83="","Review",IF(TODAY()&lt;=$R83,"Current",IF($T83&lt;=30,"1-30",IF($T83&lt;=60,"31-60",IF($T83&lt;=90,"61-90","90+")))))))</x:f>
      </x:c>
      <x:c r="V83" s="66" t="str">
        <x:f>IF($A83="","",IF(AND($S83="Paid",$H83&lt;&gt;""),$H83,""))</x:f>
      </x:c>
      <x:c r="W83" s="52" t="str">
        <x:f>IF($A83="","",IF(OR(COUNTIF($A$7:$A$156,$A83)&gt;1,$B83="",$C83="",$D83="",$E83="",$F83="",$J83="",$K83="",$L83&lt;=0,$G83&lt;0,$G83&gt;$L83,AND($S83="Paid",$H83="")),"REVIEW","OK"))</x:f>
      </x:c>
    </x:row>
    <x:row r="84">
      <x:c r="A84" s="46"/>
      <x:c r="B84" s="56"/>
      <x:c r="C84" s="46"/>
      <x:c r="D84" s="46"/>
      <x:c r="E84" s="46"/>
      <x:c r="F84" s="46"/>
      <x:c r="G84" s="58"/>
      <x:c r="H84" s="56"/>
      <x:c r="I84" s="46"/>
      <x:c r="J84" s="52" t="str">
        <x:f>IF($A84="","",IFERROR(VLOOKUP($C84,Setup!$J$7:$M$56,2,FALSE),""))</x:f>
      </x:c>
      <x:c r="K84" s="52" t="str">
        <x:f>IF($A84="","",IFERROR(VLOOKUP($C84,Setup!$J$7:$M$56,3,FALSE),""))</x:f>
      </x:c>
      <x:c r="L84" s="60" t="str">
        <x:f>IF($A84="","",SUMIF(Depletion!$A$7:$A$306,$A84,Depletion!$E$7:$E$306))</x:f>
      </x:c>
      <x:c r="M84" s="62" t="str">
        <x:f>IF($A84="","",SUMIF(Depletion!$A$7:$A$306,$A84,Depletion!$C$7:$C$306))</x:f>
      </x:c>
      <x:c r="N84" s="60" t="str">
        <x:f>IF($A84="","",SUMIF(Depletion!$A$7:$A$306,$A84,Depletion!$I$7:$I$306))</x:f>
      </x:c>
      <x:c r="O84" s="60" t="str">
        <x:f>IF($A84="","",$L84-$N84)</x:f>
      </x:c>
      <x:c r="P84" s="64" t="str">
        <x:f>IF($A84="","",IFERROR($O84/$L84,0))</x:f>
      </x:c>
      <x:c r="Q84" s="60" t="str">
        <x:f>IF($A84="","",MAX($L84-$G84,0))</x:f>
      </x:c>
      <x:c r="R84" s="66" t="str">
        <x:f>IF($A84="","",IFERROR($B84+VLOOKUP($F84,Setup!$Z$7:$AA$20,2,FALSE),""))</x:f>
      </x:c>
      <x:c r="S84" s="52" t="str">
        <x:f>IF($A84="","",IF($L84=0,"Draft",IF($Q84&lt;=0,"Paid",IF($G84&gt;0,"Partial","Unpaid"))))</x:f>
      </x:c>
      <x:c r="T84" s="52" t="str">
        <x:f>IF($A84="","",IF($Q84&lt;=0,0,IF($R84="","",MAX(TODAY()-$R84,0))))</x:f>
      </x:c>
      <x:c r="U84" s="52" t="str">
        <x:f>IF($A84="","",IF($S84="Paid","Closed",IF($R84="","Review",IF(TODAY()&lt;=$R84,"Current",IF($T84&lt;=30,"1-30",IF($T84&lt;=60,"31-60",IF($T84&lt;=90,"61-90","90+")))))))</x:f>
      </x:c>
      <x:c r="V84" s="66" t="str">
        <x:f>IF($A84="","",IF(AND($S84="Paid",$H84&lt;&gt;""),$H84,""))</x:f>
      </x:c>
      <x:c r="W84" s="52" t="str">
        <x:f>IF($A84="","",IF(OR(COUNTIF($A$7:$A$156,$A84)&gt;1,$B84="",$C84="",$D84="",$E84="",$F84="",$J84="",$K84="",$L84&lt;=0,$G84&lt;0,$G84&gt;$L84,AND($S84="Paid",$H84="")),"REVIEW","OK"))</x:f>
      </x:c>
    </x:row>
    <x:row r="85">
      <x:c r="A85" s="46"/>
      <x:c r="B85" s="56"/>
      <x:c r="C85" s="46"/>
      <x:c r="D85" s="46"/>
      <x:c r="E85" s="46"/>
      <x:c r="F85" s="46"/>
      <x:c r="G85" s="58"/>
      <x:c r="H85" s="56"/>
      <x:c r="I85" s="46"/>
      <x:c r="J85" s="52" t="str">
        <x:f>IF($A85="","",IFERROR(VLOOKUP($C85,Setup!$J$7:$M$56,2,FALSE),""))</x:f>
      </x:c>
      <x:c r="K85" s="52" t="str">
        <x:f>IF($A85="","",IFERROR(VLOOKUP($C85,Setup!$J$7:$M$56,3,FALSE),""))</x:f>
      </x:c>
      <x:c r="L85" s="60" t="str">
        <x:f>IF($A85="","",SUMIF(Depletion!$A$7:$A$306,$A85,Depletion!$E$7:$E$306))</x:f>
      </x:c>
      <x:c r="M85" s="62" t="str">
        <x:f>IF($A85="","",SUMIF(Depletion!$A$7:$A$306,$A85,Depletion!$C$7:$C$306))</x:f>
      </x:c>
      <x:c r="N85" s="60" t="str">
        <x:f>IF($A85="","",SUMIF(Depletion!$A$7:$A$306,$A85,Depletion!$I$7:$I$306))</x:f>
      </x:c>
      <x:c r="O85" s="60" t="str">
        <x:f>IF($A85="","",$L85-$N85)</x:f>
      </x:c>
      <x:c r="P85" s="64" t="str">
        <x:f>IF($A85="","",IFERROR($O85/$L85,0))</x:f>
      </x:c>
      <x:c r="Q85" s="60" t="str">
        <x:f>IF($A85="","",MAX($L85-$G85,0))</x:f>
      </x:c>
      <x:c r="R85" s="66" t="str">
        <x:f>IF($A85="","",IFERROR($B85+VLOOKUP($F85,Setup!$Z$7:$AA$20,2,FALSE),""))</x:f>
      </x:c>
      <x:c r="S85" s="52" t="str">
        <x:f>IF($A85="","",IF($L85=0,"Draft",IF($Q85&lt;=0,"Paid",IF($G85&gt;0,"Partial","Unpaid"))))</x:f>
      </x:c>
      <x:c r="T85" s="52" t="str">
        <x:f>IF($A85="","",IF($Q85&lt;=0,0,IF($R85="","",MAX(TODAY()-$R85,0))))</x:f>
      </x:c>
      <x:c r="U85" s="52" t="str">
        <x:f>IF($A85="","",IF($S85="Paid","Closed",IF($R85="","Review",IF(TODAY()&lt;=$R85,"Current",IF($T85&lt;=30,"1-30",IF($T85&lt;=60,"31-60",IF($T85&lt;=90,"61-90","90+")))))))</x:f>
      </x:c>
      <x:c r="V85" s="66" t="str">
        <x:f>IF($A85="","",IF(AND($S85="Paid",$H85&lt;&gt;""),$H85,""))</x:f>
      </x:c>
      <x:c r="W85" s="52" t="str">
        <x:f>IF($A85="","",IF(OR(COUNTIF($A$7:$A$156,$A85)&gt;1,$B85="",$C85="",$D85="",$E85="",$F85="",$J85="",$K85="",$L85&lt;=0,$G85&lt;0,$G85&gt;$L85,AND($S85="Paid",$H85="")),"REVIEW","OK"))</x:f>
      </x:c>
    </x:row>
    <x:row r="86">
      <x:c r="A86" s="46"/>
      <x:c r="B86" s="56"/>
      <x:c r="C86" s="46"/>
      <x:c r="D86" s="46"/>
      <x:c r="E86" s="46"/>
      <x:c r="F86" s="46"/>
      <x:c r="G86" s="58"/>
      <x:c r="H86" s="56"/>
      <x:c r="I86" s="46"/>
      <x:c r="J86" s="52" t="str">
        <x:f>IF($A86="","",IFERROR(VLOOKUP($C86,Setup!$J$7:$M$56,2,FALSE),""))</x:f>
      </x:c>
      <x:c r="K86" s="52" t="str">
        <x:f>IF($A86="","",IFERROR(VLOOKUP($C86,Setup!$J$7:$M$56,3,FALSE),""))</x:f>
      </x:c>
      <x:c r="L86" s="60" t="str">
        <x:f>IF($A86="","",SUMIF(Depletion!$A$7:$A$306,$A86,Depletion!$E$7:$E$306))</x:f>
      </x:c>
      <x:c r="M86" s="62" t="str">
        <x:f>IF($A86="","",SUMIF(Depletion!$A$7:$A$306,$A86,Depletion!$C$7:$C$306))</x:f>
      </x:c>
      <x:c r="N86" s="60" t="str">
        <x:f>IF($A86="","",SUMIF(Depletion!$A$7:$A$306,$A86,Depletion!$I$7:$I$306))</x:f>
      </x:c>
      <x:c r="O86" s="60" t="str">
        <x:f>IF($A86="","",$L86-$N86)</x:f>
      </x:c>
      <x:c r="P86" s="64" t="str">
        <x:f>IF($A86="","",IFERROR($O86/$L86,0))</x:f>
      </x:c>
      <x:c r="Q86" s="60" t="str">
        <x:f>IF($A86="","",MAX($L86-$G86,0))</x:f>
      </x:c>
      <x:c r="R86" s="66" t="str">
        <x:f>IF($A86="","",IFERROR($B86+VLOOKUP($F86,Setup!$Z$7:$AA$20,2,FALSE),""))</x:f>
      </x:c>
      <x:c r="S86" s="52" t="str">
        <x:f>IF($A86="","",IF($L86=0,"Draft",IF($Q86&lt;=0,"Paid",IF($G86&gt;0,"Partial","Unpaid"))))</x:f>
      </x:c>
      <x:c r="T86" s="52" t="str">
        <x:f>IF($A86="","",IF($Q86&lt;=0,0,IF($R86="","",MAX(TODAY()-$R86,0))))</x:f>
      </x:c>
      <x:c r="U86" s="52" t="str">
        <x:f>IF($A86="","",IF($S86="Paid","Closed",IF($R86="","Review",IF(TODAY()&lt;=$R86,"Current",IF($T86&lt;=30,"1-30",IF($T86&lt;=60,"31-60",IF($T86&lt;=90,"61-90","90+")))))))</x:f>
      </x:c>
      <x:c r="V86" s="66" t="str">
        <x:f>IF($A86="","",IF(AND($S86="Paid",$H86&lt;&gt;""),$H86,""))</x:f>
      </x:c>
      <x:c r="W86" s="52" t="str">
        <x:f>IF($A86="","",IF(OR(COUNTIF($A$7:$A$156,$A86)&gt;1,$B86="",$C86="",$D86="",$E86="",$F86="",$J86="",$K86="",$L86&lt;=0,$G86&lt;0,$G86&gt;$L86,AND($S86="Paid",$H86="")),"REVIEW","OK"))</x:f>
      </x:c>
    </x:row>
    <x:row r="87">
      <x:c r="A87" s="46"/>
      <x:c r="B87" s="56"/>
      <x:c r="C87" s="46"/>
      <x:c r="D87" s="46"/>
      <x:c r="E87" s="46"/>
      <x:c r="F87" s="46"/>
      <x:c r="G87" s="58"/>
      <x:c r="H87" s="56"/>
      <x:c r="I87" s="46"/>
      <x:c r="J87" s="52" t="str">
        <x:f>IF($A87="","",IFERROR(VLOOKUP($C87,Setup!$J$7:$M$56,2,FALSE),""))</x:f>
      </x:c>
      <x:c r="K87" s="52" t="str">
        <x:f>IF($A87="","",IFERROR(VLOOKUP($C87,Setup!$J$7:$M$56,3,FALSE),""))</x:f>
      </x:c>
      <x:c r="L87" s="60" t="str">
        <x:f>IF($A87="","",SUMIF(Depletion!$A$7:$A$306,$A87,Depletion!$E$7:$E$306))</x:f>
      </x:c>
      <x:c r="M87" s="62" t="str">
        <x:f>IF($A87="","",SUMIF(Depletion!$A$7:$A$306,$A87,Depletion!$C$7:$C$306))</x:f>
      </x:c>
      <x:c r="N87" s="60" t="str">
        <x:f>IF($A87="","",SUMIF(Depletion!$A$7:$A$306,$A87,Depletion!$I$7:$I$306))</x:f>
      </x:c>
      <x:c r="O87" s="60" t="str">
        <x:f>IF($A87="","",$L87-$N87)</x:f>
      </x:c>
      <x:c r="P87" s="64" t="str">
        <x:f>IF($A87="","",IFERROR($O87/$L87,0))</x:f>
      </x:c>
      <x:c r="Q87" s="60" t="str">
        <x:f>IF($A87="","",MAX($L87-$G87,0))</x:f>
      </x:c>
      <x:c r="R87" s="66" t="str">
        <x:f>IF($A87="","",IFERROR($B87+VLOOKUP($F87,Setup!$Z$7:$AA$20,2,FALSE),""))</x:f>
      </x:c>
      <x:c r="S87" s="52" t="str">
        <x:f>IF($A87="","",IF($L87=0,"Draft",IF($Q87&lt;=0,"Paid",IF($G87&gt;0,"Partial","Unpaid"))))</x:f>
      </x:c>
      <x:c r="T87" s="52" t="str">
        <x:f>IF($A87="","",IF($Q87&lt;=0,0,IF($R87="","",MAX(TODAY()-$R87,0))))</x:f>
      </x:c>
      <x:c r="U87" s="52" t="str">
        <x:f>IF($A87="","",IF($S87="Paid","Closed",IF($R87="","Review",IF(TODAY()&lt;=$R87,"Current",IF($T87&lt;=30,"1-30",IF($T87&lt;=60,"31-60",IF($T87&lt;=90,"61-90","90+")))))))</x:f>
      </x:c>
      <x:c r="V87" s="66" t="str">
        <x:f>IF($A87="","",IF(AND($S87="Paid",$H87&lt;&gt;""),$H87,""))</x:f>
      </x:c>
      <x:c r="W87" s="52" t="str">
        <x:f>IF($A87="","",IF(OR(COUNTIF($A$7:$A$156,$A87)&gt;1,$B87="",$C87="",$D87="",$E87="",$F87="",$J87="",$K87="",$L87&lt;=0,$G87&lt;0,$G87&gt;$L87,AND($S87="Paid",$H87="")),"REVIEW","OK"))</x:f>
      </x:c>
    </x:row>
    <x:row r="88">
      <x:c r="A88" s="46"/>
      <x:c r="B88" s="56"/>
      <x:c r="C88" s="46"/>
      <x:c r="D88" s="46"/>
      <x:c r="E88" s="46"/>
      <x:c r="F88" s="46"/>
      <x:c r="G88" s="58"/>
      <x:c r="H88" s="56"/>
      <x:c r="I88" s="46"/>
      <x:c r="J88" s="52" t="str">
        <x:f>IF($A88="","",IFERROR(VLOOKUP($C88,Setup!$J$7:$M$56,2,FALSE),""))</x:f>
      </x:c>
      <x:c r="K88" s="52" t="str">
        <x:f>IF($A88="","",IFERROR(VLOOKUP($C88,Setup!$J$7:$M$56,3,FALSE),""))</x:f>
      </x:c>
      <x:c r="L88" s="60" t="str">
        <x:f>IF($A88="","",SUMIF(Depletion!$A$7:$A$306,$A88,Depletion!$E$7:$E$306))</x:f>
      </x:c>
      <x:c r="M88" s="62" t="str">
        <x:f>IF($A88="","",SUMIF(Depletion!$A$7:$A$306,$A88,Depletion!$C$7:$C$306))</x:f>
      </x:c>
      <x:c r="N88" s="60" t="str">
        <x:f>IF($A88="","",SUMIF(Depletion!$A$7:$A$306,$A88,Depletion!$I$7:$I$306))</x:f>
      </x:c>
      <x:c r="O88" s="60" t="str">
        <x:f>IF($A88="","",$L88-$N88)</x:f>
      </x:c>
      <x:c r="P88" s="64" t="str">
        <x:f>IF($A88="","",IFERROR($O88/$L88,0))</x:f>
      </x:c>
      <x:c r="Q88" s="60" t="str">
        <x:f>IF($A88="","",MAX($L88-$G88,0))</x:f>
      </x:c>
      <x:c r="R88" s="66" t="str">
        <x:f>IF($A88="","",IFERROR($B88+VLOOKUP($F88,Setup!$Z$7:$AA$20,2,FALSE),""))</x:f>
      </x:c>
      <x:c r="S88" s="52" t="str">
        <x:f>IF($A88="","",IF($L88=0,"Draft",IF($Q88&lt;=0,"Paid",IF($G88&gt;0,"Partial","Unpaid"))))</x:f>
      </x:c>
      <x:c r="T88" s="52" t="str">
        <x:f>IF($A88="","",IF($Q88&lt;=0,0,IF($R88="","",MAX(TODAY()-$R88,0))))</x:f>
      </x:c>
      <x:c r="U88" s="52" t="str">
        <x:f>IF($A88="","",IF($S88="Paid","Closed",IF($R88="","Review",IF(TODAY()&lt;=$R88,"Current",IF($T88&lt;=30,"1-30",IF($T88&lt;=60,"31-60",IF($T88&lt;=90,"61-90","90+")))))))</x:f>
      </x:c>
      <x:c r="V88" s="66" t="str">
        <x:f>IF($A88="","",IF(AND($S88="Paid",$H88&lt;&gt;""),$H88,""))</x:f>
      </x:c>
      <x:c r="W88" s="52" t="str">
        <x:f>IF($A88="","",IF(OR(COUNTIF($A$7:$A$156,$A88)&gt;1,$B88="",$C88="",$D88="",$E88="",$F88="",$J88="",$K88="",$L88&lt;=0,$G88&lt;0,$G88&gt;$L88,AND($S88="Paid",$H88="")),"REVIEW","OK"))</x:f>
      </x:c>
    </x:row>
    <x:row r="89">
      <x:c r="A89" s="46"/>
      <x:c r="B89" s="56"/>
      <x:c r="C89" s="46"/>
      <x:c r="D89" s="46"/>
      <x:c r="E89" s="46"/>
      <x:c r="F89" s="46"/>
      <x:c r="G89" s="58"/>
      <x:c r="H89" s="56"/>
      <x:c r="I89" s="46"/>
      <x:c r="J89" s="52" t="str">
        <x:f>IF($A89="","",IFERROR(VLOOKUP($C89,Setup!$J$7:$M$56,2,FALSE),""))</x:f>
      </x:c>
      <x:c r="K89" s="52" t="str">
        <x:f>IF($A89="","",IFERROR(VLOOKUP($C89,Setup!$J$7:$M$56,3,FALSE),""))</x:f>
      </x:c>
      <x:c r="L89" s="60" t="str">
        <x:f>IF($A89="","",SUMIF(Depletion!$A$7:$A$306,$A89,Depletion!$E$7:$E$306))</x:f>
      </x:c>
      <x:c r="M89" s="62" t="str">
        <x:f>IF($A89="","",SUMIF(Depletion!$A$7:$A$306,$A89,Depletion!$C$7:$C$306))</x:f>
      </x:c>
      <x:c r="N89" s="60" t="str">
        <x:f>IF($A89="","",SUMIF(Depletion!$A$7:$A$306,$A89,Depletion!$I$7:$I$306))</x:f>
      </x:c>
      <x:c r="O89" s="60" t="str">
        <x:f>IF($A89="","",$L89-$N89)</x:f>
      </x:c>
      <x:c r="P89" s="64" t="str">
        <x:f>IF($A89="","",IFERROR($O89/$L89,0))</x:f>
      </x:c>
      <x:c r="Q89" s="60" t="str">
        <x:f>IF($A89="","",MAX($L89-$G89,0))</x:f>
      </x:c>
      <x:c r="R89" s="66" t="str">
        <x:f>IF($A89="","",IFERROR($B89+VLOOKUP($F89,Setup!$Z$7:$AA$20,2,FALSE),""))</x:f>
      </x:c>
      <x:c r="S89" s="52" t="str">
        <x:f>IF($A89="","",IF($L89=0,"Draft",IF($Q89&lt;=0,"Paid",IF($G89&gt;0,"Partial","Unpaid"))))</x:f>
      </x:c>
      <x:c r="T89" s="52" t="str">
        <x:f>IF($A89="","",IF($Q89&lt;=0,0,IF($R89="","",MAX(TODAY()-$R89,0))))</x:f>
      </x:c>
      <x:c r="U89" s="52" t="str">
        <x:f>IF($A89="","",IF($S89="Paid","Closed",IF($R89="","Review",IF(TODAY()&lt;=$R89,"Current",IF($T89&lt;=30,"1-30",IF($T89&lt;=60,"31-60",IF($T89&lt;=90,"61-90","90+")))))))</x:f>
      </x:c>
      <x:c r="V89" s="66" t="str">
        <x:f>IF($A89="","",IF(AND($S89="Paid",$H89&lt;&gt;""),$H89,""))</x:f>
      </x:c>
      <x:c r="W89" s="52" t="str">
        <x:f>IF($A89="","",IF(OR(COUNTIF($A$7:$A$156,$A89)&gt;1,$B89="",$C89="",$D89="",$E89="",$F89="",$J89="",$K89="",$L89&lt;=0,$G89&lt;0,$G89&gt;$L89,AND($S89="Paid",$H89="")),"REVIEW","OK"))</x:f>
      </x:c>
    </x:row>
    <x:row r="90">
      <x:c r="A90" s="46"/>
      <x:c r="B90" s="56"/>
      <x:c r="C90" s="46"/>
      <x:c r="D90" s="46"/>
      <x:c r="E90" s="46"/>
      <x:c r="F90" s="46"/>
      <x:c r="G90" s="58"/>
      <x:c r="H90" s="56"/>
      <x:c r="I90" s="46"/>
      <x:c r="J90" s="52" t="str">
        <x:f>IF($A90="","",IFERROR(VLOOKUP($C90,Setup!$J$7:$M$56,2,FALSE),""))</x:f>
      </x:c>
      <x:c r="K90" s="52" t="str">
        <x:f>IF($A90="","",IFERROR(VLOOKUP($C90,Setup!$J$7:$M$56,3,FALSE),""))</x:f>
      </x:c>
      <x:c r="L90" s="60" t="str">
        <x:f>IF($A90="","",SUMIF(Depletion!$A$7:$A$306,$A90,Depletion!$E$7:$E$306))</x:f>
      </x:c>
      <x:c r="M90" s="62" t="str">
        <x:f>IF($A90="","",SUMIF(Depletion!$A$7:$A$306,$A90,Depletion!$C$7:$C$306))</x:f>
      </x:c>
      <x:c r="N90" s="60" t="str">
        <x:f>IF($A90="","",SUMIF(Depletion!$A$7:$A$306,$A90,Depletion!$I$7:$I$306))</x:f>
      </x:c>
      <x:c r="O90" s="60" t="str">
        <x:f>IF($A90="","",$L90-$N90)</x:f>
      </x:c>
      <x:c r="P90" s="64" t="str">
        <x:f>IF($A90="","",IFERROR($O90/$L90,0))</x:f>
      </x:c>
      <x:c r="Q90" s="60" t="str">
        <x:f>IF($A90="","",MAX($L90-$G90,0))</x:f>
      </x:c>
      <x:c r="R90" s="66" t="str">
        <x:f>IF($A90="","",IFERROR($B90+VLOOKUP($F90,Setup!$Z$7:$AA$20,2,FALSE),""))</x:f>
      </x:c>
      <x:c r="S90" s="52" t="str">
        <x:f>IF($A90="","",IF($L90=0,"Draft",IF($Q90&lt;=0,"Paid",IF($G90&gt;0,"Partial","Unpaid"))))</x:f>
      </x:c>
      <x:c r="T90" s="52" t="str">
        <x:f>IF($A90="","",IF($Q90&lt;=0,0,IF($R90="","",MAX(TODAY()-$R90,0))))</x:f>
      </x:c>
      <x:c r="U90" s="52" t="str">
        <x:f>IF($A90="","",IF($S90="Paid","Closed",IF($R90="","Review",IF(TODAY()&lt;=$R90,"Current",IF($T90&lt;=30,"1-30",IF($T90&lt;=60,"31-60",IF($T90&lt;=90,"61-90","90+")))))))</x:f>
      </x:c>
      <x:c r="V90" s="66" t="str">
        <x:f>IF($A90="","",IF(AND($S90="Paid",$H90&lt;&gt;""),$H90,""))</x:f>
      </x:c>
      <x:c r="W90" s="52" t="str">
        <x:f>IF($A90="","",IF(OR(COUNTIF($A$7:$A$156,$A90)&gt;1,$B90="",$C90="",$D90="",$E90="",$F90="",$J90="",$K90="",$L90&lt;=0,$G90&lt;0,$G90&gt;$L90,AND($S90="Paid",$H90="")),"REVIEW","OK"))</x:f>
      </x:c>
    </x:row>
    <x:row r="91">
      <x:c r="A91" s="46"/>
      <x:c r="B91" s="56"/>
      <x:c r="C91" s="46"/>
      <x:c r="D91" s="46"/>
      <x:c r="E91" s="46"/>
      <x:c r="F91" s="46"/>
      <x:c r="G91" s="58"/>
      <x:c r="H91" s="56"/>
      <x:c r="I91" s="46"/>
      <x:c r="J91" s="52" t="str">
        <x:f>IF($A91="","",IFERROR(VLOOKUP($C91,Setup!$J$7:$M$56,2,FALSE),""))</x:f>
      </x:c>
      <x:c r="K91" s="52" t="str">
        <x:f>IF($A91="","",IFERROR(VLOOKUP($C91,Setup!$J$7:$M$56,3,FALSE),""))</x:f>
      </x:c>
      <x:c r="L91" s="60" t="str">
        <x:f>IF($A91="","",SUMIF(Depletion!$A$7:$A$306,$A91,Depletion!$E$7:$E$306))</x:f>
      </x:c>
      <x:c r="M91" s="62" t="str">
        <x:f>IF($A91="","",SUMIF(Depletion!$A$7:$A$306,$A91,Depletion!$C$7:$C$306))</x:f>
      </x:c>
      <x:c r="N91" s="60" t="str">
        <x:f>IF($A91="","",SUMIF(Depletion!$A$7:$A$306,$A91,Depletion!$I$7:$I$306))</x:f>
      </x:c>
      <x:c r="O91" s="60" t="str">
        <x:f>IF($A91="","",$L91-$N91)</x:f>
      </x:c>
      <x:c r="P91" s="64" t="str">
        <x:f>IF($A91="","",IFERROR($O91/$L91,0))</x:f>
      </x:c>
      <x:c r="Q91" s="60" t="str">
        <x:f>IF($A91="","",MAX($L91-$G91,0))</x:f>
      </x:c>
      <x:c r="R91" s="66" t="str">
        <x:f>IF($A91="","",IFERROR($B91+VLOOKUP($F91,Setup!$Z$7:$AA$20,2,FALSE),""))</x:f>
      </x:c>
      <x:c r="S91" s="52" t="str">
        <x:f>IF($A91="","",IF($L91=0,"Draft",IF($Q91&lt;=0,"Paid",IF($G91&gt;0,"Partial","Unpaid"))))</x:f>
      </x:c>
      <x:c r="T91" s="52" t="str">
        <x:f>IF($A91="","",IF($Q91&lt;=0,0,IF($R91="","",MAX(TODAY()-$R91,0))))</x:f>
      </x:c>
      <x:c r="U91" s="52" t="str">
        <x:f>IF($A91="","",IF($S91="Paid","Closed",IF($R91="","Review",IF(TODAY()&lt;=$R91,"Current",IF($T91&lt;=30,"1-30",IF($T91&lt;=60,"31-60",IF($T91&lt;=90,"61-90","90+")))))))</x:f>
      </x:c>
      <x:c r="V91" s="66" t="str">
        <x:f>IF($A91="","",IF(AND($S91="Paid",$H91&lt;&gt;""),$H91,""))</x:f>
      </x:c>
      <x:c r="W91" s="52" t="str">
        <x:f>IF($A91="","",IF(OR(COUNTIF($A$7:$A$156,$A91)&gt;1,$B91="",$C91="",$D91="",$E91="",$F91="",$J91="",$K91="",$L91&lt;=0,$G91&lt;0,$G91&gt;$L91,AND($S91="Paid",$H91="")),"REVIEW","OK"))</x:f>
      </x:c>
    </x:row>
    <x:row r="92">
      <x:c r="A92" s="46"/>
      <x:c r="B92" s="56"/>
      <x:c r="C92" s="46"/>
      <x:c r="D92" s="46"/>
      <x:c r="E92" s="46"/>
      <x:c r="F92" s="46"/>
      <x:c r="G92" s="58"/>
      <x:c r="H92" s="56"/>
      <x:c r="I92" s="46"/>
      <x:c r="J92" s="52" t="str">
        <x:f>IF($A92="","",IFERROR(VLOOKUP($C92,Setup!$J$7:$M$56,2,FALSE),""))</x:f>
      </x:c>
      <x:c r="K92" s="52" t="str">
        <x:f>IF($A92="","",IFERROR(VLOOKUP($C92,Setup!$J$7:$M$56,3,FALSE),""))</x:f>
      </x:c>
      <x:c r="L92" s="60" t="str">
        <x:f>IF($A92="","",SUMIF(Depletion!$A$7:$A$306,$A92,Depletion!$E$7:$E$306))</x:f>
      </x:c>
      <x:c r="M92" s="62" t="str">
        <x:f>IF($A92="","",SUMIF(Depletion!$A$7:$A$306,$A92,Depletion!$C$7:$C$306))</x:f>
      </x:c>
      <x:c r="N92" s="60" t="str">
        <x:f>IF($A92="","",SUMIF(Depletion!$A$7:$A$306,$A92,Depletion!$I$7:$I$306))</x:f>
      </x:c>
      <x:c r="O92" s="60" t="str">
        <x:f>IF($A92="","",$L92-$N92)</x:f>
      </x:c>
      <x:c r="P92" s="64" t="str">
        <x:f>IF($A92="","",IFERROR($O92/$L92,0))</x:f>
      </x:c>
      <x:c r="Q92" s="60" t="str">
        <x:f>IF($A92="","",MAX($L92-$G92,0))</x:f>
      </x:c>
      <x:c r="R92" s="66" t="str">
        <x:f>IF($A92="","",IFERROR($B92+VLOOKUP($F92,Setup!$Z$7:$AA$20,2,FALSE),""))</x:f>
      </x:c>
      <x:c r="S92" s="52" t="str">
        <x:f>IF($A92="","",IF($L92=0,"Draft",IF($Q92&lt;=0,"Paid",IF($G92&gt;0,"Partial","Unpaid"))))</x:f>
      </x:c>
      <x:c r="T92" s="52" t="str">
        <x:f>IF($A92="","",IF($Q92&lt;=0,0,IF($R92="","",MAX(TODAY()-$R92,0))))</x:f>
      </x:c>
      <x:c r="U92" s="52" t="str">
        <x:f>IF($A92="","",IF($S92="Paid","Closed",IF($R92="","Review",IF(TODAY()&lt;=$R92,"Current",IF($T92&lt;=30,"1-30",IF($T92&lt;=60,"31-60",IF($T92&lt;=90,"61-90","90+")))))))</x:f>
      </x:c>
      <x:c r="V92" s="66" t="str">
        <x:f>IF($A92="","",IF(AND($S92="Paid",$H92&lt;&gt;""),$H92,""))</x:f>
      </x:c>
      <x:c r="W92" s="52" t="str">
        <x:f>IF($A92="","",IF(OR(COUNTIF($A$7:$A$156,$A92)&gt;1,$B92="",$C92="",$D92="",$E92="",$F92="",$J92="",$K92="",$L92&lt;=0,$G92&lt;0,$G92&gt;$L92,AND($S92="Paid",$H92="")),"REVIEW","OK"))</x:f>
      </x:c>
    </x:row>
    <x:row r="93">
      <x:c r="A93" s="46"/>
      <x:c r="B93" s="56"/>
      <x:c r="C93" s="46"/>
      <x:c r="D93" s="46"/>
      <x:c r="E93" s="46"/>
      <x:c r="F93" s="46"/>
      <x:c r="G93" s="58"/>
      <x:c r="H93" s="56"/>
      <x:c r="I93" s="46"/>
      <x:c r="J93" s="52" t="str">
        <x:f>IF($A93="","",IFERROR(VLOOKUP($C93,Setup!$J$7:$M$56,2,FALSE),""))</x:f>
      </x:c>
      <x:c r="K93" s="52" t="str">
        <x:f>IF($A93="","",IFERROR(VLOOKUP($C93,Setup!$J$7:$M$56,3,FALSE),""))</x:f>
      </x:c>
      <x:c r="L93" s="60" t="str">
        <x:f>IF($A93="","",SUMIF(Depletion!$A$7:$A$306,$A93,Depletion!$E$7:$E$306))</x:f>
      </x:c>
      <x:c r="M93" s="62" t="str">
        <x:f>IF($A93="","",SUMIF(Depletion!$A$7:$A$306,$A93,Depletion!$C$7:$C$306))</x:f>
      </x:c>
      <x:c r="N93" s="60" t="str">
        <x:f>IF($A93="","",SUMIF(Depletion!$A$7:$A$306,$A93,Depletion!$I$7:$I$306))</x:f>
      </x:c>
      <x:c r="O93" s="60" t="str">
        <x:f>IF($A93="","",$L93-$N93)</x:f>
      </x:c>
      <x:c r="P93" s="64" t="str">
        <x:f>IF($A93="","",IFERROR($O93/$L93,0))</x:f>
      </x:c>
      <x:c r="Q93" s="60" t="str">
        <x:f>IF($A93="","",MAX($L93-$G93,0))</x:f>
      </x:c>
      <x:c r="R93" s="66" t="str">
        <x:f>IF($A93="","",IFERROR($B93+VLOOKUP($F93,Setup!$Z$7:$AA$20,2,FALSE),""))</x:f>
      </x:c>
      <x:c r="S93" s="52" t="str">
        <x:f>IF($A93="","",IF($L93=0,"Draft",IF($Q93&lt;=0,"Paid",IF($G93&gt;0,"Partial","Unpaid"))))</x:f>
      </x:c>
      <x:c r="T93" s="52" t="str">
        <x:f>IF($A93="","",IF($Q93&lt;=0,0,IF($R93="","",MAX(TODAY()-$R93,0))))</x:f>
      </x:c>
      <x:c r="U93" s="52" t="str">
        <x:f>IF($A93="","",IF($S93="Paid","Closed",IF($R93="","Review",IF(TODAY()&lt;=$R93,"Current",IF($T93&lt;=30,"1-30",IF($T93&lt;=60,"31-60",IF($T93&lt;=90,"61-90","90+")))))))</x:f>
      </x:c>
      <x:c r="V93" s="66" t="str">
        <x:f>IF($A93="","",IF(AND($S93="Paid",$H93&lt;&gt;""),$H93,""))</x:f>
      </x:c>
      <x:c r="W93" s="52" t="str">
        <x:f>IF($A93="","",IF(OR(COUNTIF($A$7:$A$156,$A93)&gt;1,$B93="",$C93="",$D93="",$E93="",$F93="",$J93="",$K93="",$L93&lt;=0,$G93&lt;0,$G93&gt;$L93,AND($S93="Paid",$H93="")),"REVIEW","OK"))</x:f>
      </x:c>
    </x:row>
    <x:row r="94">
      <x:c r="A94" s="46"/>
      <x:c r="B94" s="56"/>
      <x:c r="C94" s="46"/>
      <x:c r="D94" s="46"/>
      <x:c r="E94" s="46"/>
      <x:c r="F94" s="46"/>
      <x:c r="G94" s="58"/>
      <x:c r="H94" s="56"/>
      <x:c r="I94" s="46"/>
      <x:c r="J94" s="52" t="str">
        <x:f>IF($A94="","",IFERROR(VLOOKUP($C94,Setup!$J$7:$M$56,2,FALSE),""))</x:f>
      </x:c>
      <x:c r="K94" s="52" t="str">
        <x:f>IF($A94="","",IFERROR(VLOOKUP($C94,Setup!$J$7:$M$56,3,FALSE),""))</x:f>
      </x:c>
      <x:c r="L94" s="60" t="str">
        <x:f>IF($A94="","",SUMIF(Depletion!$A$7:$A$306,$A94,Depletion!$E$7:$E$306))</x:f>
      </x:c>
      <x:c r="M94" s="62" t="str">
        <x:f>IF($A94="","",SUMIF(Depletion!$A$7:$A$306,$A94,Depletion!$C$7:$C$306))</x:f>
      </x:c>
      <x:c r="N94" s="60" t="str">
        <x:f>IF($A94="","",SUMIF(Depletion!$A$7:$A$306,$A94,Depletion!$I$7:$I$306))</x:f>
      </x:c>
      <x:c r="O94" s="60" t="str">
        <x:f>IF($A94="","",$L94-$N94)</x:f>
      </x:c>
      <x:c r="P94" s="64" t="str">
        <x:f>IF($A94="","",IFERROR($O94/$L94,0))</x:f>
      </x:c>
      <x:c r="Q94" s="60" t="str">
        <x:f>IF($A94="","",MAX($L94-$G94,0))</x:f>
      </x:c>
      <x:c r="R94" s="66" t="str">
        <x:f>IF($A94="","",IFERROR($B94+VLOOKUP($F94,Setup!$Z$7:$AA$20,2,FALSE),""))</x:f>
      </x:c>
      <x:c r="S94" s="52" t="str">
        <x:f>IF($A94="","",IF($L94=0,"Draft",IF($Q94&lt;=0,"Paid",IF($G94&gt;0,"Partial","Unpaid"))))</x:f>
      </x:c>
      <x:c r="T94" s="52" t="str">
        <x:f>IF($A94="","",IF($Q94&lt;=0,0,IF($R94="","",MAX(TODAY()-$R94,0))))</x:f>
      </x:c>
      <x:c r="U94" s="52" t="str">
        <x:f>IF($A94="","",IF($S94="Paid","Closed",IF($R94="","Review",IF(TODAY()&lt;=$R94,"Current",IF($T94&lt;=30,"1-30",IF($T94&lt;=60,"31-60",IF($T94&lt;=90,"61-90","90+")))))))</x:f>
      </x:c>
      <x:c r="V94" s="66" t="str">
        <x:f>IF($A94="","",IF(AND($S94="Paid",$H94&lt;&gt;""),$H94,""))</x:f>
      </x:c>
      <x:c r="W94" s="52" t="str">
        <x:f>IF($A94="","",IF(OR(COUNTIF($A$7:$A$156,$A94)&gt;1,$B94="",$C94="",$D94="",$E94="",$F94="",$J94="",$K94="",$L94&lt;=0,$G94&lt;0,$G94&gt;$L94,AND($S94="Paid",$H94="")),"REVIEW","OK"))</x:f>
      </x:c>
    </x:row>
    <x:row r="95">
      <x:c r="A95" s="46"/>
      <x:c r="B95" s="56"/>
      <x:c r="C95" s="46"/>
      <x:c r="D95" s="46"/>
      <x:c r="E95" s="46"/>
      <x:c r="F95" s="46"/>
      <x:c r="G95" s="58"/>
      <x:c r="H95" s="56"/>
      <x:c r="I95" s="46"/>
      <x:c r="J95" s="52" t="str">
        <x:f>IF($A95="","",IFERROR(VLOOKUP($C95,Setup!$J$7:$M$56,2,FALSE),""))</x:f>
      </x:c>
      <x:c r="K95" s="52" t="str">
        <x:f>IF($A95="","",IFERROR(VLOOKUP($C95,Setup!$J$7:$M$56,3,FALSE),""))</x:f>
      </x:c>
      <x:c r="L95" s="60" t="str">
        <x:f>IF($A95="","",SUMIF(Depletion!$A$7:$A$306,$A95,Depletion!$E$7:$E$306))</x:f>
      </x:c>
      <x:c r="M95" s="62" t="str">
        <x:f>IF($A95="","",SUMIF(Depletion!$A$7:$A$306,$A95,Depletion!$C$7:$C$306))</x:f>
      </x:c>
      <x:c r="N95" s="60" t="str">
        <x:f>IF($A95="","",SUMIF(Depletion!$A$7:$A$306,$A95,Depletion!$I$7:$I$306))</x:f>
      </x:c>
      <x:c r="O95" s="60" t="str">
        <x:f>IF($A95="","",$L95-$N95)</x:f>
      </x:c>
      <x:c r="P95" s="64" t="str">
        <x:f>IF($A95="","",IFERROR($O95/$L95,0))</x:f>
      </x:c>
      <x:c r="Q95" s="60" t="str">
        <x:f>IF($A95="","",MAX($L95-$G95,0))</x:f>
      </x:c>
      <x:c r="R95" s="66" t="str">
        <x:f>IF($A95="","",IFERROR($B95+VLOOKUP($F95,Setup!$Z$7:$AA$20,2,FALSE),""))</x:f>
      </x:c>
      <x:c r="S95" s="52" t="str">
        <x:f>IF($A95="","",IF($L95=0,"Draft",IF($Q95&lt;=0,"Paid",IF($G95&gt;0,"Partial","Unpaid"))))</x:f>
      </x:c>
      <x:c r="T95" s="52" t="str">
        <x:f>IF($A95="","",IF($Q95&lt;=0,0,IF($R95="","",MAX(TODAY()-$R95,0))))</x:f>
      </x:c>
      <x:c r="U95" s="52" t="str">
        <x:f>IF($A95="","",IF($S95="Paid","Closed",IF($R95="","Review",IF(TODAY()&lt;=$R95,"Current",IF($T95&lt;=30,"1-30",IF($T95&lt;=60,"31-60",IF($T95&lt;=90,"61-90","90+")))))))</x:f>
      </x:c>
      <x:c r="V95" s="66" t="str">
        <x:f>IF($A95="","",IF(AND($S95="Paid",$H95&lt;&gt;""),$H95,""))</x:f>
      </x:c>
      <x:c r="W95" s="52" t="str">
        <x:f>IF($A95="","",IF(OR(COUNTIF($A$7:$A$156,$A95)&gt;1,$B95="",$C95="",$D95="",$E95="",$F95="",$J95="",$K95="",$L95&lt;=0,$G95&lt;0,$G95&gt;$L95,AND($S95="Paid",$H95="")),"REVIEW","OK"))</x:f>
      </x:c>
    </x:row>
    <x:row r="96">
      <x:c r="A96" s="46"/>
      <x:c r="B96" s="56"/>
      <x:c r="C96" s="46"/>
      <x:c r="D96" s="46"/>
      <x:c r="E96" s="46"/>
      <x:c r="F96" s="46"/>
      <x:c r="G96" s="58"/>
      <x:c r="H96" s="56"/>
      <x:c r="I96" s="46"/>
      <x:c r="J96" s="52" t="str">
        <x:f>IF($A96="","",IFERROR(VLOOKUP($C96,Setup!$J$7:$M$56,2,FALSE),""))</x:f>
      </x:c>
      <x:c r="K96" s="52" t="str">
        <x:f>IF($A96="","",IFERROR(VLOOKUP($C96,Setup!$J$7:$M$56,3,FALSE),""))</x:f>
      </x:c>
      <x:c r="L96" s="60" t="str">
        <x:f>IF($A96="","",SUMIF(Depletion!$A$7:$A$306,$A96,Depletion!$E$7:$E$306))</x:f>
      </x:c>
      <x:c r="M96" s="62" t="str">
        <x:f>IF($A96="","",SUMIF(Depletion!$A$7:$A$306,$A96,Depletion!$C$7:$C$306))</x:f>
      </x:c>
      <x:c r="N96" s="60" t="str">
        <x:f>IF($A96="","",SUMIF(Depletion!$A$7:$A$306,$A96,Depletion!$I$7:$I$306))</x:f>
      </x:c>
      <x:c r="O96" s="60" t="str">
        <x:f>IF($A96="","",$L96-$N96)</x:f>
      </x:c>
      <x:c r="P96" s="64" t="str">
        <x:f>IF($A96="","",IFERROR($O96/$L96,0))</x:f>
      </x:c>
      <x:c r="Q96" s="60" t="str">
        <x:f>IF($A96="","",MAX($L96-$G96,0))</x:f>
      </x:c>
      <x:c r="R96" s="66" t="str">
        <x:f>IF($A96="","",IFERROR($B96+VLOOKUP($F96,Setup!$Z$7:$AA$20,2,FALSE),""))</x:f>
      </x:c>
      <x:c r="S96" s="52" t="str">
        <x:f>IF($A96="","",IF($L96=0,"Draft",IF($Q96&lt;=0,"Paid",IF($G96&gt;0,"Partial","Unpaid"))))</x:f>
      </x:c>
      <x:c r="T96" s="52" t="str">
        <x:f>IF($A96="","",IF($Q96&lt;=0,0,IF($R96="","",MAX(TODAY()-$R96,0))))</x:f>
      </x:c>
      <x:c r="U96" s="52" t="str">
        <x:f>IF($A96="","",IF($S96="Paid","Closed",IF($R96="","Review",IF(TODAY()&lt;=$R96,"Current",IF($T96&lt;=30,"1-30",IF($T96&lt;=60,"31-60",IF($T96&lt;=90,"61-90","90+")))))))</x:f>
      </x:c>
      <x:c r="V96" s="66" t="str">
        <x:f>IF($A96="","",IF(AND($S96="Paid",$H96&lt;&gt;""),$H96,""))</x:f>
      </x:c>
      <x:c r="W96" s="52" t="str">
        <x:f>IF($A96="","",IF(OR(COUNTIF($A$7:$A$156,$A96)&gt;1,$B96="",$C96="",$D96="",$E96="",$F96="",$J96="",$K96="",$L96&lt;=0,$G96&lt;0,$G96&gt;$L96,AND($S96="Paid",$H96="")),"REVIEW","OK"))</x:f>
      </x:c>
    </x:row>
    <x:row r="97">
      <x:c r="A97" s="46"/>
      <x:c r="B97" s="56"/>
      <x:c r="C97" s="46"/>
      <x:c r="D97" s="46"/>
      <x:c r="E97" s="46"/>
      <x:c r="F97" s="46"/>
      <x:c r="G97" s="58"/>
      <x:c r="H97" s="56"/>
      <x:c r="I97" s="46"/>
      <x:c r="J97" s="52" t="str">
        <x:f>IF($A97="","",IFERROR(VLOOKUP($C97,Setup!$J$7:$M$56,2,FALSE),""))</x:f>
      </x:c>
      <x:c r="K97" s="52" t="str">
        <x:f>IF($A97="","",IFERROR(VLOOKUP($C97,Setup!$J$7:$M$56,3,FALSE),""))</x:f>
      </x:c>
      <x:c r="L97" s="60" t="str">
        <x:f>IF($A97="","",SUMIF(Depletion!$A$7:$A$306,$A97,Depletion!$E$7:$E$306))</x:f>
      </x:c>
      <x:c r="M97" s="62" t="str">
        <x:f>IF($A97="","",SUMIF(Depletion!$A$7:$A$306,$A97,Depletion!$C$7:$C$306))</x:f>
      </x:c>
      <x:c r="N97" s="60" t="str">
        <x:f>IF($A97="","",SUMIF(Depletion!$A$7:$A$306,$A97,Depletion!$I$7:$I$306))</x:f>
      </x:c>
      <x:c r="O97" s="60" t="str">
        <x:f>IF($A97="","",$L97-$N97)</x:f>
      </x:c>
      <x:c r="P97" s="64" t="str">
        <x:f>IF($A97="","",IFERROR($O97/$L97,0))</x:f>
      </x:c>
      <x:c r="Q97" s="60" t="str">
        <x:f>IF($A97="","",MAX($L97-$G97,0))</x:f>
      </x:c>
      <x:c r="R97" s="66" t="str">
        <x:f>IF($A97="","",IFERROR($B97+VLOOKUP($F97,Setup!$Z$7:$AA$20,2,FALSE),""))</x:f>
      </x:c>
      <x:c r="S97" s="52" t="str">
        <x:f>IF($A97="","",IF($L97=0,"Draft",IF($Q97&lt;=0,"Paid",IF($G97&gt;0,"Partial","Unpaid"))))</x:f>
      </x:c>
      <x:c r="T97" s="52" t="str">
        <x:f>IF($A97="","",IF($Q97&lt;=0,0,IF($R97="","",MAX(TODAY()-$R97,0))))</x:f>
      </x:c>
      <x:c r="U97" s="52" t="str">
        <x:f>IF($A97="","",IF($S97="Paid","Closed",IF($R97="","Review",IF(TODAY()&lt;=$R97,"Current",IF($T97&lt;=30,"1-30",IF($T97&lt;=60,"31-60",IF($T97&lt;=90,"61-90","90+")))))))</x:f>
      </x:c>
      <x:c r="V97" s="66" t="str">
        <x:f>IF($A97="","",IF(AND($S97="Paid",$H97&lt;&gt;""),$H97,""))</x:f>
      </x:c>
      <x:c r="W97" s="52" t="str">
        <x:f>IF($A97="","",IF(OR(COUNTIF($A$7:$A$156,$A97)&gt;1,$B97="",$C97="",$D97="",$E97="",$F97="",$J97="",$K97="",$L97&lt;=0,$G97&lt;0,$G97&gt;$L97,AND($S97="Paid",$H97="")),"REVIEW","OK"))</x:f>
      </x:c>
    </x:row>
    <x:row r="98">
      <x:c r="A98" s="46"/>
      <x:c r="B98" s="56"/>
      <x:c r="C98" s="46"/>
      <x:c r="D98" s="46"/>
      <x:c r="E98" s="46"/>
      <x:c r="F98" s="46"/>
      <x:c r="G98" s="58"/>
      <x:c r="H98" s="56"/>
      <x:c r="I98" s="46"/>
      <x:c r="J98" s="52" t="str">
        <x:f>IF($A98="","",IFERROR(VLOOKUP($C98,Setup!$J$7:$M$56,2,FALSE),""))</x:f>
      </x:c>
      <x:c r="K98" s="52" t="str">
        <x:f>IF($A98="","",IFERROR(VLOOKUP($C98,Setup!$J$7:$M$56,3,FALSE),""))</x:f>
      </x:c>
      <x:c r="L98" s="60" t="str">
        <x:f>IF($A98="","",SUMIF(Depletion!$A$7:$A$306,$A98,Depletion!$E$7:$E$306))</x:f>
      </x:c>
      <x:c r="M98" s="62" t="str">
        <x:f>IF($A98="","",SUMIF(Depletion!$A$7:$A$306,$A98,Depletion!$C$7:$C$306))</x:f>
      </x:c>
      <x:c r="N98" s="60" t="str">
        <x:f>IF($A98="","",SUMIF(Depletion!$A$7:$A$306,$A98,Depletion!$I$7:$I$306))</x:f>
      </x:c>
      <x:c r="O98" s="60" t="str">
        <x:f>IF($A98="","",$L98-$N98)</x:f>
      </x:c>
      <x:c r="P98" s="64" t="str">
        <x:f>IF($A98="","",IFERROR($O98/$L98,0))</x:f>
      </x:c>
      <x:c r="Q98" s="60" t="str">
        <x:f>IF($A98="","",MAX($L98-$G98,0))</x:f>
      </x:c>
      <x:c r="R98" s="66" t="str">
        <x:f>IF($A98="","",IFERROR($B98+VLOOKUP($F98,Setup!$Z$7:$AA$20,2,FALSE),""))</x:f>
      </x:c>
      <x:c r="S98" s="52" t="str">
        <x:f>IF($A98="","",IF($L98=0,"Draft",IF($Q98&lt;=0,"Paid",IF($G98&gt;0,"Partial","Unpaid"))))</x:f>
      </x:c>
      <x:c r="T98" s="52" t="str">
        <x:f>IF($A98="","",IF($Q98&lt;=0,0,IF($R98="","",MAX(TODAY()-$R98,0))))</x:f>
      </x:c>
      <x:c r="U98" s="52" t="str">
        <x:f>IF($A98="","",IF($S98="Paid","Closed",IF($R98="","Review",IF(TODAY()&lt;=$R98,"Current",IF($T98&lt;=30,"1-30",IF($T98&lt;=60,"31-60",IF($T98&lt;=90,"61-90","90+")))))))</x:f>
      </x:c>
      <x:c r="V98" s="66" t="str">
        <x:f>IF($A98="","",IF(AND($S98="Paid",$H98&lt;&gt;""),$H98,""))</x:f>
      </x:c>
      <x:c r="W98" s="52" t="str">
        <x:f>IF($A98="","",IF(OR(COUNTIF($A$7:$A$156,$A98)&gt;1,$B98="",$C98="",$D98="",$E98="",$F98="",$J98="",$K98="",$L98&lt;=0,$G98&lt;0,$G98&gt;$L98,AND($S98="Paid",$H98="")),"REVIEW","OK"))</x:f>
      </x:c>
    </x:row>
    <x:row r="99">
      <x:c r="A99" s="46"/>
      <x:c r="B99" s="56"/>
      <x:c r="C99" s="46"/>
      <x:c r="D99" s="46"/>
      <x:c r="E99" s="46"/>
      <x:c r="F99" s="46"/>
      <x:c r="G99" s="58"/>
      <x:c r="H99" s="56"/>
      <x:c r="I99" s="46"/>
      <x:c r="J99" s="52" t="str">
        <x:f>IF($A99="","",IFERROR(VLOOKUP($C99,Setup!$J$7:$M$56,2,FALSE),""))</x:f>
      </x:c>
      <x:c r="K99" s="52" t="str">
        <x:f>IF($A99="","",IFERROR(VLOOKUP($C99,Setup!$J$7:$M$56,3,FALSE),""))</x:f>
      </x:c>
      <x:c r="L99" s="60" t="str">
        <x:f>IF($A99="","",SUMIF(Depletion!$A$7:$A$306,$A99,Depletion!$E$7:$E$306))</x:f>
      </x:c>
      <x:c r="M99" s="62" t="str">
        <x:f>IF($A99="","",SUMIF(Depletion!$A$7:$A$306,$A99,Depletion!$C$7:$C$306))</x:f>
      </x:c>
      <x:c r="N99" s="60" t="str">
        <x:f>IF($A99="","",SUMIF(Depletion!$A$7:$A$306,$A99,Depletion!$I$7:$I$306))</x:f>
      </x:c>
      <x:c r="O99" s="60" t="str">
        <x:f>IF($A99="","",$L99-$N99)</x:f>
      </x:c>
      <x:c r="P99" s="64" t="str">
        <x:f>IF($A99="","",IFERROR($O99/$L99,0))</x:f>
      </x:c>
      <x:c r="Q99" s="60" t="str">
        <x:f>IF($A99="","",MAX($L99-$G99,0))</x:f>
      </x:c>
      <x:c r="R99" s="66" t="str">
        <x:f>IF($A99="","",IFERROR($B99+VLOOKUP($F99,Setup!$Z$7:$AA$20,2,FALSE),""))</x:f>
      </x:c>
      <x:c r="S99" s="52" t="str">
        <x:f>IF($A99="","",IF($L99=0,"Draft",IF($Q99&lt;=0,"Paid",IF($G99&gt;0,"Partial","Unpaid"))))</x:f>
      </x:c>
      <x:c r="T99" s="52" t="str">
        <x:f>IF($A99="","",IF($Q99&lt;=0,0,IF($R99="","",MAX(TODAY()-$R99,0))))</x:f>
      </x:c>
      <x:c r="U99" s="52" t="str">
        <x:f>IF($A99="","",IF($S99="Paid","Closed",IF($R99="","Review",IF(TODAY()&lt;=$R99,"Current",IF($T99&lt;=30,"1-30",IF($T99&lt;=60,"31-60",IF($T99&lt;=90,"61-90","90+")))))))</x:f>
      </x:c>
      <x:c r="V99" s="66" t="str">
        <x:f>IF($A99="","",IF(AND($S99="Paid",$H99&lt;&gt;""),$H99,""))</x:f>
      </x:c>
      <x:c r="W99" s="52" t="str">
        <x:f>IF($A99="","",IF(OR(COUNTIF($A$7:$A$156,$A99)&gt;1,$B99="",$C99="",$D99="",$E99="",$F99="",$J99="",$K99="",$L99&lt;=0,$G99&lt;0,$G99&gt;$L99,AND($S99="Paid",$H99="")),"REVIEW","OK"))</x:f>
      </x:c>
    </x:row>
    <x:row r="100">
      <x:c r="A100" s="46"/>
      <x:c r="B100" s="56"/>
      <x:c r="C100" s="46"/>
      <x:c r="D100" s="46"/>
      <x:c r="E100" s="46"/>
      <x:c r="F100" s="46"/>
      <x:c r="G100" s="58"/>
      <x:c r="H100" s="56"/>
      <x:c r="I100" s="46"/>
      <x:c r="J100" s="52" t="str">
        <x:f>IF($A100="","",IFERROR(VLOOKUP($C100,Setup!$J$7:$M$56,2,FALSE),""))</x:f>
      </x:c>
      <x:c r="K100" s="52" t="str">
        <x:f>IF($A100="","",IFERROR(VLOOKUP($C100,Setup!$J$7:$M$56,3,FALSE),""))</x:f>
      </x:c>
      <x:c r="L100" s="60" t="str">
        <x:f>IF($A100="","",SUMIF(Depletion!$A$7:$A$306,$A100,Depletion!$E$7:$E$306))</x:f>
      </x:c>
      <x:c r="M100" s="62" t="str">
        <x:f>IF($A100="","",SUMIF(Depletion!$A$7:$A$306,$A100,Depletion!$C$7:$C$306))</x:f>
      </x:c>
      <x:c r="N100" s="60" t="str">
        <x:f>IF($A100="","",SUMIF(Depletion!$A$7:$A$306,$A100,Depletion!$I$7:$I$306))</x:f>
      </x:c>
      <x:c r="O100" s="60" t="str">
        <x:f>IF($A100="","",$L100-$N100)</x:f>
      </x:c>
      <x:c r="P100" s="64" t="str">
        <x:f>IF($A100="","",IFERROR($O100/$L100,0))</x:f>
      </x:c>
      <x:c r="Q100" s="60" t="str">
        <x:f>IF($A100="","",MAX($L100-$G100,0))</x:f>
      </x:c>
      <x:c r="R100" s="66" t="str">
        <x:f>IF($A100="","",IFERROR($B100+VLOOKUP($F100,Setup!$Z$7:$AA$20,2,FALSE),""))</x:f>
      </x:c>
      <x:c r="S100" s="52" t="str">
        <x:f>IF($A100="","",IF($L100=0,"Draft",IF($Q100&lt;=0,"Paid",IF($G100&gt;0,"Partial","Unpaid"))))</x:f>
      </x:c>
      <x:c r="T100" s="52" t="str">
        <x:f>IF($A100="","",IF($Q100&lt;=0,0,IF($R100="","",MAX(TODAY()-$R100,0))))</x:f>
      </x:c>
      <x:c r="U100" s="52" t="str">
        <x:f>IF($A100="","",IF($S100="Paid","Closed",IF($R100="","Review",IF(TODAY()&lt;=$R100,"Current",IF($T100&lt;=30,"1-30",IF($T100&lt;=60,"31-60",IF($T100&lt;=90,"61-90","90+")))))))</x:f>
      </x:c>
      <x:c r="V100" s="66" t="str">
        <x:f>IF($A100="","",IF(AND($S100="Paid",$H100&lt;&gt;""),$H100,""))</x:f>
      </x:c>
      <x:c r="W100" s="52" t="str">
        <x:f>IF($A100="","",IF(OR(COUNTIF($A$7:$A$156,$A100)&gt;1,$B100="",$C100="",$D100="",$E100="",$F100="",$J100="",$K100="",$L100&lt;=0,$G100&lt;0,$G100&gt;$L100,AND($S100="Paid",$H100="")),"REVIEW","OK"))</x:f>
      </x:c>
    </x:row>
    <x:row r="101">
      <x:c r="A101" s="46"/>
      <x:c r="B101" s="56"/>
      <x:c r="C101" s="46"/>
      <x:c r="D101" s="46"/>
      <x:c r="E101" s="46"/>
      <x:c r="F101" s="46"/>
      <x:c r="G101" s="58"/>
      <x:c r="H101" s="56"/>
      <x:c r="I101" s="46"/>
      <x:c r="J101" s="52" t="str">
        <x:f>IF($A101="","",IFERROR(VLOOKUP($C101,Setup!$J$7:$M$56,2,FALSE),""))</x:f>
      </x:c>
      <x:c r="K101" s="52" t="str">
        <x:f>IF($A101="","",IFERROR(VLOOKUP($C101,Setup!$J$7:$M$56,3,FALSE),""))</x:f>
      </x:c>
      <x:c r="L101" s="60" t="str">
        <x:f>IF($A101="","",SUMIF(Depletion!$A$7:$A$306,$A101,Depletion!$E$7:$E$306))</x:f>
      </x:c>
      <x:c r="M101" s="62" t="str">
        <x:f>IF($A101="","",SUMIF(Depletion!$A$7:$A$306,$A101,Depletion!$C$7:$C$306))</x:f>
      </x:c>
      <x:c r="N101" s="60" t="str">
        <x:f>IF($A101="","",SUMIF(Depletion!$A$7:$A$306,$A101,Depletion!$I$7:$I$306))</x:f>
      </x:c>
      <x:c r="O101" s="60" t="str">
        <x:f>IF($A101="","",$L101-$N101)</x:f>
      </x:c>
      <x:c r="P101" s="64" t="str">
        <x:f>IF($A101="","",IFERROR($O101/$L101,0))</x:f>
      </x:c>
      <x:c r="Q101" s="60" t="str">
        <x:f>IF($A101="","",MAX($L101-$G101,0))</x:f>
      </x:c>
      <x:c r="R101" s="66" t="str">
        <x:f>IF($A101="","",IFERROR($B101+VLOOKUP($F101,Setup!$Z$7:$AA$20,2,FALSE),""))</x:f>
      </x:c>
      <x:c r="S101" s="52" t="str">
        <x:f>IF($A101="","",IF($L101=0,"Draft",IF($Q101&lt;=0,"Paid",IF($G101&gt;0,"Partial","Unpaid"))))</x:f>
      </x:c>
      <x:c r="T101" s="52" t="str">
        <x:f>IF($A101="","",IF($Q101&lt;=0,0,IF($R101="","",MAX(TODAY()-$R101,0))))</x:f>
      </x:c>
      <x:c r="U101" s="52" t="str">
        <x:f>IF($A101="","",IF($S101="Paid","Closed",IF($R101="","Review",IF(TODAY()&lt;=$R101,"Current",IF($T101&lt;=30,"1-30",IF($T101&lt;=60,"31-60",IF($T101&lt;=90,"61-90","90+")))))))</x:f>
      </x:c>
      <x:c r="V101" s="66" t="str">
        <x:f>IF($A101="","",IF(AND($S101="Paid",$H101&lt;&gt;""),$H101,""))</x:f>
      </x:c>
      <x:c r="W101" s="52" t="str">
        <x:f>IF($A101="","",IF(OR(COUNTIF($A$7:$A$156,$A101)&gt;1,$B101="",$C101="",$D101="",$E101="",$F101="",$J101="",$K101="",$L101&lt;=0,$G101&lt;0,$G101&gt;$L101,AND($S101="Paid",$H101="")),"REVIEW","OK"))</x:f>
      </x:c>
    </x:row>
    <x:row r="102">
      <x:c r="A102" s="46"/>
      <x:c r="B102" s="56"/>
      <x:c r="C102" s="46"/>
      <x:c r="D102" s="46"/>
      <x:c r="E102" s="46"/>
      <x:c r="F102" s="46"/>
      <x:c r="G102" s="58"/>
      <x:c r="H102" s="56"/>
      <x:c r="I102" s="46"/>
      <x:c r="J102" s="52" t="str">
        <x:f>IF($A102="","",IFERROR(VLOOKUP($C102,Setup!$J$7:$M$56,2,FALSE),""))</x:f>
      </x:c>
      <x:c r="K102" s="52" t="str">
        <x:f>IF($A102="","",IFERROR(VLOOKUP($C102,Setup!$J$7:$M$56,3,FALSE),""))</x:f>
      </x:c>
      <x:c r="L102" s="60" t="str">
        <x:f>IF($A102="","",SUMIF(Depletion!$A$7:$A$306,$A102,Depletion!$E$7:$E$306))</x:f>
      </x:c>
      <x:c r="M102" s="62" t="str">
        <x:f>IF($A102="","",SUMIF(Depletion!$A$7:$A$306,$A102,Depletion!$C$7:$C$306))</x:f>
      </x:c>
      <x:c r="N102" s="60" t="str">
        <x:f>IF($A102="","",SUMIF(Depletion!$A$7:$A$306,$A102,Depletion!$I$7:$I$306))</x:f>
      </x:c>
      <x:c r="O102" s="60" t="str">
        <x:f>IF($A102="","",$L102-$N102)</x:f>
      </x:c>
      <x:c r="P102" s="64" t="str">
        <x:f>IF($A102="","",IFERROR($O102/$L102,0))</x:f>
      </x:c>
      <x:c r="Q102" s="60" t="str">
        <x:f>IF($A102="","",MAX($L102-$G102,0))</x:f>
      </x:c>
      <x:c r="R102" s="66" t="str">
        <x:f>IF($A102="","",IFERROR($B102+VLOOKUP($F102,Setup!$Z$7:$AA$20,2,FALSE),""))</x:f>
      </x:c>
      <x:c r="S102" s="52" t="str">
        <x:f>IF($A102="","",IF($L102=0,"Draft",IF($Q102&lt;=0,"Paid",IF($G102&gt;0,"Partial","Unpaid"))))</x:f>
      </x:c>
      <x:c r="T102" s="52" t="str">
        <x:f>IF($A102="","",IF($Q102&lt;=0,0,IF($R102="","",MAX(TODAY()-$R102,0))))</x:f>
      </x:c>
      <x:c r="U102" s="52" t="str">
        <x:f>IF($A102="","",IF($S102="Paid","Closed",IF($R102="","Review",IF(TODAY()&lt;=$R102,"Current",IF($T102&lt;=30,"1-30",IF($T102&lt;=60,"31-60",IF($T102&lt;=90,"61-90","90+")))))))</x:f>
      </x:c>
      <x:c r="V102" s="66" t="str">
        <x:f>IF($A102="","",IF(AND($S102="Paid",$H102&lt;&gt;""),$H102,""))</x:f>
      </x:c>
      <x:c r="W102" s="52" t="str">
        <x:f>IF($A102="","",IF(OR(COUNTIF($A$7:$A$156,$A102)&gt;1,$B102="",$C102="",$D102="",$E102="",$F102="",$J102="",$K102="",$L102&lt;=0,$G102&lt;0,$G102&gt;$L102,AND($S102="Paid",$H102="")),"REVIEW","OK"))</x:f>
      </x:c>
    </x:row>
    <x:row r="103">
      <x:c r="A103" s="46"/>
      <x:c r="B103" s="56"/>
      <x:c r="C103" s="46"/>
      <x:c r="D103" s="46"/>
      <x:c r="E103" s="46"/>
      <x:c r="F103" s="46"/>
      <x:c r="G103" s="58"/>
      <x:c r="H103" s="56"/>
      <x:c r="I103" s="46"/>
      <x:c r="J103" s="52" t="str">
        <x:f>IF($A103="","",IFERROR(VLOOKUP($C103,Setup!$J$7:$M$56,2,FALSE),""))</x:f>
      </x:c>
      <x:c r="K103" s="52" t="str">
        <x:f>IF($A103="","",IFERROR(VLOOKUP($C103,Setup!$J$7:$M$56,3,FALSE),""))</x:f>
      </x:c>
      <x:c r="L103" s="60" t="str">
        <x:f>IF($A103="","",SUMIF(Depletion!$A$7:$A$306,$A103,Depletion!$E$7:$E$306))</x:f>
      </x:c>
      <x:c r="M103" s="62" t="str">
        <x:f>IF($A103="","",SUMIF(Depletion!$A$7:$A$306,$A103,Depletion!$C$7:$C$306))</x:f>
      </x:c>
      <x:c r="N103" s="60" t="str">
        <x:f>IF($A103="","",SUMIF(Depletion!$A$7:$A$306,$A103,Depletion!$I$7:$I$306))</x:f>
      </x:c>
      <x:c r="O103" s="60" t="str">
        <x:f>IF($A103="","",$L103-$N103)</x:f>
      </x:c>
      <x:c r="P103" s="64" t="str">
        <x:f>IF($A103="","",IFERROR($O103/$L103,0))</x:f>
      </x:c>
      <x:c r="Q103" s="60" t="str">
        <x:f>IF($A103="","",MAX($L103-$G103,0))</x:f>
      </x:c>
      <x:c r="R103" s="66" t="str">
        <x:f>IF($A103="","",IFERROR($B103+VLOOKUP($F103,Setup!$Z$7:$AA$20,2,FALSE),""))</x:f>
      </x:c>
      <x:c r="S103" s="52" t="str">
        <x:f>IF($A103="","",IF($L103=0,"Draft",IF($Q103&lt;=0,"Paid",IF($G103&gt;0,"Partial","Unpaid"))))</x:f>
      </x:c>
      <x:c r="T103" s="52" t="str">
        <x:f>IF($A103="","",IF($Q103&lt;=0,0,IF($R103="","",MAX(TODAY()-$R103,0))))</x:f>
      </x:c>
      <x:c r="U103" s="52" t="str">
        <x:f>IF($A103="","",IF($S103="Paid","Closed",IF($R103="","Review",IF(TODAY()&lt;=$R103,"Current",IF($T103&lt;=30,"1-30",IF($T103&lt;=60,"31-60",IF($T103&lt;=90,"61-90","90+")))))))</x:f>
      </x:c>
      <x:c r="V103" s="66" t="str">
        <x:f>IF($A103="","",IF(AND($S103="Paid",$H103&lt;&gt;""),$H103,""))</x:f>
      </x:c>
      <x:c r="W103" s="52" t="str">
        <x:f>IF($A103="","",IF(OR(COUNTIF($A$7:$A$156,$A103)&gt;1,$B103="",$C103="",$D103="",$E103="",$F103="",$J103="",$K103="",$L103&lt;=0,$G103&lt;0,$G103&gt;$L103,AND($S103="Paid",$H103="")),"REVIEW","OK"))</x:f>
      </x:c>
    </x:row>
    <x:row r="104">
      <x:c r="A104" s="46"/>
      <x:c r="B104" s="56"/>
      <x:c r="C104" s="46"/>
      <x:c r="D104" s="46"/>
      <x:c r="E104" s="46"/>
      <x:c r="F104" s="46"/>
      <x:c r="G104" s="58"/>
      <x:c r="H104" s="56"/>
      <x:c r="I104" s="46"/>
      <x:c r="J104" s="52" t="str">
        <x:f>IF($A104="","",IFERROR(VLOOKUP($C104,Setup!$J$7:$M$56,2,FALSE),""))</x:f>
      </x:c>
      <x:c r="K104" s="52" t="str">
        <x:f>IF($A104="","",IFERROR(VLOOKUP($C104,Setup!$J$7:$M$56,3,FALSE),""))</x:f>
      </x:c>
      <x:c r="L104" s="60" t="str">
        <x:f>IF($A104="","",SUMIF(Depletion!$A$7:$A$306,$A104,Depletion!$E$7:$E$306))</x:f>
      </x:c>
      <x:c r="M104" s="62" t="str">
        <x:f>IF($A104="","",SUMIF(Depletion!$A$7:$A$306,$A104,Depletion!$C$7:$C$306))</x:f>
      </x:c>
      <x:c r="N104" s="60" t="str">
        <x:f>IF($A104="","",SUMIF(Depletion!$A$7:$A$306,$A104,Depletion!$I$7:$I$306))</x:f>
      </x:c>
      <x:c r="O104" s="60" t="str">
        <x:f>IF($A104="","",$L104-$N104)</x:f>
      </x:c>
      <x:c r="P104" s="64" t="str">
        <x:f>IF($A104="","",IFERROR($O104/$L104,0))</x:f>
      </x:c>
      <x:c r="Q104" s="60" t="str">
        <x:f>IF($A104="","",MAX($L104-$G104,0))</x:f>
      </x:c>
      <x:c r="R104" s="66" t="str">
        <x:f>IF($A104="","",IFERROR($B104+VLOOKUP($F104,Setup!$Z$7:$AA$20,2,FALSE),""))</x:f>
      </x:c>
      <x:c r="S104" s="52" t="str">
        <x:f>IF($A104="","",IF($L104=0,"Draft",IF($Q104&lt;=0,"Paid",IF($G104&gt;0,"Partial","Unpaid"))))</x:f>
      </x:c>
      <x:c r="T104" s="52" t="str">
        <x:f>IF($A104="","",IF($Q104&lt;=0,0,IF($R104="","",MAX(TODAY()-$R104,0))))</x:f>
      </x:c>
      <x:c r="U104" s="52" t="str">
        <x:f>IF($A104="","",IF($S104="Paid","Closed",IF($R104="","Review",IF(TODAY()&lt;=$R104,"Current",IF($T104&lt;=30,"1-30",IF($T104&lt;=60,"31-60",IF($T104&lt;=90,"61-90","90+")))))))</x:f>
      </x:c>
      <x:c r="V104" s="66" t="str">
        <x:f>IF($A104="","",IF(AND($S104="Paid",$H104&lt;&gt;""),$H104,""))</x:f>
      </x:c>
      <x:c r="W104" s="52" t="str">
        <x:f>IF($A104="","",IF(OR(COUNTIF($A$7:$A$156,$A104)&gt;1,$B104="",$C104="",$D104="",$E104="",$F104="",$J104="",$K104="",$L104&lt;=0,$G104&lt;0,$G104&gt;$L104,AND($S104="Paid",$H104="")),"REVIEW","OK"))</x:f>
      </x:c>
    </x:row>
    <x:row r="105">
      <x:c r="A105" s="46"/>
      <x:c r="B105" s="56"/>
      <x:c r="C105" s="46"/>
      <x:c r="D105" s="46"/>
      <x:c r="E105" s="46"/>
      <x:c r="F105" s="46"/>
      <x:c r="G105" s="58"/>
      <x:c r="H105" s="56"/>
      <x:c r="I105" s="46"/>
      <x:c r="J105" s="52" t="str">
        <x:f>IF($A105="","",IFERROR(VLOOKUP($C105,Setup!$J$7:$M$56,2,FALSE),""))</x:f>
      </x:c>
      <x:c r="K105" s="52" t="str">
        <x:f>IF($A105="","",IFERROR(VLOOKUP($C105,Setup!$J$7:$M$56,3,FALSE),""))</x:f>
      </x:c>
      <x:c r="L105" s="60" t="str">
        <x:f>IF($A105="","",SUMIF(Depletion!$A$7:$A$306,$A105,Depletion!$E$7:$E$306))</x:f>
      </x:c>
      <x:c r="M105" s="62" t="str">
        <x:f>IF($A105="","",SUMIF(Depletion!$A$7:$A$306,$A105,Depletion!$C$7:$C$306))</x:f>
      </x:c>
      <x:c r="N105" s="60" t="str">
        <x:f>IF($A105="","",SUMIF(Depletion!$A$7:$A$306,$A105,Depletion!$I$7:$I$306))</x:f>
      </x:c>
      <x:c r="O105" s="60" t="str">
        <x:f>IF($A105="","",$L105-$N105)</x:f>
      </x:c>
      <x:c r="P105" s="64" t="str">
        <x:f>IF($A105="","",IFERROR($O105/$L105,0))</x:f>
      </x:c>
      <x:c r="Q105" s="60" t="str">
        <x:f>IF($A105="","",MAX($L105-$G105,0))</x:f>
      </x:c>
      <x:c r="R105" s="66" t="str">
        <x:f>IF($A105="","",IFERROR($B105+VLOOKUP($F105,Setup!$Z$7:$AA$20,2,FALSE),""))</x:f>
      </x:c>
      <x:c r="S105" s="52" t="str">
        <x:f>IF($A105="","",IF($L105=0,"Draft",IF($Q105&lt;=0,"Paid",IF($G105&gt;0,"Partial","Unpaid"))))</x:f>
      </x:c>
      <x:c r="T105" s="52" t="str">
        <x:f>IF($A105="","",IF($Q105&lt;=0,0,IF($R105="","",MAX(TODAY()-$R105,0))))</x:f>
      </x:c>
      <x:c r="U105" s="52" t="str">
        <x:f>IF($A105="","",IF($S105="Paid","Closed",IF($R105="","Review",IF(TODAY()&lt;=$R105,"Current",IF($T105&lt;=30,"1-30",IF($T105&lt;=60,"31-60",IF($T105&lt;=90,"61-90","90+")))))))</x:f>
      </x:c>
      <x:c r="V105" s="66" t="str">
        <x:f>IF($A105="","",IF(AND($S105="Paid",$H105&lt;&gt;""),$H105,""))</x:f>
      </x:c>
      <x:c r="W105" s="52" t="str">
        <x:f>IF($A105="","",IF(OR(COUNTIF($A$7:$A$156,$A105)&gt;1,$B105="",$C105="",$D105="",$E105="",$F105="",$J105="",$K105="",$L105&lt;=0,$G105&lt;0,$G105&gt;$L105,AND($S105="Paid",$H105="")),"REVIEW","OK"))</x:f>
      </x:c>
    </x:row>
    <x:row r="106">
      <x:c r="A106" s="46"/>
      <x:c r="B106" s="56"/>
      <x:c r="C106" s="46"/>
      <x:c r="D106" s="46"/>
      <x:c r="E106" s="46"/>
      <x:c r="F106" s="46"/>
      <x:c r="G106" s="58"/>
      <x:c r="H106" s="56"/>
      <x:c r="I106" s="46"/>
      <x:c r="J106" s="52" t="str">
        <x:f>IF($A106="","",IFERROR(VLOOKUP($C106,Setup!$J$7:$M$56,2,FALSE),""))</x:f>
      </x:c>
      <x:c r="K106" s="52" t="str">
        <x:f>IF($A106="","",IFERROR(VLOOKUP($C106,Setup!$J$7:$M$56,3,FALSE),""))</x:f>
      </x:c>
      <x:c r="L106" s="60" t="str">
        <x:f>IF($A106="","",SUMIF(Depletion!$A$7:$A$306,$A106,Depletion!$E$7:$E$306))</x:f>
      </x:c>
      <x:c r="M106" s="62" t="str">
        <x:f>IF($A106="","",SUMIF(Depletion!$A$7:$A$306,$A106,Depletion!$C$7:$C$306))</x:f>
      </x:c>
      <x:c r="N106" s="60" t="str">
        <x:f>IF($A106="","",SUMIF(Depletion!$A$7:$A$306,$A106,Depletion!$I$7:$I$306))</x:f>
      </x:c>
      <x:c r="O106" s="60" t="str">
        <x:f>IF($A106="","",$L106-$N106)</x:f>
      </x:c>
      <x:c r="P106" s="64" t="str">
        <x:f>IF($A106="","",IFERROR($O106/$L106,0))</x:f>
      </x:c>
      <x:c r="Q106" s="60" t="str">
        <x:f>IF($A106="","",MAX($L106-$G106,0))</x:f>
      </x:c>
      <x:c r="R106" s="66" t="str">
        <x:f>IF($A106="","",IFERROR($B106+VLOOKUP($F106,Setup!$Z$7:$AA$20,2,FALSE),""))</x:f>
      </x:c>
      <x:c r="S106" s="52" t="str">
        <x:f>IF($A106="","",IF($L106=0,"Draft",IF($Q106&lt;=0,"Paid",IF($G106&gt;0,"Partial","Unpaid"))))</x:f>
      </x:c>
      <x:c r="T106" s="52" t="str">
        <x:f>IF($A106="","",IF($Q106&lt;=0,0,IF($R106="","",MAX(TODAY()-$R106,0))))</x:f>
      </x:c>
      <x:c r="U106" s="52" t="str">
        <x:f>IF($A106="","",IF($S106="Paid","Closed",IF($R106="","Review",IF(TODAY()&lt;=$R106,"Current",IF($T106&lt;=30,"1-30",IF($T106&lt;=60,"31-60",IF($T106&lt;=90,"61-90","90+")))))))</x:f>
      </x:c>
      <x:c r="V106" s="66" t="str">
        <x:f>IF($A106="","",IF(AND($S106="Paid",$H106&lt;&gt;""),$H106,""))</x:f>
      </x:c>
      <x:c r="W106" s="52" t="str">
        <x:f>IF($A106="","",IF(OR(COUNTIF($A$7:$A$156,$A106)&gt;1,$B106="",$C106="",$D106="",$E106="",$F106="",$J106="",$K106="",$L106&lt;=0,$G106&lt;0,$G106&gt;$L106,AND($S106="Paid",$H106="")),"REVIEW","OK"))</x:f>
      </x:c>
    </x:row>
    <x:row r="107">
      <x:c r="A107" s="46"/>
      <x:c r="B107" s="56"/>
      <x:c r="C107" s="46"/>
      <x:c r="D107" s="46"/>
      <x:c r="E107" s="46"/>
      <x:c r="F107" s="46"/>
      <x:c r="G107" s="58"/>
      <x:c r="H107" s="56"/>
      <x:c r="I107" s="46"/>
      <x:c r="J107" s="52" t="str">
        <x:f>IF($A107="","",IFERROR(VLOOKUP($C107,Setup!$J$7:$M$56,2,FALSE),""))</x:f>
      </x:c>
      <x:c r="K107" s="52" t="str">
        <x:f>IF($A107="","",IFERROR(VLOOKUP($C107,Setup!$J$7:$M$56,3,FALSE),""))</x:f>
      </x:c>
      <x:c r="L107" s="60" t="str">
        <x:f>IF($A107="","",SUMIF(Depletion!$A$7:$A$306,$A107,Depletion!$E$7:$E$306))</x:f>
      </x:c>
      <x:c r="M107" s="62" t="str">
        <x:f>IF($A107="","",SUMIF(Depletion!$A$7:$A$306,$A107,Depletion!$C$7:$C$306))</x:f>
      </x:c>
      <x:c r="N107" s="60" t="str">
        <x:f>IF($A107="","",SUMIF(Depletion!$A$7:$A$306,$A107,Depletion!$I$7:$I$306))</x:f>
      </x:c>
      <x:c r="O107" s="60" t="str">
        <x:f>IF($A107="","",$L107-$N107)</x:f>
      </x:c>
      <x:c r="P107" s="64" t="str">
        <x:f>IF($A107="","",IFERROR($O107/$L107,0))</x:f>
      </x:c>
      <x:c r="Q107" s="60" t="str">
        <x:f>IF($A107="","",MAX($L107-$G107,0))</x:f>
      </x:c>
      <x:c r="R107" s="66" t="str">
        <x:f>IF($A107="","",IFERROR($B107+VLOOKUP($F107,Setup!$Z$7:$AA$20,2,FALSE),""))</x:f>
      </x:c>
      <x:c r="S107" s="52" t="str">
        <x:f>IF($A107="","",IF($L107=0,"Draft",IF($Q107&lt;=0,"Paid",IF($G107&gt;0,"Partial","Unpaid"))))</x:f>
      </x:c>
      <x:c r="T107" s="52" t="str">
        <x:f>IF($A107="","",IF($Q107&lt;=0,0,IF($R107="","",MAX(TODAY()-$R107,0))))</x:f>
      </x:c>
      <x:c r="U107" s="52" t="str">
        <x:f>IF($A107="","",IF($S107="Paid","Closed",IF($R107="","Review",IF(TODAY()&lt;=$R107,"Current",IF($T107&lt;=30,"1-30",IF($T107&lt;=60,"31-60",IF($T107&lt;=90,"61-90","90+")))))))</x:f>
      </x:c>
      <x:c r="V107" s="66" t="str">
        <x:f>IF($A107="","",IF(AND($S107="Paid",$H107&lt;&gt;""),$H107,""))</x:f>
      </x:c>
      <x:c r="W107" s="52" t="str">
        <x:f>IF($A107="","",IF(OR(COUNTIF($A$7:$A$156,$A107)&gt;1,$B107="",$C107="",$D107="",$E107="",$F107="",$J107="",$K107="",$L107&lt;=0,$G107&lt;0,$G107&gt;$L107,AND($S107="Paid",$H107="")),"REVIEW","OK"))</x:f>
      </x:c>
    </x:row>
    <x:row r="108">
      <x:c r="A108" s="46"/>
      <x:c r="B108" s="56"/>
      <x:c r="C108" s="46"/>
      <x:c r="D108" s="46"/>
      <x:c r="E108" s="46"/>
      <x:c r="F108" s="46"/>
      <x:c r="G108" s="58"/>
      <x:c r="H108" s="56"/>
      <x:c r="I108" s="46"/>
      <x:c r="J108" s="52" t="str">
        <x:f>IF($A108="","",IFERROR(VLOOKUP($C108,Setup!$J$7:$M$56,2,FALSE),""))</x:f>
      </x:c>
      <x:c r="K108" s="52" t="str">
        <x:f>IF($A108="","",IFERROR(VLOOKUP($C108,Setup!$J$7:$M$56,3,FALSE),""))</x:f>
      </x:c>
      <x:c r="L108" s="60" t="str">
        <x:f>IF($A108="","",SUMIF(Depletion!$A$7:$A$306,$A108,Depletion!$E$7:$E$306))</x:f>
      </x:c>
      <x:c r="M108" s="62" t="str">
        <x:f>IF($A108="","",SUMIF(Depletion!$A$7:$A$306,$A108,Depletion!$C$7:$C$306))</x:f>
      </x:c>
      <x:c r="N108" s="60" t="str">
        <x:f>IF($A108="","",SUMIF(Depletion!$A$7:$A$306,$A108,Depletion!$I$7:$I$306))</x:f>
      </x:c>
      <x:c r="O108" s="60" t="str">
        <x:f>IF($A108="","",$L108-$N108)</x:f>
      </x:c>
      <x:c r="P108" s="64" t="str">
        <x:f>IF($A108="","",IFERROR($O108/$L108,0))</x:f>
      </x:c>
      <x:c r="Q108" s="60" t="str">
        <x:f>IF($A108="","",MAX($L108-$G108,0))</x:f>
      </x:c>
      <x:c r="R108" s="66" t="str">
        <x:f>IF($A108="","",IFERROR($B108+VLOOKUP($F108,Setup!$Z$7:$AA$20,2,FALSE),""))</x:f>
      </x:c>
      <x:c r="S108" s="52" t="str">
        <x:f>IF($A108="","",IF($L108=0,"Draft",IF($Q108&lt;=0,"Paid",IF($G108&gt;0,"Partial","Unpaid"))))</x:f>
      </x:c>
      <x:c r="T108" s="52" t="str">
        <x:f>IF($A108="","",IF($Q108&lt;=0,0,IF($R108="","",MAX(TODAY()-$R108,0))))</x:f>
      </x:c>
      <x:c r="U108" s="52" t="str">
        <x:f>IF($A108="","",IF($S108="Paid","Closed",IF($R108="","Review",IF(TODAY()&lt;=$R108,"Current",IF($T108&lt;=30,"1-30",IF($T108&lt;=60,"31-60",IF($T108&lt;=90,"61-90","90+")))))))</x:f>
      </x:c>
      <x:c r="V108" s="66" t="str">
        <x:f>IF($A108="","",IF(AND($S108="Paid",$H108&lt;&gt;""),$H108,""))</x:f>
      </x:c>
      <x:c r="W108" s="52" t="str">
        <x:f>IF($A108="","",IF(OR(COUNTIF($A$7:$A$156,$A108)&gt;1,$B108="",$C108="",$D108="",$E108="",$F108="",$J108="",$K108="",$L108&lt;=0,$G108&lt;0,$G108&gt;$L108,AND($S108="Paid",$H108="")),"REVIEW","OK"))</x:f>
      </x:c>
    </x:row>
    <x:row r="109">
      <x:c r="A109" s="46"/>
      <x:c r="B109" s="56"/>
      <x:c r="C109" s="46"/>
      <x:c r="D109" s="46"/>
      <x:c r="E109" s="46"/>
      <x:c r="F109" s="46"/>
      <x:c r="G109" s="58"/>
      <x:c r="H109" s="56"/>
      <x:c r="I109" s="46"/>
      <x:c r="J109" s="52" t="str">
        <x:f>IF($A109="","",IFERROR(VLOOKUP($C109,Setup!$J$7:$M$56,2,FALSE),""))</x:f>
      </x:c>
      <x:c r="K109" s="52" t="str">
        <x:f>IF($A109="","",IFERROR(VLOOKUP($C109,Setup!$J$7:$M$56,3,FALSE),""))</x:f>
      </x:c>
      <x:c r="L109" s="60" t="str">
        <x:f>IF($A109="","",SUMIF(Depletion!$A$7:$A$306,$A109,Depletion!$E$7:$E$306))</x:f>
      </x:c>
      <x:c r="M109" s="62" t="str">
        <x:f>IF($A109="","",SUMIF(Depletion!$A$7:$A$306,$A109,Depletion!$C$7:$C$306))</x:f>
      </x:c>
      <x:c r="N109" s="60" t="str">
        <x:f>IF($A109="","",SUMIF(Depletion!$A$7:$A$306,$A109,Depletion!$I$7:$I$306))</x:f>
      </x:c>
      <x:c r="O109" s="60" t="str">
        <x:f>IF($A109="","",$L109-$N109)</x:f>
      </x:c>
      <x:c r="P109" s="64" t="str">
        <x:f>IF($A109="","",IFERROR($O109/$L109,0))</x:f>
      </x:c>
      <x:c r="Q109" s="60" t="str">
        <x:f>IF($A109="","",MAX($L109-$G109,0))</x:f>
      </x:c>
      <x:c r="R109" s="66" t="str">
        <x:f>IF($A109="","",IFERROR($B109+VLOOKUP($F109,Setup!$Z$7:$AA$20,2,FALSE),""))</x:f>
      </x:c>
      <x:c r="S109" s="52" t="str">
        <x:f>IF($A109="","",IF($L109=0,"Draft",IF($Q109&lt;=0,"Paid",IF($G109&gt;0,"Partial","Unpaid"))))</x:f>
      </x:c>
      <x:c r="T109" s="52" t="str">
        <x:f>IF($A109="","",IF($Q109&lt;=0,0,IF($R109="","",MAX(TODAY()-$R109,0))))</x:f>
      </x:c>
      <x:c r="U109" s="52" t="str">
        <x:f>IF($A109="","",IF($S109="Paid","Closed",IF($R109="","Review",IF(TODAY()&lt;=$R109,"Current",IF($T109&lt;=30,"1-30",IF($T109&lt;=60,"31-60",IF($T109&lt;=90,"61-90","90+")))))))</x:f>
      </x:c>
      <x:c r="V109" s="66" t="str">
        <x:f>IF($A109="","",IF(AND($S109="Paid",$H109&lt;&gt;""),$H109,""))</x:f>
      </x:c>
      <x:c r="W109" s="52" t="str">
        <x:f>IF($A109="","",IF(OR(COUNTIF($A$7:$A$156,$A109)&gt;1,$B109="",$C109="",$D109="",$E109="",$F109="",$J109="",$K109="",$L109&lt;=0,$G109&lt;0,$G109&gt;$L109,AND($S109="Paid",$H109="")),"REVIEW","OK"))</x:f>
      </x:c>
    </x:row>
    <x:row r="110">
      <x:c r="A110" s="46"/>
      <x:c r="B110" s="56"/>
      <x:c r="C110" s="46"/>
      <x:c r="D110" s="46"/>
      <x:c r="E110" s="46"/>
      <x:c r="F110" s="46"/>
      <x:c r="G110" s="58"/>
      <x:c r="H110" s="56"/>
      <x:c r="I110" s="46"/>
      <x:c r="J110" s="52" t="str">
        <x:f>IF($A110="","",IFERROR(VLOOKUP($C110,Setup!$J$7:$M$56,2,FALSE),""))</x:f>
      </x:c>
      <x:c r="K110" s="52" t="str">
        <x:f>IF($A110="","",IFERROR(VLOOKUP($C110,Setup!$J$7:$M$56,3,FALSE),""))</x:f>
      </x:c>
      <x:c r="L110" s="60" t="str">
        <x:f>IF($A110="","",SUMIF(Depletion!$A$7:$A$306,$A110,Depletion!$E$7:$E$306))</x:f>
      </x:c>
      <x:c r="M110" s="62" t="str">
        <x:f>IF($A110="","",SUMIF(Depletion!$A$7:$A$306,$A110,Depletion!$C$7:$C$306))</x:f>
      </x:c>
      <x:c r="N110" s="60" t="str">
        <x:f>IF($A110="","",SUMIF(Depletion!$A$7:$A$306,$A110,Depletion!$I$7:$I$306))</x:f>
      </x:c>
      <x:c r="O110" s="60" t="str">
        <x:f>IF($A110="","",$L110-$N110)</x:f>
      </x:c>
      <x:c r="P110" s="64" t="str">
        <x:f>IF($A110="","",IFERROR($O110/$L110,0))</x:f>
      </x:c>
      <x:c r="Q110" s="60" t="str">
        <x:f>IF($A110="","",MAX($L110-$G110,0))</x:f>
      </x:c>
      <x:c r="R110" s="66" t="str">
        <x:f>IF($A110="","",IFERROR($B110+VLOOKUP($F110,Setup!$Z$7:$AA$20,2,FALSE),""))</x:f>
      </x:c>
      <x:c r="S110" s="52" t="str">
        <x:f>IF($A110="","",IF($L110=0,"Draft",IF($Q110&lt;=0,"Paid",IF($G110&gt;0,"Partial","Unpaid"))))</x:f>
      </x:c>
      <x:c r="T110" s="52" t="str">
        <x:f>IF($A110="","",IF($Q110&lt;=0,0,IF($R110="","",MAX(TODAY()-$R110,0))))</x:f>
      </x:c>
      <x:c r="U110" s="52" t="str">
        <x:f>IF($A110="","",IF($S110="Paid","Closed",IF($R110="","Review",IF(TODAY()&lt;=$R110,"Current",IF($T110&lt;=30,"1-30",IF($T110&lt;=60,"31-60",IF($T110&lt;=90,"61-90","90+")))))))</x:f>
      </x:c>
      <x:c r="V110" s="66" t="str">
        <x:f>IF($A110="","",IF(AND($S110="Paid",$H110&lt;&gt;""),$H110,""))</x:f>
      </x:c>
      <x:c r="W110" s="52" t="str">
        <x:f>IF($A110="","",IF(OR(COUNTIF($A$7:$A$156,$A110)&gt;1,$B110="",$C110="",$D110="",$E110="",$F110="",$J110="",$K110="",$L110&lt;=0,$G110&lt;0,$G110&gt;$L110,AND($S110="Paid",$H110="")),"REVIEW","OK"))</x:f>
      </x:c>
    </x:row>
    <x:row r="111">
      <x:c r="A111" s="46"/>
      <x:c r="B111" s="56"/>
      <x:c r="C111" s="46"/>
      <x:c r="D111" s="46"/>
      <x:c r="E111" s="46"/>
      <x:c r="F111" s="46"/>
      <x:c r="G111" s="58"/>
      <x:c r="H111" s="56"/>
      <x:c r="I111" s="46"/>
      <x:c r="J111" s="52" t="str">
        <x:f>IF($A111="","",IFERROR(VLOOKUP($C111,Setup!$J$7:$M$56,2,FALSE),""))</x:f>
      </x:c>
      <x:c r="K111" s="52" t="str">
        <x:f>IF($A111="","",IFERROR(VLOOKUP($C111,Setup!$J$7:$M$56,3,FALSE),""))</x:f>
      </x:c>
      <x:c r="L111" s="60" t="str">
        <x:f>IF($A111="","",SUMIF(Depletion!$A$7:$A$306,$A111,Depletion!$E$7:$E$306))</x:f>
      </x:c>
      <x:c r="M111" s="62" t="str">
        <x:f>IF($A111="","",SUMIF(Depletion!$A$7:$A$306,$A111,Depletion!$C$7:$C$306))</x:f>
      </x:c>
      <x:c r="N111" s="60" t="str">
        <x:f>IF($A111="","",SUMIF(Depletion!$A$7:$A$306,$A111,Depletion!$I$7:$I$306))</x:f>
      </x:c>
      <x:c r="O111" s="60" t="str">
        <x:f>IF($A111="","",$L111-$N111)</x:f>
      </x:c>
      <x:c r="P111" s="64" t="str">
        <x:f>IF($A111="","",IFERROR($O111/$L111,0))</x:f>
      </x:c>
      <x:c r="Q111" s="60" t="str">
        <x:f>IF($A111="","",MAX($L111-$G111,0))</x:f>
      </x:c>
      <x:c r="R111" s="66" t="str">
        <x:f>IF($A111="","",IFERROR($B111+VLOOKUP($F111,Setup!$Z$7:$AA$20,2,FALSE),""))</x:f>
      </x:c>
      <x:c r="S111" s="52" t="str">
        <x:f>IF($A111="","",IF($L111=0,"Draft",IF($Q111&lt;=0,"Paid",IF($G111&gt;0,"Partial","Unpaid"))))</x:f>
      </x:c>
      <x:c r="T111" s="52" t="str">
        <x:f>IF($A111="","",IF($Q111&lt;=0,0,IF($R111="","",MAX(TODAY()-$R111,0))))</x:f>
      </x:c>
      <x:c r="U111" s="52" t="str">
        <x:f>IF($A111="","",IF($S111="Paid","Closed",IF($R111="","Review",IF(TODAY()&lt;=$R111,"Current",IF($T111&lt;=30,"1-30",IF($T111&lt;=60,"31-60",IF($T111&lt;=90,"61-90","90+")))))))</x:f>
      </x:c>
      <x:c r="V111" s="66" t="str">
        <x:f>IF($A111="","",IF(AND($S111="Paid",$H111&lt;&gt;""),$H111,""))</x:f>
      </x:c>
      <x:c r="W111" s="52" t="str">
        <x:f>IF($A111="","",IF(OR(COUNTIF($A$7:$A$156,$A111)&gt;1,$B111="",$C111="",$D111="",$E111="",$F111="",$J111="",$K111="",$L111&lt;=0,$G111&lt;0,$G111&gt;$L111,AND($S111="Paid",$H111="")),"REVIEW","OK"))</x:f>
      </x:c>
    </x:row>
    <x:row r="112">
      <x:c r="A112" s="46"/>
      <x:c r="B112" s="56"/>
      <x:c r="C112" s="46"/>
      <x:c r="D112" s="46"/>
      <x:c r="E112" s="46"/>
      <x:c r="F112" s="46"/>
      <x:c r="G112" s="58"/>
      <x:c r="H112" s="56"/>
      <x:c r="I112" s="46"/>
      <x:c r="J112" s="52" t="str">
        <x:f>IF($A112="","",IFERROR(VLOOKUP($C112,Setup!$J$7:$M$56,2,FALSE),""))</x:f>
      </x:c>
      <x:c r="K112" s="52" t="str">
        <x:f>IF($A112="","",IFERROR(VLOOKUP($C112,Setup!$J$7:$M$56,3,FALSE),""))</x:f>
      </x:c>
      <x:c r="L112" s="60" t="str">
        <x:f>IF($A112="","",SUMIF(Depletion!$A$7:$A$306,$A112,Depletion!$E$7:$E$306))</x:f>
      </x:c>
      <x:c r="M112" s="62" t="str">
        <x:f>IF($A112="","",SUMIF(Depletion!$A$7:$A$306,$A112,Depletion!$C$7:$C$306))</x:f>
      </x:c>
      <x:c r="N112" s="60" t="str">
        <x:f>IF($A112="","",SUMIF(Depletion!$A$7:$A$306,$A112,Depletion!$I$7:$I$306))</x:f>
      </x:c>
      <x:c r="O112" s="60" t="str">
        <x:f>IF($A112="","",$L112-$N112)</x:f>
      </x:c>
      <x:c r="P112" s="64" t="str">
        <x:f>IF($A112="","",IFERROR($O112/$L112,0))</x:f>
      </x:c>
      <x:c r="Q112" s="60" t="str">
        <x:f>IF($A112="","",MAX($L112-$G112,0))</x:f>
      </x:c>
      <x:c r="R112" s="66" t="str">
        <x:f>IF($A112="","",IFERROR($B112+VLOOKUP($F112,Setup!$Z$7:$AA$20,2,FALSE),""))</x:f>
      </x:c>
      <x:c r="S112" s="52" t="str">
        <x:f>IF($A112="","",IF($L112=0,"Draft",IF($Q112&lt;=0,"Paid",IF($G112&gt;0,"Partial","Unpaid"))))</x:f>
      </x:c>
      <x:c r="T112" s="52" t="str">
        <x:f>IF($A112="","",IF($Q112&lt;=0,0,IF($R112="","",MAX(TODAY()-$R112,0))))</x:f>
      </x:c>
      <x:c r="U112" s="52" t="str">
        <x:f>IF($A112="","",IF($S112="Paid","Closed",IF($R112="","Review",IF(TODAY()&lt;=$R112,"Current",IF($T112&lt;=30,"1-30",IF($T112&lt;=60,"31-60",IF($T112&lt;=90,"61-90","90+")))))))</x:f>
      </x:c>
      <x:c r="V112" s="66" t="str">
        <x:f>IF($A112="","",IF(AND($S112="Paid",$H112&lt;&gt;""),$H112,""))</x:f>
      </x:c>
      <x:c r="W112" s="52" t="str">
        <x:f>IF($A112="","",IF(OR(COUNTIF($A$7:$A$156,$A112)&gt;1,$B112="",$C112="",$D112="",$E112="",$F112="",$J112="",$K112="",$L112&lt;=0,$G112&lt;0,$G112&gt;$L112,AND($S112="Paid",$H112="")),"REVIEW","OK"))</x:f>
      </x:c>
    </x:row>
    <x:row r="113">
      <x:c r="A113" s="46"/>
      <x:c r="B113" s="56"/>
      <x:c r="C113" s="46"/>
      <x:c r="D113" s="46"/>
      <x:c r="E113" s="46"/>
      <x:c r="F113" s="46"/>
      <x:c r="G113" s="58"/>
      <x:c r="H113" s="56"/>
      <x:c r="I113" s="46"/>
      <x:c r="J113" s="52" t="str">
        <x:f>IF($A113="","",IFERROR(VLOOKUP($C113,Setup!$J$7:$M$56,2,FALSE),""))</x:f>
      </x:c>
      <x:c r="K113" s="52" t="str">
        <x:f>IF($A113="","",IFERROR(VLOOKUP($C113,Setup!$J$7:$M$56,3,FALSE),""))</x:f>
      </x:c>
      <x:c r="L113" s="60" t="str">
        <x:f>IF($A113="","",SUMIF(Depletion!$A$7:$A$306,$A113,Depletion!$E$7:$E$306))</x:f>
      </x:c>
      <x:c r="M113" s="62" t="str">
        <x:f>IF($A113="","",SUMIF(Depletion!$A$7:$A$306,$A113,Depletion!$C$7:$C$306))</x:f>
      </x:c>
      <x:c r="N113" s="60" t="str">
        <x:f>IF($A113="","",SUMIF(Depletion!$A$7:$A$306,$A113,Depletion!$I$7:$I$306))</x:f>
      </x:c>
      <x:c r="O113" s="60" t="str">
        <x:f>IF($A113="","",$L113-$N113)</x:f>
      </x:c>
      <x:c r="P113" s="64" t="str">
        <x:f>IF($A113="","",IFERROR($O113/$L113,0))</x:f>
      </x:c>
      <x:c r="Q113" s="60" t="str">
        <x:f>IF($A113="","",MAX($L113-$G113,0))</x:f>
      </x:c>
      <x:c r="R113" s="66" t="str">
        <x:f>IF($A113="","",IFERROR($B113+VLOOKUP($F113,Setup!$Z$7:$AA$20,2,FALSE),""))</x:f>
      </x:c>
      <x:c r="S113" s="52" t="str">
        <x:f>IF($A113="","",IF($L113=0,"Draft",IF($Q113&lt;=0,"Paid",IF($G113&gt;0,"Partial","Unpaid"))))</x:f>
      </x:c>
      <x:c r="T113" s="52" t="str">
        <x:f>IF($A113="","",IF($Q113&lt;=0,0,IF($R113="","",MAX(TODAY()-$R113,0))))</x:f>
      </x:c>
      <x:c r="U113" s="52" t="str">
        <x:f>IF($A113="","",IF($S113="Paid","Closed",IF($R113="","Review",IF(TODAY()&lt;=$R113,"Current",IF($T113&lt;=30,"1-30",IF($T113&lt;=60,"31-60",IF($T113&lt;=90,"61-90","90+")))))))</x:f>
      </x:c>
      <x:c r="V113" s="66" t="str">
        <x:f>IF($A113="","",IF(AND($S113="Paid",$H113&lt;&gt;""),$H113,""))</x:f>
      </x:c>
      <x:c r="W113" s="52" t="str">
        <x:f>IF($A113="","",IF(OR(COUNTIF($A$7:$A$156,$A113)&gt;1,$B113="",$C113="",$D113="",$E113="",$F113="",$J113="",$K113="",$L113&lt;=0,$G113&lt;0,$G113&gt;$L113,AND($S113="Paid",$H113="")),"REVIEW","OK"))</x:f>
      </x:c>
    </x:row>
    <x:row r="114">
      <x:c r="A114" s="46"/>
      <x:c r="B114" s="56"/>
      <x:c r="C114" s="46"/>
      <x:c r="D114" s="46"/>
      <x:c r="E114" s="46"/>
      <x:c r="F114" s="46"/>
      <x:c r="G114" s="58"/>
      <x:c r="H114" s="56"/>
      <x:c r="I114" s="46"/>
      <x:c r="J114" s="52" t="str">
        <x:f>IF($A114="","",IFERROR(VLOOKUP($C114,Setup!$J$7:$M$56,2,FALSE),""))</x:f>
      </x:c>
      <x:c r="K114" s="52" t="str">
        <x:f>IF($A114="","",IFERROR(VLOOKUP($C114,Setup!$J$7:$M$56,3,FALSE),""))</x:f>
      </x:c>
      <x:c r="L114" s="60" t="str">
        <x:f>IF($A114="","",SUMIF(Depletion!$A$7:$A$306,$A114,Depletion!$E$7:$E$306))</x:f>
      </x:c>
      <x:c r="M114" s="62" t="str">
        <x:f>IF($A114="","",SUMIF(Depletion!$A$7:$A$306,$A114,Depletion!$C$7:$C$306))</x:f>
      </x:c>
      <x:c r="N114" s="60" t="str">
        <x:f>IF($A114="","",SUMIF(Depletion!$A$7:$A$306,$A114,Depletion!$I$7:$I$306))</x:f>
      </x:c>
      <x:c r="O114" s="60" t="str">
        <x:f>IF($A114="","",$L114-$N114)</x:f>
      </x:c>
      <x:c r="P114" s="64" t="str">
        <x:f>IF($A114="","",IFERROR($O114/$L114,0))</x:f>
      </x:c>
      <x:c r="Q114" s="60" t="str">
        <x:f>IF($A114="","",MAX($L114-$G114,0))</x:f>
      </x:c>
      <x:c r="R114" s="66" t="str">
        <x:f>IF($A114="","",IFERROR($B114+VLOOKUP($F114,Setup!$Z$7:$AA$20,2,FALSE),""))</x:f>
      </x:c>
      <x:c r="S114" s="52" t="str">
        <x:f>IF($A114="","",IF($L114=0,"Draft",IF($Q114&lt;=0,"Paid",IF($G114&gt;0,"Partial","Unpaid"))))</x:f>
      </x:c>
      <x:c r="T114" s="52" t="str">
        <x:f>IF($A114="","",IF($Q114&lt;=0,0,IF($R114="","",MAX(TODAY()-$R114,0))))</x:f>
      </x:c>
      <x:c r="U114" s="52" t="str">
        <x:f>IF($A114="","",IF($S114="Paid","Closed",IF($R114="","Review",IF(TODAY()&lt;=$R114,"Current",IF($T114&lt;=30,"1-30",IF($T114&lt;=60,"31-60",IF($T114&lt;=90,"61-90","90+")))))))</x:f>
      </x:c>
      <x:c r="V114" s="66" t="str">
        <x:f>IF($A114="","",IF(AND($S114="Paid",$H114&lt;&gt;""),$H114,""))</x:f>
      </x:c>
      <x:c r="W114" s="52" t="str">
        <x:f>IF($A114="","",IF(OR(COUNTIF($A$7:$A$156,$A114)&gt;1,$B114="",$C114="",$D114="",$E114="",$F114="",$J114="",$K114="",$L114&lt;=0,$G114&lt;0,$G114&gt;$L114,AND($S114="Paid",$H114="")),"REVIEW","OK"))</x:f>
      </x:c>
    </x:row>
    <x:row r="115">
      <x:c r="A115" s="46"/>
      <x:c r="B115" s="56"/>
      <x:c r="C115" s="46"/>
      <x:c r="D115" s="46"/>
      <x:c r="E115" s="46"/>
      <x:c r="F115" s="46"/>
      <x:c r="G115" s="58"/>
      <x:c r="H115" s="56"/>
      <x:c r="I115" s="46"/>
      <x:c r="J115" s="52" t="str">
        <x:f>IF($A115="","",IFERROR(VLOOKUP($C115,Setup!$J$7:$M$56,2,FALSE),""))</x:f>
      </x:c>
      <x:c r="K115" s="52" t="str">
        <x:f>IF($A115="","",IFERROR(VLOOKUP($C115,Setup!$J$7:$M$56,3,FALSE),""))</x:f>
      </x:c>
      <x:c r="L115" s="60" t="str">
        <x:f>IF($A115="","",SUMIF(Depletion!$A$7:$A$306,$A115,Depletion!$E$7:$E$306))</x:f>
      </x:c>
      <x:c r="M115" s="62" t="str">
        <x:f>IF($A115="","",SUMIF(Depletion!$A$7:$A$306,$A115,Depletion!$C$7:$C$306))</x:f>
      </x:c>
      <x:c r="N115" s="60" t="str">
        <x:f>IF($A115="","",SUMIF(Depletion!$A$7:$A$306,$A115,Depletion!$I$7:$I$306))</x:f>
      </x:c>
      <x:c r="O115" s="60" t="str">
        <x:f>IF($A115="","",$L115-$N115)</x:f>
      </x:c>
      <x:c r="P115" s="64" t="str">
        <x:f>IF($A115="","",IFERROR($O115/$L115,0))</x:f>
      </x:c>
      <x:c r="Q115" s="60" t="str">
        <x:f>IF($A115="","",MAX($L115-$G115,0))</x:f>
      </x:c>
      <x:c r="R115" s="66" t="str">
        <x:f>IF($A115="","",IFERROR($B115+VLOOKUP($F115,Setup!$Z$7:$AA$20,2,FALSE),""))</x:f>
      </x:c>
      <x:c r="S115" s="52" t="str">
        <x:f>IF($A115="","",IF($L115=0,"Draft",IF($Q115&lt;=0,"Paid",IF($G115&gt;0,"Partial","Unpaid"))))</x:f>
      </x:c>
      <x:c r="T115" s="52" t="str">
        <x:f>IF($A115="","",IF($Q115&lt;=0,0,IF($R115="","",MAX(TODAY()-$R115,0))))</x:f>
      </x:c>
      <x:c r="U115" s="52" t="str">
        <x:f>IF($A115="","",IF($S115="Paid","Closed",IF($R115="","Review",IF(TODAY()&lt;=$R115,"Current",IF($T115&lt;=30,"1-30",IF($T115&lt;=60,"31-60",IF($T115&lt;=90,"61-90","90+")))))))</x:f>
      </x:c>
      <x:c r="V115" s="66" t="str">
        <x:f>IF($A115="","",IF(AND($S115="Paid",$H115&lt;&gt;""),$H115,""))</x:f>
      </x:c>
      <x:c r="W115" s="52" t="str">
        <x:f>IF($A115="","",IF(OR(COUNTIF($A$7:$A$156,$A115)&gt;1,$B115="",$C115="",$D115="",$E115="",$F115="",$J115="",$K115="",$L115&lt;=0,$G115&lt;0,$G115&gt;$L115,AND($S115="Paid",$H115="")),"REVIEW","OK"))</x:f>
      </x:c>
    </x:row>
    <x:row r="116">
      <x:c r="A116" s="46"/>
      <x:c r="B116" s="56"/>
      <x:c r="C116" s="46"/>
      <x:c r="D116" s="46"/>
      <x:c r="E116" s="46"/>
      <x:c r="F116" s="46"/>
      <x:c r="G116" s="58"/>
      <x:c r="H116" s="56"/>
      <x:c r="I116" s="46"/>
      <x:c r="J116" s="52" t="str">
        <x:f>IF($A116="","",IFERROR(VLOOKUP($C116,Setup!$J$7:$M$56,2,FALSE),""))</x:f>
      </x:c>
      <x:c r="K116" s="52" t="str">
        <x:f>IF($A116="","",IFERROR(VLOOKUP($C116,Setup!$J$7:$M$56,3,FALSE),""))</x:f>
      </x:c>
      <x:c r="L116" s="60" t="str">
        <x:f>IF($A116="","",SUMIF(Depletion!$A$7:$A$306,$A116,Depletion!$E$7:$E$306))</x:f>
      </x:c>
      <x:c r="M116" s="62" t="str">
        <x:f>IF($A116="","",SUMIF(Depletion!$A$7:$A$306,$A116,Depletion!$C$7:$C$306))</x:f>
      </x:c>
      <x:c r="N116" s="60" t="str">
        <x:f>IF($A116="","",SUMIF(Depletion!$A$7:$A$306,$A116,Depletion!$I$7:$I$306))</x:f>
      </x:c>
      <x:c r="O116" s="60" t="str">
        <x:f>IF($A116="","",$L116-$N116)</x:f>
      </x:c>
      <x:c r="P116" s="64" t="str">
        <x:f>IF($A116="","",IFERROR($O116/$L116,0))</x:f>
      </x:c>
      <x:c r="Q116" s="60" t="str">
        <x:f>IF($A116="","",MAX($L116-$G116,0))</x:f>
      </x:c>
      <x:c r="R116" s="66" t="str">
        <x:f>IF($A116="","",IFERROR($B116+VLOOKUP($F116,Setup!$Z$7:$AA$20,2,FALSE),""))</x:f>
      </x:c>
      <x:c r="S116" s="52" t="str">
        <x:f>IF($A116="","",IF($L116=0,"Draft",IF($Q116&lt;=0,"Paid",IF($G116&gt;0,"Partial","Unpaid"))))</x:f>
      </x:c>
      <x:c r="T116" s="52" t="str">
        <x:f>IF($A116="","",IF($Q116&lt;=0,0,IF($R116="","",MAX(TODAY()-$R116,0))))</x:f>
      </x:c>
      <x:c r="U116" s="52" t="str">
        <x:f>IF($A116="","",IF($S116="Paid","Closed",IF($R116="","Review",IF(TODAY()&lt;=$R116,"Current",IF($T116&lt;=30,"1-30",IF($T116&lt;=60,"31-60",IF($T116&lt;=90,"61-90","90+")))))))</x:f>
      </x:c>
      <x:c r="V116" s="66" t="str">
        <x:f>IF($A116="","",IF(AND($S116="Paid",$H116&lt;&gt;""),$H116,""))</x:f>
      </x:c>
      <x:c r="W116" s="52" t="str">
        <x:f>IF($A116="","",IF(OR(COUNTIF($A$7:$A$156,$A116)&gt;1,$B116="",$C116="",$D116="",$E116="",$F116="",$J116="",$K116="",$L116&lt;=0,$G116&lt;0,$G116&gt;$L116,AND($S116="Paid",$H116="")),"REVIEW","OK"))</x:f>
      </x:c>
    </x:row>
    <x:row r="117">
      <x:c r="A117" s="46"/>
      <x:c r="B117" s="56"/>
      <x:c r="C117" s="46"/>
      <x:c r="D117" s="46"/>
      <x:c r="E117" s="46"/>
      <x:c r="F117" s="46"/>
      <x:c r="G117" s="58"/>
      <x:c r="H117" s="56"/>
      <x:c r="I117" s="46"/>
      <x:c r="J117" s="52" t="str">
        <x:f>IF($A117="","",IFERROR(VLOOKUP($C117,Setup!$J$7:$M$56,2,FALSE),""))</x:f>
      </x:c>
      <x:c r="K117" s="52" t="str">
        <x:f>IF($A117="","",IFERROR(VLOOKUP($C117,Setup!$J$7:$M$56,3,FALSE),""))</x:f>
      </x:c>
      <x:c r="L117" s="60" t="str">
        <x:f>IF($A117="","",SUMIF(Depletion!$A$7:$A$306,$A117,Depletion!$E$7:$E$306))</x:f>
      </x:c>
      <x:c r="M117" s="62" t="str">
        <x:f>IF($A117="","",SUMIF(Depletion!$A$7:$A$306,$A117,Depletion!$C$7:$C$306))</x:f>
      </x:c>
      <x:c r="N117" s="60" t="str">
        <x:f>IF($A117="","",SUMIF(Depletion!$A$7:$A$306,$A117,Depletion!$I$7:$I$306))</x:f>
      </x:c>
      <x:c r="O117" s="60" t="str">
        <x:f>IF($A117="","",$L117-$N117)</x:f>
      </x:c>
      <x:c r="P117" s="64" t="str">
        <x:f>IF($A117="","",IFERROR($O117/$L117,0))</x:f>
      </x:c>
      <x:c r="Q117" s="60" t="str">
        <x:f>IF($A117="","",MAX($L117-$G117,0))</x:f>
      </x:c>
      <x:c r="R117" s="66" t="str">
        <x:f>IF($A117="","",IFERROR($B117+VLOOKUP($F117,Setup!$Z$7:$AA$20,2,FALSE),""))</x:f>
      </x:c>
      <x:c r="S117" s="52" t="str">
        <x:f>IF($A117="","",IF($L117=0,"Draft",IF($Q117&lt;=0,"Paid",IF($G117&gt;0,"Partial","Unpaid"))))</x:f>
      </x:c>
      <x:c r="T117" s="52" t="str">
        <x:f>IF($A117="","",IF($Q117&lt;=0,0,IF($R117="","",MAX(TODAY()-$R117,0))))</x:f>
      </x:c>
      <x:c r="U117" s="52" t="str">
        <x:f>IF($A117="","",IF($S117="Paid","Closed",IF($R117="","Review",IF(TODAY()&lt;=$R117,"Current",IF($T117&lt;=30,"1-30",IF($T117&lt;=60,"31-60",IF($T117&lt;=90,"61-90","90+")))))))</x:f>
      </x:c>
      <x:c r="V117" s="66" t="str">
        <x:f>IF($A117="","",IF(AND($S117="Paid",$H117&lt;&gt;""),$H117,""))</x:f>
      </x:c>
      <x:c r="W117" s="52" t="str">
        <x:f>IF($A117="","",IF(OR(COUNTIF($A$7:$A$156,$A117)&gt;1,$B117="",$C117="",$D117="",$E117="",$F117="",$J117="",$K117="",$L117&lt;=0,$G117&lt;0,$G117&gt;$L117,AND($S117="Paid",$H117="")),"REVIEW","OK"))</x:f>
      </x:c>
    </x:row>
    <x:row r="118">
      <x:c r="A118" s="46"/>
      <x:c r="B118" s="56"/>
      <x:c r="C118" s="46"/>
      <x:c r="D118" s="46"/>
      <x:c r="E118" s="46"/>
      <x:c r="F118" s="46"/>
      <x:c r="G118" s="58"/>
      <x:c r="H118" s="56"/>
      <x:c r="I118" s="46"/>
      <x:c r="J118" s="52" t="str">
        <x:f>IF($A118="","",IFERROR(VLOOKUP($C118,Setup!$J$7:$M$56,2,FALSE),""))</x:f>
      </x:c>
      <x:c r="K118" s="52" t="str">
        <x:f>IF($A118="","",IFERROR(VLOOKUP($C118,Setup!$J$7:$M$56,3,FALSE),""))</x:f>
      </x:c>
      <x:c r="L118" s="60" t="str">
        <x:f>IF($A118="","",SUMIF(Depletion!$A$7:$A$306,$A118,Depletion!$E$7:$E$306))</x:f>
      </x:c>
      <x:c r="M118" s="62" t="str">
        <x:f>IF($A118="","",SUMIF(Depletion!$A$7:$A$306,$A118,Depletion!$C$7:$C$306))</x:f>
      </x:c>
      <x:c r="N118" s="60" t="str">
        <x:f>IF($A118="","",SUMIF(Depletion!$A$7:$A$306,$A118,Depletion!$I$7:$I$306))</x:f>
      </x:c>
      <x:c r="O118" s="60" t="str">
        <x:f>IF($A118="","",$L118-$N118)</x:f>
      </x:c>
      <x:c r="P118" s="64" t="str">
        <x:f>IF($A118="","",IFERROR($O118/$L118,0))</x:f>
      </x:c>
      <x:c r="Q118" s="60" t="str">
        <x:f>IF($A118="","",MAX($L118-$G118,0))</x:f>
      </x:c>
      <x:c r="R118" s="66" t="str">
        <x:f>IF($A118="","",IFERROR($B118+VLOOKUP($F118,Setup!$Z$7:$AA$20,2,FALSE),""))</x:f>
      </x:c>
      <x:c r="S118" s="52" t="str">
        <x:f>IF($A118="","",IF($L118=0,"Draft",IF($Q118&lt;=0,"Paid",IF($G118&gt;0,"Partial","Unpaid"))))</x:f>
      </x:c>
      <x:c r="T118" s="52" t="str">
        <x:f>IF($A118="","",IF($Q118&lt;=0,0,IF($R118="","",MAX(TODAY()-$R118,0))))</x:f>
      </x:c>
      <x:c r="U118" s="52" t="str">
        <x:f>IF($A118="","",IF($S118="Paid","Closed",IF($R118="","Review",IF(TODAY()&lt;=$R118,"Current",IF($T118&lt;=30,"1-30",IF($T118&lt;=60,"31-60",IF($T118&lt;=90,"61-90","90+")))))))</x:f>
      </x:c>
      <x:c r="V118" s="66" t="str">
        <x:f>IF($A118="","",IF(AND($S118="Paid",$H118&lt;&gt;""),$H118,""))</x:f>
      </x:c>
      <x:c r="W118" s="52" t="str">
        <x:f>IF($A118="","",IF(OR(COUNTIF($A$7:$A$156,$A118)&gt;1,$B118="",$C118="",$D118="",$E118="",$F118="",$J118="",$K118="",$L118&lt;=0,$G118&lt;0,$G118&gt;$L118,AND($S118="Paid",$H118="")),"REVIEW","OK"))</x:f>
      </x:c>
    </x:row>
    <x:row r="119">
      <x:c r="A119" s="46"/>
      <x:c r="B119" s="56"/>
      <x:c r="C119" s="46"/>
      <x:c r="D119" s="46"/>
      <x:c r="E119" s="46"/>
      <x:c r="F119" s="46"/>
      <x:c r="G119" s="58"/>
      <x:c r="H119" s="56"/>
      <x:c r="I119" s="46"/>
      <x:c r="J119" s="52" t="str">
        <x:f>IF($A119="","",IFERROR(VLOOKUP($C119,Setup!$J$7:$M$56,2,FALSE),""))</x:f>
      </x:c>
      <x:c r="K119" s="52" t="str">
        <x:f>IF($A119="","",IFERROR(VLOOKUP($C119,Setup!$J$7:$M$56,3,FALSE),""))</x:f>
      </x:c>
      <x:c r="L119" s="60" t="str">
        <x:f>IF($A119="","",SUMIF(Depletion!$A$7:$A$306,$A119,Depletion!$E$7:$E$306))</x:f>
      </x:c>
      <x:c r="M119" s="62" t="str">
        <x:f>IF($A119="","",SUMIF(Depletion!$A$7:$A$306,$A119,Depletion!$C$7:$C$306))</x:f>
      </x:c>
      <x:c r="N119" s="60" t="str">
        <x:f>IF($A119="","",SUMIF(Depletion!$A$7:$A$306,$A119,Depletion!$I$7:$I$306))</x:f>
      </x:c>
      <x:c r="O119" s="60" t="str">
        <x:f>IF($A119="","",$L119-$N119)</x:f>
      </x:c>
      <x:c r="P119" s="64" t="str">
        <x:f>IF($A119="","",IFERROR($O119/$L119,0))</x:f>
      </x:c>
      <x:c r="Q119" s="60" t="str">
        <x:f>IF($A119="","",MAX($L119-$G119,0))</x:f>
      </x:c>
      <x:c r="R119" s="66" t="str">
        <x:f>IF($A119="","",IFERROR($B119+VLOOKUP($F119,Setup!$Z$7:$AA$20,2,FALSE),""))</x:f>
      </x:c>
      <x:c r="S119" s="52" t="str">
        <x:f>IF($A119="","",IF($L119=0,"Draft",IF($Q119&lt;=0,"Paid",IF($G119&gt;0,"Partial","Unpaid"))))</x:f>
      </x:c>
      <x:c r="T119" s="52" t="str">
        <x:f>IF($A119="","",IF($Q119&lt;=0,0,IF($R119="","",MAX(TODAY()-$R119,0))))</x:f>
      </x:c>
      <x:c r="U119" s="52" t="str">
        <x:f>IF($A119="","",IF($S119="Paid","Closed",IF($R119="","Review",IF(TODAY()&lt;=$R119,"Current",IF($T119&lt;=30,"1-30",IF($T119&lt;=60,"31-60",IF($T119&lt;=90,"61-90","90+")))))))</x:f>
      </x:c>
      <x:c r="V119" s="66" t="str">
        <x:f>IF($A119="","",IF(AND($S119="Paid",$H119&lt;&gt;""),$H119,""))</x:f>
      </x:c>
      <x:c r="W119" s="52" t="str">
        <x:f>IF($A119="","",IF(OR(COUNTIF($A$7:$A$156,$A119)&gt;1,$B119="",$C119="",$D119="",$E119="",$F119="",$J119="",$K119="",$L119&lt;=0,$G119&lt;0,$G119&gt;$L119,AND($S119="Paid",$H119="")),"REVIEW","OK"))</x:f>
      </x:c>
    </x:row>
    <x:row r="120">
      <x:c r="A120" s="46"/>
      <x:c r="B120" s="56"/>
      <x:c r="C120" s="46"/>
      <x:c r="D120" s="46"/>
      <x:c r="E120" s="46"/>
      <x:c r="F120" s="46"/>
      <x:c r="G120" s="58"/>
      <x:c r="H120" s="56"/>
      <x:c r="I120" s="46"/>
      <x:c r="J120" s="52" t="str">
        <x:f>IF($A120="","",IFERROR(VLOOKUP($C120,Setup!$J$7:$M$56,2,FALSE),""))</x:f>
      </x:c>
      <x:c r="K120" s="52" t="str">
        <x:f>IF($A120="","",IFERROR(VLOOKUP($C120,Setup!$J$7:$M$56,3,FALSE),""))</x:f>
      </x:c>
      <x:c r="L120" s="60" t="str">
        <x:f>IF($A120="","",SUMIF(Depletion!$A$7:$A$306,$A120,Depletion!$E$7:$E$306))</x:f>
      </x:c>
      <x:c r="M120" s="62" t="str">
        <x:f>IF($A120="","",SUMIF(Depletion!$A$7:$A$306,$A120,Depletion!$C$7:$C$306))</x:f>
      </x:c>
      <x:c r="N120" s="60" t="str">
        <x:f>IF($A120="","",SUMIF(Depletion!$A$7:$A$306,$A120,Depletion!$I$7:$I$306))</x:f>
      </x:c>
      <x:c r="O120" s="60" t="str">
        <x:f>IF($A120="","",$L120-$N120)</x:f>
      </x:c>
      <x:c r="P120" s="64" t="str">
        <x:f>IF($A120="","",IFERROR($O120/$L120,0))</x:f>
      </x:c>
      <x:c r="Q120" s="60" t="str">
        <x:f>IF($A120="","",MAX($L120-$G120,0))</x:f>
      </x:c>
      <x:c r="R120" s="66" t="str">
        <x:f>IF($A120="","",IFERROR($B120+VLOOKUP($F120,Setup!$Z$7:$AA$20,2,FALSE),""))</x:f>
      </x:c>
      <x:c r="S120" s="52" t="str">
        <x:f>IF($A120="","",IF($L120=0,"Draft",IF($Q120&lt;=0,"Paid",IF($G120&gt;0,"Partial","Unpaid"))))</x:f>
      </x:c>
      <x:c r="T120" s="52" t="str">
        <x:f>IF($A120="","",IF($Q120&lt;=0,0,IF($R120="","",MAX(TODAY()-$R120,0))))</x:f>
      </x:c>
      <x:c r="U120" s="52" t="str">
        <x:f>IF($A120="","",IF($S120="Paid","Closed",IF($R120="","Review",IF(TODAY()&lt;=$R120,"Current",IF($T120&lt;=30,"1-30",IF($T120&lt;=60,"31-60",IF($T120&lt;=90,"61-90","90+")))))))</x:f>
      </x:c>
      <x:c r="V120" s="66" t="str">
        <x:f>IF($A120="","",IF(AND($S120="Paid",$H120&lt;&gt;""),$H120,""))</x:f>
      </x:c>
      <x:c r="W120" s="52" t="str">
        <x:f>IF($A120="","",IF(OR(COUNTIF($A$7:$A$156,$A120)&gt;1,$B120="",$C120="",$D120="",$E120="",$F120="",$J120="",$K120="",$L120&lt;=0,$G120&lt;0,$G120&gt;$L120,AND($S120="Paid",$H120="")),"REVIEW","OK"))</x:f>
      </x:c>
    </x:row>
    <x:row r="121">
      <x:c r="A121" s="46"/>
      <x:c r="B121" s="56"/>
      <x:c r="C121" s="46"/>
      <x:c r="D121" s="46"/>
      <x:c r="E121" s="46"/>
      <x:c r="F121" s="46"/>
      <x:c r="G121" s="58"/>
      <x:c r="H121" s="56"/>
      <x:c r="I121" s="46"/>
      <x:c r="J121" s="52" t="str">
        <x:f>IF($A121="","",IFERROR(VLOOKUP($C121,Setup!$J$7:$M$56,2,FALSE),""))</x:f>
      </x:c>
      <x:c r="K121" s="52" t="str">
        <x:f>IF($A121="","",IFERROR(VLOOKUP($C121,Setup!$J$7:$M$56,3,FALSE),""))</x:f>
      </x:c>
      <x:c r="L121" s="60" t="str">
        <x:f>IF($A121="","",SUMIF(Depletion!$A$7:$A$306,$A121,Depletion!$E$7:$E$306))</x:f>
      </x:c>
      <x:c r="M121" s="62" t="str">
        <x:f>IF($A121="","",SUMIF(Depletion!$A$7:$A$306,$A121,Depletion!$C$7:$C$306))</x:f>
      </x:c>
      <x:c r="N121" s="60" t="str">
        <x:f>IF($A121="","",SUMIF(Depletion!$A$7:$A$306,$A121,Depletion!$I$7:$I$306))</x:f>
      </x:c>
      <x:c r="O121" s="60" t="str">
        <x:f>IF($A121="","",$L121-$N121)</x:f>
      </x:c>
      <x:c r="P121" s="64" t="str">
        <x:f>IF($A121="","",IFERROR($O121/$L121,0))</x:f>
      </x:c>
      <x:c r="Q121" s="60" t="str">
        <x:f>IF($A121="","",MAX($L121-$G121,0))</x:f>
      </x:c>
      <x:c r="R121" s="66" t="str">
        <x:f>IF($A121="","",IFERROR($B121+VLOOKUP($F121,Setup!$Z$7:$AA$20,2,FALSE),""))</x:f>
      </x:c>
      <x:c r="S121" s="52" t="str">
        <x:f>IF($A121="","",IF($L121=0,"Draft",IF($Q121&lt;=0,"Paid",IF($G121&gt;0,"Partial","Unpaid"))))</x:f>
      </x:c>
      <x:c r="T121" s="52" t="str">
        <x:f>IF($A121="","",IF($Q121&lt;=0,0,IF($R121="","",MAX(TODAY()-$R121,0))))</x:f>
      </x:c>
      <x:c r="U121" s="52" t="str">
        <x:f>IF($A121="","",IF($S121="Paid","Closed",IF($R121="","Review",IF(TODAY()&lt;=$R121,"Current",IF($T121&lt;=30,"1-30",IF($T121&lt;=60,"31-60",IF($T121&lt;=90,"61-90","90+")))))))</x:f>
      </x:c>
      <x:c r="V121" s="66" t="str">
        <x:f>IF($A121="","",IF(AND($S121="Paid",$H121&lt;&gt;""),$H121,""))</x:f>
      </x:c>
      <x:c r="W121" s="52" t="str">
        <x:f>IF($A121="","",IF(OR(COUNTIF($A$7:$A$156,$A121)&gt;1,$B121="",$C121="",$D121="",$E121="",$F121="",$J121="",$K121="",$L121&lt;=0,$G121&lt;0,$G121&gt;$L121,AND($S121="Paid",$H121="")),"REVIEW","OK"))</x:f>
      </x:c>
    </x:row>
    <x:row r="122">
      <x:c r="A122" s="46"/>
      <x:c r="B122" s="56"/>
      <x:c r="C122" s="46"/>
      <x:c r="D122" s="46"/>
      <x:c r="E122" s="46"/>
      <x:c r="F122" s="46"/>
      <x:c r="G122" s="58"/>
      <x:c r="H122" s="56"/>
      <x:c r="I122" s="46"/>
      <x:c r="J122" s="52" t="str">
        <x:f>IF($A122="","",IFERROR(VLOOKUP($C122,Setup!$J$7:$M$56,2,FALSE),""))</x:f>
      </x:c>
      <x:c r="K122" s="52" t="str">
        <x:f>IF($A122="","",IFERROR(VLOOKUP($C122,Setup!$J$7:$M$56,3,FALSE),""))</x:f>
      </x:c>
      <x:c r="L122" s="60" t="str">
        <x:f>IF($A122="","",SUMIF(Depletion!$A$7:$A$306,$A122,Depletion!$E$7:$E$306))</x:f>
      </x:c>
      <x:c r="M122" s="62" t="str">
        <x:f>IF($A122="","",SUMIF(Depletion!$A$7:$A$306,$A122,Depletion!$C$7:$C$306))</x:f>
      </x:c>
      <x:c r="N122" s="60" t="str">
        <x:f>IF($A122="","",SUMIF(Depletion!$A$7:$A$306,$A122,Depletion!$I$7:$I$306))</x:f>
      </x:c>
      <x:c r="O122" s="60" t="str">
        <x:f>IF($A122="","",$L122-$N122)</x:f>
      </x:c>
      <x:c r="P122" s="64" t="str">
        <x:f>IF($A122="","",IFERROR($O122/$L122,0))</x:f>
      </x:c>
      <x:c r="Q122" s="60" t="str">
        <x:f>IF($A122="","",MAX($L122-$G122,0))</x:f>
      </x:c>
      <x:c r="R122" s="66" t="str">
        <x:f>IF($A122="","",IFERROR($B122+VLOOKUP($F122,Setup!$Z$7:$AA$20,2,FALSE),""))</x:f>
      </x:c>
      <x:c r="S122" s="52" t="str">
        <x:f>IF($A122="","",IF($L122=0,"Draft",IF($Q122&lt;=0,"Paid",IF($G122&gt;0,"Partial","Unpaid"))))</x:f>
      </x:c>
      <x:c r="T122" s="52" t="str">
        <x:f>IF($A122="","",IF($Q122&lt;=0,0,IF($R122="","",MAX(TODAY()-$R122,0))))</x:f>
      </x:c>
      <x:c r="U122" s="52" t="str">
        <x:f>IF($A122="","",IF($S122="Paid","Closed",IF($R122="","Review",IF(TODAY()&lt;=$R122,"Current",IF($T122&lt;=30,"1-30",IF($T122&lt;=60,"31-60",IF($T122&lt;=90,"61-90","90+")))))))</x:f>
      </x:c>
      <x:c r="V122" s="66" t="str">
        <x:f>IF($A122="","",IF(AND($S122="Paid",$H122&lt;&gt;""),$H122,""))</x:f>
      </x:c>
      <x:c r="W122" s="52" t="str">
        <x:f>IF($A122="","",IF(OR(COUNTIF($A$7:$A$156,$A122)&gt;1,$B122="",$C122="",$D122="",$E122="",$F122="",$J122="",$K122="",$L122&lt;=0,$G122&lt;0,$G122&gt;$L122,AND($S122="Paid",$H122="")),"REVIEW","OK"))</x:f>
      </x:c>
    </x:row>
    <x:row r="123">
      <x:c r="A123" s="46"/>
      <x:c r="B123" s="56"/>
      <x:c r="C123" s="46"/>
      <x:c r="D123" s="46"/>
      <x:c r="E123" s="46"/>
      <x:c r="F123" s="46"/>
      <x:c r="G123" s="58"/>
      <x:c r="H123" s="56"/>
      <x:c r="I123" s="46"/>
      <x:c r="J123" s="52" t="str">
        <x:f>IF($A123="","",IFERROR(VLOOKUP($C123,Setup!$J$7:$M$56,2,FALSE),""))</x:f>
      </x:c>
      <x:c r="K123" s="52" t="str">
        <x:f>IF($A123="","",IFERROR(VLOOKUP($C123,Setup!$J$7:$M$56,3,FALSE),""))</x:f>
      </x:c>
      <x:c r="L123" s="60" t="str">
        <x:f>IF($A123="","",SUMIF(Depletion!$A$7:$A$306,$A123,Depletion!$E$7:$E$306))</x:f>
      </x:c>
      <x:c r="M123" s="62" t="str">
        <x:f>IF($A123="","",SUMIF(Depletion!$A$7:$A$306,$A123,Depletion!$C$7:$C$306))</x:f>
      </x:c>
      <x:c r="N123" s="60" t="str">
        <x:f>IF($A123="","",SUMIF(Depletion!$A$7:$A$306,$A123,Depletion!$I$7:$I$306))</x:f>
      </x:c>
      <x:c r="O123" s="60" t="str">
        <x:f>IF($A123="","",$L123-$N123)</x:f>
      </x:c>
      <x:c r="P123" s="64" t="str">
        <x:f>IF($A123="","",IFERROR($O123/$L123,0))</x:f>
      </x:c>
      <x:c r="Q123" s="60" t="str">
        <x:f>IF($A123="","",MAX($L123-$G123,0))</x:f>
      </x:c>
      <x:c r="R123" s="66" t="str">
        <x:f>IF($A123="","",IFERROR($B123+VLOOKUP($F123,Setup!$Z$7:$AA$20,2,FALSE),""))</x:f>
      </x:c>
      <x:c r="S123" s="52" t="str">
        <x:f>IF($A123="","",IF($L123=0,"Draft",IF($Q123&lt;=0,"Paid",IF($G123&gt;0,"Partial","Unpaid"))))</x:f>
      </x:c>
      <x:c r="T123" s="52" t="str">
        <x:f>IF($A123="","",IF($Q123&lt;=0,0,IF($R123="","",MAX(TODAY()-$R123,0))))</x:f>
      </x:c>
      <x:c r="U123" s="52" t="str">
        <x:f>IF($A123="","",IF($S123="Paid","Closed",IF($R123="","Review",IF(TODAY()&lt;=$R123,"Current",IF($T123&lt;=30,"1-30",IF($T123&lt;=60,"31-60",IF($T123&lt;=90,"61-90","90+")))))))</x:f>
      </x:c>
      <x:c r="V123" s="66" t="str">
        <x:f>IF($A123="","",IF(AND($S123="Paid",$H123&lt;&gt;""),$H123,""))</x:f>
      </x:c>
      <x:c r="W123" s="52" t="str">
        <x:f>IF($A123="","",IF(OR(COUNTIF($A$7:$A$156,$A123)&gt;1,$B123="",$C123="",$D123="",$E123="",$F123="",$J123="",$K123="",$L123&lt;=0,$G123&lt;0,$G123&gt;$L123,AND($S123="Paid",$H123="")),"REVIEW","OK"))</x:f>
      </x:c>
    </x:row>
    <x:row r="124">
      <x:c r="A124" s="46"/>
      <x:c r="B124" s="56"/>
      <x:c r="C124" s="46"/>
      <x:c r="D124" s="46"/>
      <x:c r="E124" s="46"/>
      <x:c r="F124" s="46"/>
      <x:c r="G124" s="58"/>
      <x:c r="H124" s="56"/>
      <x:c r="I124" s="46"/>
      <x:c r="J124" s="52" t="str">
        <x:f>IF($A124="","",IFERROR(VLOOKUP($C124,Setup!$J$7:$M$56,2,FALSE),""))</x:f>
      </x:c>
      <x:c r="K124" s="52" t="str">
        <x:f>IF($A124="","",IFERROR(VLOOKUP($C124,Setup!$J$7:$M$56,3,FALSE),""))</x:f>
      </x:c>
      <x:c r="L124" s="60" t="str">
        <x:f>IF($A124="","",SUMIF(Depletion!$A$7:$A$306,$A124,Depletion!$E$7:$E$306))</x:f>
      </x:c>
      <x:c r="M124" s="62" t="str">
        <x:f>IF($A124="","",SUMIF(Depletion!$A$7:$A$306,$A124,Depletion!$C$7:$C$306))</x:f>
      </x:c>
      <x:c r="N124" s="60" t="str">
        <x:f>IF($A124="","",SUMIF(Depletion!$A$7:$A$306,$A124,Depletion!$I$7:$I$306))</x:f>
      </x:c>
      <x:c r="O124" s="60" t="str">
        <x:f>IF($A124="","",$L124-$N124)</x:f>
      </x:c>
      <x:c r="P124" s="64" t="str">
        <x:f>IF($A124="","",IFERROR($O124/$L124,0))</x:f>
      </x:c>
      <x:c r="Q124" s="60" t="str">
        <x:f>IF($A124="","",MAX($L124-$G124,0))</x:f>
      </x:c>
      <x:c r="R124" s="66" t="str">
        <x:f>IF($A124="","",IFERROR($B124+VLOOKUP($F124,Setup!$Z$7:$AA$20,2,FALSE),""))</x:f>
      </x:c>
      <x:c r="S124" s="52" t="str">
        <x:f>IF($A124="","",IF($L124=0,"Draft",IF($Q124&lt;=0,"Paid",IF($G124&gt;0,"Partial","Unpaid"))))</x:f>
      </x:c>
      <x:c r="T124" s="52" t="str">
        <x:f>IF($A124="","",IF($Q124&lt;=0,0,IF($R124="","",MAX(TODAY()-$R124,0))))</x:f>
      </x:c>
      <x:c r="U124" s="52" t="str">
        <x:f>IF($A124="","",IF($S124="Paid","Closed",IF($R124="","Review",IF(TODAY()&lt;=$R124,"Current",IF($T124&lt;=30,"1-30",IF($T124&lt;=60,"31-60",IF($T124&lt;=90,"61-90","90+")))))))</x:f>
      </x:c>
      <x:c r="V124" s="66" t="str">
        <x:f>IF($A124="","",IF(AND($S124="Paid",$H124&lt;&gt;""),$H124,""))</x:f>
      </x:c>
      <x:c r="W124" s="52" t="str">
        <x:f>IF($A124="","",IF(OR(COUNTIF($A$7:$A$156,$A124)&gt;1,$B124="",$C124="",$D124="",$E124="",$F124="",$J124="",$K124="",$L124&lt;=0,$G124&lt;0,$G124&gt;$L124,AND($S124="Paid",$H124="")),"REVIEW","OK"))</x:f>
      </x:c>
    </x:row>
    <x:row r="125">
      <x:c r="A125" s="46"/>
      <x:c r="B125" s="56"/>
      <x:c r="C125" s="46"/>
      <x:c r="D125" s="46"/>
      <x:c r="E125" s="46"/>
      <x:c r="F125" s="46"/>
      <x:c r="G125" s="58"/>
      <x:c r="H125" s="56"/>
      <x:c r="I125" s="46"/>
      <x:c r="J125" s="52" t="str">
        <x:f>IF($A125="","",IFERROR(VLOOKUP($C125,Setup!$J$7:$M$56,2,FALSE),""))</x:f>
      </x:c>
      <x:c r="K125" s="52" t="str">
        <x:f>IF($A125="","",IFERROR(VLOOKUP($C125,Setup!$J$7:$M$56,3,FALSE),""))</x:f>
      </x:c>
      <x:c r="L125" s="60" t="str">
        <x:f>IF($A125="","",SUMIF(Depletion!$A$7:$A$306,$A125,Depletion!$E$7:$E$306))</x:f>
      </x:c>
      <x:c r="M125" s="62" t="str">
        <x:f>IF($A125="","",SUMIF(Depletion!$A$7:$A$306,$A125,Depletion!$C$7:$C$306))</x:f>
      </x:c>
      <x:c r="N125" s="60" t="str">
        <x:f>IF($A125="","",SUMIF(Depletion!$A$7:$A$306,$A125,Depletion!$I$7:$I$306))</x:f>
      </x:c>
      <x:c r="O125" s="60" t="str">
        <x:f>IF($A125="","",$L125-$N125)</x:f>
      </x:c>
      <x:c r="P125" s="64" t="str">
        <x:f>IF($A125="","",IFERROR($O125/$L125,0))</x:f>
      </x:c>
      <x:c r="Q125" s="60" t="str">
        <x:f>IF($A125="","",MAX($L125-$G125,0))</x:f>
      </x:c>
      <x:c r="R125" s="66" t="str">
        <x:f>IF($A125="","",IFERROR($B125+VLOOKUP($F125,Setup!$Z$7:$AA$20,2,FALSE),""))</x:f>
      </x:c>
      <x:c r="S125" s="52" t="str">
        <x:f>IF($A125="","",IF($L125=0,"Draft",IF($Q125&lt;=0,"Paid",IF($G125&gt;0,"Partial","Unpaid"))))</x:f>
      </x:c>
      <x:c r="T125" s="52" t="str">
        <x:f>IF($A125="","",IF($Q125&lt;=0,0,IF($R125="","",MAX(TODAY()-$R125,0))))</x:f>
      </x:c>
      <x:c r="U125" s="52" t="str">
        <x:f>IF($A125="","",IF($S125="Paid","Closed",IF($R125="","Review",IF(TODAY()&lt;=$R125,"Current",IF($T125&lt;=30,"1-30",IF($T125&lt;=60,"31-60",IF($T125&lt;=90,"61-90","90+")))))))</x:f>
      </x:c>
      <x:c r="V125" s="66" t="str">
        <x:f>IF($A125="","",IF(AND($S125="Paid",$H125&lt;&gt;""),$H125,""))</x:f>
      </x:c>
      <x:c r="W125" s="52" t="str">
        <x:f>IF($A125="","",IF(OR(COUNTIF($A$7:$A$156,$A125)&gt;1,$B125="",$C125="",$D125="",$E125="",$F125="",$J125="",$K125="",$L125&lt;=0,$G125&lt;0,$G125&gt;$L125,AND($S125="Paid",$H125="")),"REVIEW","OK"))</x:f>
      </x:c>
    </x:row>
    <x:row r="126">
      <x:c r="A126" s="46"/>
      <x:c r="B126" s="56"/>
      <x:c r="C126" s="46"/>
      <x:c r="D126" s="46"/>
      <x:c r="E126" s="46"/>
      <x:c r="F126" s="46"/>
      <x:c r="G126" s="58"/>
      <x:c r="H126" s="56"/>
      <x:c r="I126" s="46"/>
      <x:c r="J126" s="52" t="str">
        <x:f>IF($A126="","",IFERROR(VLOOKUP($C126,Setup!$J$7:$M$56,2,FALSE),""))</x:f>
      </x:c>
      <x:c r="K126" s="52" t="str">
        <x:f>IF($A126="","",IFERROR(VLOOKUP($C126,Setup!$J$7:$M$56,3,FALSE),""))</x:f>
      </x:c>
      <x:c r="L126" s="60" t="str">
        <x:f>IF($A126="","",SUMIF(Depletion!$A$7:$A$306,$A126,Depletion!$E$7:$E$306))</x:f>
      </x:c>
      <x:c r="M126" s="62" t="str">
        <x:f>IF($A126="","",SUMIF(Depletion!$A$7:$A$306,$A126,Depletion!$C$7:$C$306))</x:f>
      </x:c>
      <x:c r="N126" s="60" t="str">
        <x:f>IF($A126="","",SUMIF(Depletion!$A$7:$A$306,$A126,Depletion!$I$7:$I$306))</x:f>
      </x:c>
      <x:c r="O126" s="60" t="str">
        <x:f>IF($A126="","",$L126-$N126)</x:f>
      </x:c>
      <x:c r="P126" s="64" t="str">
        <x:f>IF($A126="","",IFERROR($O126/$L126,0))</x:f>
      </x:c>
      <x:c r="Q126" s="60" t="str">
        <x:f>IF($A126="","",MAX($L126-$G126,0))</x:f>
      </x:c>
      <x:c r="R126" s="66" t="str">
        <x:f>IF($A126="","",IFERROR($B126+VLOOKUP($F126,Setup!$Z$7:$AA$20,2,FALSE),""))</x:f>
      </x:c>
      <x:c r="S126" s="52" t="str">
        <x:f>IF($A126="","",IF($L126=0,"Draft",IF($Q126&lt;=0,"Paid",IF($G126&gt;0,"Partial","Unpaid"))))</x:f>
      </x:c>
      <x:c r="T126" s="52" t="str">
        <x:f>IF($A126="","",IF($Q126&lt;=0,0,IF($R126="","",MAX(TODAY()-$R126,0))))</x:f>
      </x:c>
      <x:c r="U126" s="52" t="str">
        <x:f>IF($A126="","",IF($S126="Paid","Closed",IF($R126="","Review",IF(TODAY()&lt;=$R126,"Current",IF($T126&lt;=30,"1-30",IF($T126&lt;=60,"31-60",IF($T126&lt;=90,"61-90","90+")))))))</x:f>
      </x:c>
      <x:c r="V126" s="66" t="str">
        <x:f>IF($A126="","",IF(AND($S126="Paid",$H126&lt;&gt;""),$H126,""))</x:f>
      </x:c>
      <x:c r="W126" s="52" t="str">
        <x:f>IF($A126="","",IF(OR(COUNTIF($A$7:$A$156,$A126)&gt;1,$B126="",$C126="",$D126="",$E126="",$F126="",$J126="",$K126="",$L126&lt;=0,$G126&lt;0,$G126&gt;$L126,AND($S126="Paid",$H126="")),"REVIEW","OK"))</x:f>
      </x:c>
    </x:row>
    <x:row r="127">
      <x:c r="A127" s="46"/>
      <x:c r="B127" s="56"/>
      <x:c r="C127" s="46"/>
      <x:c r="D127" s="46"/>
      <x:c r="E127" s="46"/>
      <x:c r="F127" s="46"/>
      <x:c r="G127" s="58"/>
      <x:c r="H127" s="56"/>
      <x:c r="I127" s="46"/>
      <x:c r="J127" s="52" t="str">
        <x:f>IF($A127="","",IFERROR(VLOOKUP($C127,Setup!$J$7:$M$56,2,FALSE),""))</x:f>
      </x:c>
      <x:c r="K127" s="52" t="str">
        <x:f>IF($A127="","",IFERROR(VLOOKUP($C127,Setup!$J$7:$M$56,3,FALSE),""))</x:f>
      </x:c>
      <x:c r="L127" s="60" t="str">
        <x:f>IF($A127="","",SUMIF(Depletion!$A$7:$A$306,$A127,Depletion!$E$7:$E$306))</x:f>
      </x:c>
      <x:c r="M127" s="62" t="str">
        <x:f>IF($A127="","",SUMIF(Depletion!$A$7:$A$306,$A127,Depletion!$C$7:$C$306))</x:f>
      </x:c>
      <x:c r="N127" s="60" t="str">
        <x:f>IF($A127="","",SUMIF(Depletion!$A$7:$A$306,$A127,Depletion!$I$7:$I$306))</x:f>
      </x:c>
      <x:c r="O127" s="60" t="str">
        <x:f>IF($A127="","",$L127-$N127)</x:f>
      </x:c>
      <x:c r="P127" s="64" t="str">
        <x:f>IF($A127="","",IFERROR($O127/$L127,0))</x:f>
      </x:c>
      <x:c r="Q127" s="60" t="str">
        <x:f>IF($A127="","",MAX($L127-$G127,0))</x:f>
      </x:c>
      <x:c r="R127" s="66" t="str">
        <x:f>IF($A127="","",IFERROR($B127+VLOOKUP($F127,Setup!$Z$7:$AA$20,2,FALSE),""))</x:f>
      </x:c>
      <x:c r="S127" s="52" t="str">
        <x:f>IF($A127="","",IF($L127=0,"Draft",IF($Q127&lt;=0,"Paid",IF($G127&gt;0,"Partial","Unpaid"))))</x:f>
      </x:c>
      <x:c r="T127" s="52" t="str">
        <x:f>IF($A127="","",IF($Q127&lt;=0,0,IF($R127="","",MAX(TODAY()-$R127,0))))</x:f>
      </x:c>
      <x:c r="U127" s="52" t="str">
        <x:f>IF($A127="","",IF($S127="Paid","Closed",IF($R127="","Review",IF(TODAY()&lt;=$R127,"Current",IF($T127&lt;=30,"1-30",IF($T127&lt;=60,"31-60",IF($T127&lt;=90,"61-90","90+")))))))</x:f>
      </x:c>
      <x:c r="V127" s="66" t="str">
        <x:f>IF($A127="","",IF(AND($S127="Paid",$H127&lt;&gt;""),$H127,""))</x:f>
      </x:c>
      <x:c r="W127" s="52" t="str">
        <x:f>IF($A127="","",IF(OR(COUNTIF($A$7:$A$156,$A127)&gt;1,$B127="",$C127="",$D127="",$E127="",$F127="",$J127="",$K127="",$L127&lt;=0,$G127&lt;0,$G127&gt;$L127,AND($S127="Paid",$H127="")),"REVIEW","OK"))</x:f>
      </x:c>
    </x:row>
    <x:row r="128">
      <x:c r="A128" s="46"/>
      <x:c r="B128" s="56"/>
      <x:c r="C128" s="46"/>
      <x:c r="D128" s="46"/>
      <x:c r="E128" s="46"/>
      <x:c r="F128" s="46"/>
      <x:c r="G128" s="58"/>
      <x:c r="H128" s="56"/>
      <x:c r="I128" s="46"/>
      <x:c r="J128" s="52" t="str">
        <x:f>IF($A128="","",IFERROR(VLOOKUP($C128,Setup!$J$7:$M$56,2,FALSE),""))</x:f>
      </x:c>
      <x:c r="K128" s="52" t="str">
        <x:f>IF($A128="","",IFERROR(VLOOKUP($C128,Setup!$J$7:$M$56,3,FALSE),""))</x:f>
      </x:c>
      <x:c r="L128" s="60" t="str">
        <x:f>IF($A128="","",SUMIF(Depletion!$A$7:$A$306,$A128,Depletion!$E$7:$E$306))</x:f>
      </x:c>
      <x:c r="M128" s="62" t="str">
        <x:f>IF($A128="","",SUMIF(Depletion!$A$7:$A$306,$A128,Depletion!$C$7:$C$306))</x:f>
      </x:c>
      <x:c r="N128" s="60" t="str">
        <x:f>IF($A128="","",SUMIF(Depletion!$A$7:$A$306,$A128,Depletion!$I$7:$I$306))</x:f>
      </x:c>
      <x:c r="O128" s="60" t="str">
        <x:f>IF($A128="","",$L128-$N128)</x:f>
      </x:c>
      <x:c r="P128" s="64" t="str">
        <x:f>IF($A128="","",IFERROR($O128/$L128,0))</x:f>
      </x:c>
      <x:c r="Q128" s="60" t="str">
        <x:f>IF($A128="","",MAX($L128-$G128,0))</x:f>
      </x:c>
      <x:c r="R128" s="66" t="str">
        <x:f>IF($A128="","",IFERROR($B128+VLOOKUP($F128,Setup!$Z$7:$AA$20,2,FALSE),""))</x:f>
      </x:c>
      <x:c r="S128" s="52" t="str">
        <x:f>IF($A128="","",IF($L128=0,"Draft",IF($Q128&lt;=0,"Paid",IF($G128&gt;0,"Partial","Unpaid"))))</x:f>
      </x:c>
      <x:c r="T128" s="52" t="str">
        <x:f>IF($A128="","",IF($Q128&lt;=0,0,IF($R128="","",MAX(TODAY()-$R128,0))))</x:f>
      </x:c>
      <x:c r="U128" s="52" t="str">
        <x:f>IF($A128="","",IF($S128="Paid","Closed",IF($R128="","Review",IF(TODAY()&lt;=$R128,"Current",IF($T128&lt;=30,"1-30",IF($T128&lt;=60,"31-60",IF($T128&lt;=90,"61-90","90+")))))))</x:f>
      </x:c>
      <x:c r="V128" s="66" t="str">
        <x:f>IF($A128="","",IF(AND($S128="Paid",$H128&lt;&gt;""),$H128,""))</x:f>
      </x:c>
      <x:c r="W128" s="52" t="str">
        <x:f>IF($A128="","",IF(OR(COUNTIF($A$7:$A$156,$A128)&gt;1,$B128="",$C128="",$D128="",$E128="",$F128="",$J128="",$K128="",$L128&lt;=0,$G128&lt;0,$G128&gt;$L128,AND($S128="Paid",$H128="")),"REVIEW","OK"))</x:f>
      </x:c>
    </x:row>
    <x:row r="129">
      <x:c r="A129" s="46"/>
      <x:c r="B129" s="56"/>
      <x:c r="C129" s="46"/>
      <x:c r="D129" s="46"/>
      <x:c r="E129" s="46"/>
      <x:c r="F129" s="46"/>
      <x:c r="G129" s="58"/>
      <x:c r="H129" s="56"/>
      <x:c r="I129" s="46"/>
      <x:c r="J129" s="52" t="str">
        <x:f>IF($A129="","",IFERROR(VLOOKUP($C129,Setup!$J$7:$M$56,2,FALSE),""))</x:f>
      </x:c>
      <x:c r="K129" s="52" t="str">
        <x:f>IF($A129="","",IFERROR(VLOOKUP($C129,Setup!$J$7:$M$56,3,FALSE),""))</x:f>
      </x:c>
      <x:c r="L129" s="60" t="str">
        <x:f>IF($A129="","",SUMIF(Depletion!$A$7:$A$306,$A129,Depletion!$E$7:$E$306))</x:f>
      </x:c>
      <x:c r="M129" s="62" t="str">
        <x:f>IF($A129="","",SUMIF(Depletion!$A$7:$A$306,$A129,Depletion!$C$7:$C$306))</x:f>
      </x:c>
      <x:c r="N129" s="60" t="str">
        <x:f>IF($A129="","",SUMIF(Depletion!$A$7:$A$306,$A129,Depletion!$I$7:$I$306))</x:f>
      </x:c>
      <x:c r="O129" s="60" t="str">
        <x:f>IF($A129="","",$L129-$N129)</x:f>
      </x:c>
      <x:c r="P129" s="64" t="str">
        <x:f>IF($A129="","",IFERROR($O129/$L129,0))</x:f>
      </x:c>
      <x:c r="Q129" s="60" t="str">
        <x:f>IF($A129="","",MAX($L129-$G129,0))</x:f>
      </x:c>
      <x:c r="R129" s="66" t="str">
        <x:f>IF($A129="","",IFERROR($B129+VLOOKUP($F129,Setup!$Z$7:$AA$20,2,FALSE),""))</x:f>
      </x:c>
      <x:c r="S129" s="52" t="str">
        <x:f>IF($A129="","",IF($L129=0,"Draft",IF($Q129&lt;=0,"Paid",IF($G129&gt;0,"Partial","Unpaid"))))</x:f>
      </x:c>
      <x:c r="T129" s="52" t="str">
        <x:f>IF($A129="","",IF($Q129&lt;=0,0,IF($R129="","",MAX(TODAY()-$R129,0))))</x:f>
      </x:c>
      <x:c r="U129" s="52" t="str">
        <x:f>IF($A129="","",IF($S129="Paid","Closed",IF($R129="","Review",IF(TODAY()&lt;=$R129,"Current",IF($T129&lt;=30,"1-30",IF($T129&lt;=60,"31-60",IF($T129&lt;=90,"61-90","90+")))))))</x:f>
      </x:c>
      <x:c r="V129" s="66" t="str">
        <x:f>IF($A129="","",IF(AND($S129="Paid",$H129&lt;&gt;""),$H129,""))</x:f>
      </x:c>
      <x:c r="W129" s="52" t="str">
        <x:f>IF($A129="","",IF(OR(COUNTIF($A$7:$A$156,$A129)&gt;1,$B129="",$C129="",$D129="",$E129="",$F129="",$J129="",$K129="",$L129&lt;=0,$G129&lt;0,$G129&gt;$L129,AND($S129="Paid",$H129="")),"REVIEW","OK"))</x:f>
      </x:c>
    </x:row>
    <x:row r="130">
      <x:c r="A130" s="46"/>
      <x:c r="B130" s="56"/>
      <x:c r="C130" s="46"/>
      <x:c r="D130" s="46"/>
      <x:c r="E130" s="46"/>
      <x:c r="F130" s="46"/>
      <x:c r="G130" s="58"/>
      <x:c r="H130" s="56"/>
      <x:c r="I130" s="46"/>
      <x:c r="J130" s="52" t="str">
        <x:f>IF($A130="","",IFERROR(VLOOKUP($C130,Setup!$J$7:$M$56,2,FALSE),""))</x:f>
      </x:c>
      <x:c r="K130" s="52" t="str">
        <x:f>IF($A130="","",IFERROR(VLOOKUP($C130,Setup!$J$7:$M$56,3,FALSE),""))</x:f>
      </x:c>
      <x:c r="L130" s="60" t="str">
        <x:f>IF($A130="","",SUMIF(Depletion!$A$7:$A$306,$A130,Depletion!$E$7:$E$306))</x:f>
      </x:c>
      <x:c r="M130" s="62" t="str">
        <x:f>IF($A130="","",SUMIF(Depletion!$A$7:$A$306,$A130,Depletion!$C$7:$C$306))</x:f>
      </x:c>
      <x:c r="N130" s="60" t="str">
        <x:f>IF($A130="","",SUMIF(Depletion!$A$7:$A$306,$A130,Depletion!$I$7:$I$306))</x:f>
      </x:c>
      <x:c r="O130" s="60" t="str">
        <x:f>IF($A130="","",$L130-$N130)</x:f>
      </x:c>
      <x:c r="P130" s="64" t="str">
        <x:f>IF($A130="","",IFERROR($O130/$L130,0))</x:f>
      </x:c>
      <x:c r="Q130" s="60" t="str">
        <x:f>IF($A130="","",MAX($L130-$G130,0))</x:f>
      </x:c>
      <x:c r="R130" s="66" t="str">
        <x:f>IF($A130="","",IFERROR($B130+VLOOKUP($F130,Setup!$Z$7:$AA$20,2,FALSE),""))</x:f>
      </x:c>
      <x:c r="S130" s="52" t="str">
        <x:f>IF($A130="","",IF($L130=0,"Draft",IF($Q130&lt;=0,"Paid",IF($G130&gt;0,"Partial","Unpaid"))))</x:f>
      </x:c>
      <x:c r="T130" s="52" t="str">
        <x:f>IF($A130="","",IF($Q130&lt;=0,0,IF($R130="","",MAX(TODAY()-$R130,0))))</x:f>
      </x:c>
      <x:c r="U130" s="52" t="str">
        <x:f>IF($A130="","",IF($S130="Paid","Closed",IF($R130="","Review",IF(TODAY()&lt;=$R130,"Current",IF($T130&lt;=30,"1-30",IF($T130&lt;=60,"31-60",IF($T130&lt;=90,"61-90","90+")))))))</x:f>
      </x:c>
      <x:c r="V130" s="66" t="str">
        <x:f>IF($A130="","",IF(AND($S130="Paid",$H130&lt;&gt;""),$H130,""))</x:f>
      </x:c>
      <x:c r="W130" s="52" t="str">
        <x:f>IF($A130="","",IF(OR(COUNTIF($A$7:$A$156,$A130)&gt;1,$B130="",$C130="",$D130="",$E130="",$F130="",$J130="",$K130="",$L130&lt;=0,$G130&lt;0,$G130&gt;$L130,AND($S130="Paid",$H130="")),"REVIEW","OK"))</x:f>
      </x:c>
    </x:row>
    <x:row r="131">
      <x:c r="A131" s="46"/>
      <x:c r="B131" s="56"/>
      <x:c r="C131" s="46"/>
      <x:c r="D131" s="46"/>
      <x:c r="E131" s="46"/>
      <x:c r="F131" s="46"/>
      <x:c r="G131" s="58"/>
      <x:c r="H131" s="56"/>
      <x:c r="I131" s="46"/>
      <x:c r="J131" s="52" t="str">
        <x:f>IF($A131="","",IFERROR(VLOOKUP($C131,Setup!$J$7:$M$56,2,FALSE),""))</x:f>
      </x:c>
      <x:c r="K131" s="52" t="str">
        <x:f>IF($A131="","",IFERROR(VLOOKUP($C131,Setup!$J$7:$M$56,3,FALSE),""))</x:f>
      </x:c>
      <x:c r="L131" s="60" t="str">
        <x:f>IF($A131="","",SUMIF(Depletion!$A$7:$A$306,$A131,Depletion!$E$7:$E$306))</x:f>
      </x:c>
      <x:c r="M131" s="62" t="str">
        <x:f>IF($A131="","",SUMIF(Depletion!$A$7:$A$306,$A131,Depletion!$C$7:$C$306))</x:f>
      </x:c>
      <x:c r="N131" s="60" t="str">
        <x:f>IF($A131="","",SUMIF(Depletion!$A$7:$A$306,$A131,Depletion!$I$7:$I$306))</x:f>
      </x:c>
      <x:c r="O131" s="60" t="str">
        <x:f>IF($A131="","",$L131-$N131)</x:f>
      </x:c>
      <x:c r="P131" s="64" t="str">
        <x:f>IF($A131="","",IFERROR($O131/$L131,0))</x:f>
      </x:c>
      <x:c r="Q131" s="60" t="str">
        <x:f>IF($A131="","",MAX($L131-$G131,0))</x:f>
      </x:c>
      <x:c r="R131" s="66" t="str">
        <x:f>IF($A131="","",IFERROR($B131+VLOOKUP($F131,Setup!$Z$7:$AA$20,2,FALSE),""))</x:f>
      </x:c>
      <x:c r="S131" s="52" t="str">
        <x:f>IF($A131="","",IF($L131=0,"Draft",IF($Q131&lt;=0,"Paid",IF($G131&gt;0,"Partial","Unpaid"))))</x:f>
      </x:c>
      <x:c r="T131" s="52" t="str">
        <x:f>IF($A131="","",IF($Q131&lt;=0,0,IF($R131="","",MAX(TODAY()-$R131,0))))</x:f>
      </x:c>
      <x:c r="U131" s="52" t="str">
        <x:f>IF($A131="","",IF($S131="Paid","Closed",IF($R131="","Review",IF(TODAY()&lt;=$R131,"Current",IF($T131&lt;=30,"1-30",IF($T131&lt;=60,"31-60",IF($T131&lt;=90,"61-90","90+")))))))</x:f>
      </x:c>
      <x:c r="V131" s="66" t="str">
        <x:f>IF($A131="","",IF(AND($S131="Paid",$H131&lt;&gt;""),$H131,""))</x:f>
      </x:c>
      <x:c r="W131" s="52" t="str">
        <x:f>IF($A131="","",IF(OR(COUNTIF($A$7:$A$156,$A131)&gt;1,$B131="",$C131="",$D131="",$E131="",$F131="",$J131="",$K131="",$L131&lt;=0,$G131&lt;0,$G131&gt;$L131,AND($S131="Paid",$H131="")),"REVIEW","OK"))</x:f>
      </x:c>
    </x:row>
    <x:row r="132">
      <x:c r="A132" s="46"/>
      <x:c r="B132" s="56"/>
      <x:c r="C132" s="46"/>
      <x:c r="D132" s="46"/>
      <x:c r="E132" s="46"/>
      <x:c r="F132" s="46"/>
      <x:c r="G132" s="58"/>
      <x:c r="H132" s="56"/>
      <x:c r="I132" s="46"/>
      <x:c r="J132" s="52" t="str">
        <x:f>IF($A132="","",IFERROR(VLOOKUP($C132,Setup!$J$7:$M$56,2,FALSE),""))</x:f>
      </x:c>
      <x:c r="K132" s="52" t="str">
        <x:f>IF($A132="","",IFERROR(VLOOKUP($C132,Setup!$J$7:$M$56,3,FALSE),""))</x:f>
      </x:c>
      <x:c r="L132" s="60" t="str">
        <x:f>IF($A132="","",SUMIF(Depletion!$A$7:$A$306,$A132,Depletion!$E$7:$E$306))</x:f>
      </x:c>
      <x:c r="M132" s="62" t="str">
        <x:f>IF($A132="","",SUMIF(Depletion!$A$7:$A$306,$A132,Depletion!$C$7:$C$306))</x:f>
      </x:c>
      <x:c r="N132" s="60" t="str">
        <x:f>IF($A132="","",SUMIF(Depletion!$A$7:$A$306,$A132,Depletion!$I$7:$I$306))</x:f>
      </x:c>
      <x:c r="O132" s="60" t="str">
        <x:f>IF($A132="","",$L132-$N132)</x:f>
      </x:c>
      <x:c r="P132" s="64" t="str">
        <x:f>IF($A132="","",IFERROR($O132/$L132,0))</x:f>
      </x:c>
      <x:c r="Q132" s="60" t="str">
        <x:f>IF($A132="","",MAX($L132-$G132,0))</x:f>
      </x:c>
      <x:c r="R132" s="66" t="str">
        <x:f>IF($A132="","",IFERROR($B132+VLOOKUP($F132,Setup!$Z$7:$AA$20,2,FALSE),""))</x:f>
      </x:c>
      <x:c r="S132" s="52" t="str">
        <x:f>IF($A132="","",IF($L132=0,"Draft",IF($Q132&lt;=0,"Paid",IF($G132&gt;0,"Partial","Unpaid"))))</x:f>
      </x:c>
      <x:c r="T132" s="52" t="str">
        <x:f>IF($A132="","",IF($Q132&lt;=0,0,IF($R132="","",MAX(TODAY()-$R132,0))))</x:f>
      </x:c>
      <x:c r="U132" s="52" t="str">
        <x:f>IF($A132="","",IF($S132="Paid","Closed",IF($R132="","Review",IF(TODAY()&lt;=$R132,"Current",IF($T132&lt;=30,"1-30",IF($T132&lt;=60,"31-60",IF($T132&lt;=90,"61-90","90+")))))))</x:f>
      </x:c>
      <x:c r="V132" s="66" t="str">
        <x:f>IF($A132="","",IF(AND($S132="Paid",$H132&lt;&gt;""),$H132,""))</x:f>
      </x:c>
      <x:c r="W132" s="52" t="str">
        <x:f>IF($A132="","",IF(OR(COUNTIF($A$7:$A$156,$A132)&gt;1,$B132="",$C132="",$D132="",$E132="",$F132="",$J132="",$K132="",$L132&lt;=0,$G132&lt;0,$G132&gt;$L132,AND($S132="Paid",$H132="")),"REVIEW","OK"))</x:f>
      </x:c>
    </x:row>
    <x:row r="133">
      <x:c r="A133" s="46"/>
      <x:c r="B133" s="56"/>
      <x:c r="C133" s="46"/>
      <x:c r="D133" s="46"/>
      <x:c r="E133" s="46"/>
      <x:c r="F133" s="46"/>
      <x:c r="G133" s="58"/>
      <x:c r="H133" s="56"/>
      <x:c r="I133" s="46"/>
      <x:c r="J133" s="52" t="str">
        <x:f>IF($A133="","",IFERROR(VLOOKUP($C133,Setup!$J$7:$M$56,2,FALSE),""))</x:f>
      </x:c>
      <x:c r="K133" s="52" t="str">
        <x:f>IF($A133="","",IFERROR(VLOOKUP($C133,Setup!$J$7:$M$56,3,FALSE),""))</x:f>
      </x:c>
      <x:c r="L133" s="60" t="str">
        <x:f>IF($A133="","",SUMIF(Depletion!$A$7:$A$306,$A133,Depletion!$E$7:$E$306))</x:f>
      </x:c>
      <x:c r="M133" s="62" t="str">
        <x:f>IF($A133="","",SUMIF(Depletion!$A$7:$A$306,$A133,Depletion!$C$7:$C$306))</x:f>
      </x:c>
      <x:c r="N133" s="60" t="str">
        <x:f>IF($A133="","",SUMIF(Depletion!$A$7:$A$306,$A133,Depletion!$I$7:$I$306))</x:f>
      </x:c>
      <x:c r="O133" s="60" t="str">
        <x:f>IF($A133="","",$L133-$N133)</x:f>
      </x:c>
      <x:c r="P133" s="64" t="str">
        <x:f>IF($A133="","",IFERROR($O133/$L133,0))</x:f>
      </x:c>
      <x:c r="Q133" s="60" t="str">
        <x:f>IF($A133="","",MAX($L133-$G133,0))</x:f>
      </x:c>
      <x:c r="R133" s="66" t="str">
        <x:f>IF($A133="","",IFERROR($B133+VLOOKUP($F133,Setup!$Z$7:$AA$20,2,FALSE),""))</x:f>
      </x:c>
      <x:c r="S133" s="52" t="str">
        <x:f>IF($A133="","",IF($L133=0,"Draft",IF($Q133&lt;=0,"Paid",IF($G133&gt;0,"Partial","Unpaid"))))</x:f>
      </x:c>
      <x:c r="T133" s="52" t="str">
        <x:f>IF($A133="","",IF($Q133&lt;=0,0,IF($R133="","",MAX(TODAY()-$R133,0))))</x:f>
      </x:c>
      <x:c r="U133" s="52" t="str">
        <x:f>IF($A133="","",IF($S133="Paid","Closed",IF($R133="","Review",IF(TODAY()&lt;=$R133,"Current",IF($T133&lt;=30,"1-30",IF($T133&lt;=60,"31-60",IF($T133&lt;=90,"61-90","90+")))))))</x:f>
      </x:c>
      <x:c r="V133" s="66" t="str">
        <x:f>IF($A133="","",IF(AND($S133="Paid",$H133&lt;&gt;""),$H133,""))</x:f>
      </x:c>
      <x:c r="W133" s="52" t="str">
        <x:f>IF($A133="","",IF(OR(COUNTIF($A$7:$A$156,$A133)&gt;1,$B133="",$C133="",$D133="",$E133="",$F133="",$J133="",$K133="",$L133&lt;=0,$G133&lt;0,$G133&gt;$L133,AND($S133="Paid",$H133="")),"REVIEW","OK"))</x:f>
      </x:c>
    </x:row>
    <x:row r="134">
      <x:c r="A134" s="46"/>
      <x:c r="B134" s="56"/>
      <x:c r="C134" s="46"/>
      <x:c r="D134" s="46"/>
      <x:c r="E134" s="46"/>
      <x:c r="F134" s="46"/>
      <x:c r="G134" s="58"/>
      <x:c r="H134" s="56"/>
      <x:c r="I134" s="46"/>
      <x:c r="J134" s="52" t="str">
        <x:f>IF($A134="","",IFERROR(VLOOKUP($C134,Setup!$J$7:$M$56,2,FALSE),""))</x:f>
      </x:c>
      <x:c r="K134" s="52" t="str">
        <x:f>IF($A134="","",IFERROR(VLOOKUP($C134,Setup!$J$7:$M$56,3,FALSE),""))</x:f>
      </x:c>
      <x:c r="L134" s="60" t="str">
        <x:f>IF($A134="","",SUMIF(Depletion!$A$7:$A$306,$A134,Depletion!$E$7:$E$306))</x:f>
      </x:c>
      <x:c r="M134" s="62" t="str">
        <x:f>IF($A134="","",SUMIF(Depletion!$A$7:$A$306,$A134,Depletion!$C$7:$C$306))</x:f>
      </x:c>
      <x:c r="N134" s="60" t="str">
        <x:f>IF($A134="","",SUMIF(Depletion!$A$7:$A$306,$A134,Depletion!$I$7:$I$306))</x:f>
      </x:c>
      <x:c r="O134" s="60" t="str">
        <x:f>IF($A134="","",$L134-$N134)</x:f>
      </x:c>
      <x:c r="P134" s="64" t="str">
        <x:f>IF($A134="","",IFERROR($O134/$L134,0))</x:f>
      </x:c>
      <x:c r="Q134" s="60" t="str">
        <x:f>IF($A134="","",MAX($L134-$G134,0))</x:f>
      </x:c>
      <x:c r="R134" s="66" t="str">
        <x:f>IF($A134="","",IFERROR($B134+VLOOKUP($F134,Setup!$Z$7:$AA$20,2,FALSE),""))</x:f>
      </x:c>
      <x:c r="S134" s="52" t="str">
        <x:f>IF($A134="","",IF($L134=0,"Draft",IF($Q134&lt;=0,"Paid",IF($G134&gt;0,"Partial","Unpaid"))))</x:f>
      </x:c>
      <x:c r="T134" s="52" t="str">
        <x:f>IF($A134="","",IF($Q134&lt;=0,0,IF($R134="","",MAX(TODAY()-$R134,0))))</x:f>
      </x:c>
      <x:c r="U134" s="52" t="str">
        <x:f>IF($A134="","",IF($S134="Paid","Closed",IF($R134="","Review",IF(TODAY()&lt;=$R134,"Current",IF($T134&lt;=30,"1-30",IF($T134&lt;=60,"31-60",IF($T134&lt;=90,"61-90","90+")))))))</x:f>
      </x:c>
      <x:c r="V134" s="66" t="str">
        <x:f>IF($A134="","",IF(AND($S134="Paid",$H134&lt;&gt;""),$H134,""))</x:f>
      </x:c>
      <x:c r="W134" s="52" t="str">
        <x:f>IF($A134="","",IF(OR(COUNTIF($A$7:$A$156,$A134)&gt;1,$B134="",$C134="",$D134="",$E134="",$F134="",$J134="",$K134="",$L134&lt;=0,$G134&lt;0,$G134&gt;$L134,AND($S134="Paid",$H134="")),"REVIEW","OK"))</x:f>
      </x:c>
    </x:row>
    <x:row r="135">
      <x:c r="A135" s="46"/>
      <x:c r="B135" s="56"/>
      <x:c r="C135" s="46"/>
      <x:c r="D135" s="46"/>
      <x:c r="E135" s="46"/>
      <x:c r="F135" s="46"/>
      <x:c r="G135" s="58"/>
      <x:c r="H135" s="56"/>
      <x:c r="I135" s="46"/>
      <x:c r="J135" s="52" t="str">
        <x:f>IF($A135="","",IFERROR(VLOOKUP($C135,Setup!$J$7:$M$56,2,FALSE),""))</x:f>
      </x:c>
      <x:c r="K135" s="52" t="str">
        <x:f>IF($A135="","",IFERROR(VLOOKUP($C135,Setup!$J$7:$M$56,3,FALSE),""))</x:f>
      </x:c>
      <x:c r="L135" s="60" t="str">
        <x:f>IF($A135="","",SUMIF(Depletion!$A$7:$A$306,$A135,Depletion!$E$7:$E$306))</x:f>
      </x:c>
      <x:c r="M135" s="62" t="str">
        <x:f>IF($A135="","",SUMIF(Depletion!$A$7:$A$306,$A135,Depletion!$C$7:$C$306))</x:f>
      </x:c>
      <x:c r="N135" s="60" t="str">
        <x:f>IF($A135="","",SUMIF(Depletion!$A$7:$A$306,$A135,Depletion!$I$7:$I$306))</x:f>
      </x:c>
      <x:c r="O135" s="60" t="str">
        <x:f>IF($A135="","",$L135-$N135)</x:f>
      </x:c>
      <x:c r="P135" s="64" t="str">
        <x:f>IF($A135="","",IFERROR($O135/$L135,0))</x:f>
      </x:c>
      <x:c r="Q135" s="60" t="str">
        <x:f>IF($A135="","",MAX($L135-$G135,0))</x:f>
      </x:c>
      <x:c r="R135" s="66" t="str">
        <x:f>IF($A135="","",IFERROR($B135+VLOOKUP($F135,Setup!$Z$7:$AA$20,2,FALSE),""))</x:f>
      </x:c>
      <x:c r="S135" s="52" t="str">
        <x:f>IF($A135="","",IF($L135=0,"Draft",IF($Q135&lt;=0,"Paid",IF($G135&gt;0,"Partial","Unpaid"))))</x:f>
      </x:c>
      <x:c r="T135" s="52" t="str">
        <x:f>IF($A135="","",IF($Q135&lt;=0,0,IF($R135="","",MAX(TODAY()-$R135,0))))</x:f>
      </x:c>
      <x:c r="U135" s="52" t="str">
        <x:f>IF($A135="","",IF($S135="Paid","Closed",IF($R135="","Review",IF(TODAY()&lt;=$R135,"Current",IF($T135&lt;=30,"1-30",IF($T135&lt;=60,"31-60",IF($T135&lt;=90,"61-90","90+")))))))</x:f>
      </x:c>
      <x:c r="V135" s="66" t="str">
        <x:f>IF($A135="","",IF(AND($S135="Paid",$H135&lt;&gt;""),$H135,""))</x:f>
      </x:c>
      <x:c r="W135" s="52" t="str">
        <x:f>IF($A135="","",IF(OR(COUNTIF($A$7:$A$156,$A135)&gt;1,$B135="",$C135="",$D135="",$E135="",$F135="",$J135="",$K135="",$L135&lt;=0,$G135&lt;0,$G135&gt;$L135,AND($S135="Paid",$H135="")),"REVIEW","OK"))</x:f>
      </x:c>
    </x:row>
    <x:row r="136">
      <x:c r="A136" s="46"/>
      <x:c r="B136" s="56"/>
      <x:c r="C136" s="46"/>
      <x:c r="D136" s="46"/>
      <x:c r="E136" s="46"/>
      <x:c r="F136" s="46"/>
      <x:c r="G136" s="58"/>
      <x:c r="H136" s="56"/>
      <x:c r="I136" s="46"/>
      <x:c r="J136" s="52" t="str">
        <x:f>IF($A136="","",IFERROR(VLOOKUP($C136,Setup!$J$7:$M$56,2,FALSE),""))</x:f>
      </x:c>
      <x:c r="K136" s="52" t="str">
        <x:f>IF($A136="","",IFERROR(VLOOKUP($C136,Setup!$J$7:$M$56,3,FALSE),""))</x:f>
      </x:c>
      <x:c r="L136" s="60" t="str">
        <x:f>IF($A136="","",SUMIF(Depletion!$A$7:$A$306,$A136,Depletion!$E$7:$E$306))</x:f>
      </x:c>
      <x:c r="M136" s="62" t="str">
        <x:f>IF($A136="","",SUMIF(Depletion!$A$7:$A$306,$A136,Depletion!$C$7:$C$306))</x:f>
      </x:c>
      <x:c r="N136" s="60" t="str">
        <x:f>IF($A136="","",SUMIF(Depletion!$A$7:$A$306,$A136,Depletion!$I$7:$I$306))</x:f>
      </x:c>
      <x:c r="O136" s="60" t="str">
        <x:f>IF($A136="","",$L136-$N136)</x:f>
      </x:c>
      <x:c r="P136" s="64" t="str">
        <x:f>IF($A136="","",IFERROR($O136/$L136,0))</x:f>
      </x:c>
      <x:c r="Q136" s="60" t="str">
        <x:f>IF($A136="","",MAX($L136-$G136,0))</x:f>
      </x:c>
      <x:c r="R136" s="66" t="str">
        <x:f>IF($A136="","",IFERROR($B136+VLOOKUP($F136,Setup!$Z$7:$AA$20,2,FALSE),""))</x:f>
      </x:c>
      <x:c r="S136" s="52" t="str">
        <x:f>IF($A136="","",IF($L136=0,"Draft",IF($Q136&lt;=0,"Paid",IF($G136&gt;0,"Partial","Unpaid"))))</x:f>
      </x:c>
      <x:c r="T136" s="52" t="str">
        <x:f>IF($A136="","",IF($Q136&lt;=0,0,IF($R136="","",MAX(TODAY()-$R136,0))))</x:f>
      </x:c>
      <x:c r="U136" s="52" t="str">
        <x:f>IF($A136="","",IF($S136="Paid","Closed",IF($R136="","Review",IF(TODAY()&lt;=$R136,"Current",IF($T136&lt;=30,"1-30",IF($T136&lt;=60,"31-60",IF($T136&lt;=90,"61-90","90+")))))))</x:f>
      </x:c>
      <x:c r="V136" s="66" t="str">
        <x:f>IF($A136="","",IF(AND($S136="Paid",$H136&lt;&gt;""),$H136,""))</x:f>
      </x:c>
      <x:c r="W136" s="52" t="str">
        <x:f>IF($A136="","",IF(OR(COUNTIF($A$7:$A$156,$A136)&gt;1,$B136="",$C136="",$D136="",$E136="",$F136="",$J136="",$K136="",$L136&lt;=0,$G136&lt;0,$G136&gt;$L136,AND($S136="Paid",$H136="")),"REVIEW","OK"))</x:f>
      </x:c>
    </x:row>
    <x:row r="137">
      <x:c r="A137" s="46"/>
      <x:c r="B137" s="56"/>
      <x:c r="C137" s="46"/>
      <x:c r="D137" s="46"/>
      <x:c r="E137" s="46"/>
      <x:c r="F137" s="46"/>
      <x:c r="G137" s="58"/>
      <x:c r="H137" s="56"/>
      <x:c r="I137" s="46"/>
      <x:c r="J137" s="52" t="str">
        <x:f>IF($A137="","",IFERROR(VLOOKUP($C137,Setup!$J$7:$M$56,2,FALSE),""))</x:f>
      </x:c>
      <x:c r="K137" s="52" t="str">
        <x:f>IF($A137="","",IFERROR(VLOOKUP($C137,Setup!$J$7:$M$56,3,FALSE),""))</x:f>
      </x:c>
      <x:c r="L137" s="60" t="str">
        <x:f>IF($A137="","",SUMIF(Depletion!$A$7:$A$306,$A137,Depletion!$E$7:$E$306))</x:f>
      </x:c>
      <x:c r="M137" s="62" t="str">
        <x:f>IF($A137="","",SUMIF(Depletion!$A$7:$A$306,$A137,Depletion!$C$7:$C$306))</x:f>
      </x:c>
      <x:c r="N137" s="60" t="str">
        <x:f>IF($A137="","",SUMIF(Depletion!$A$7:$A$306,$A137,Depletion!$I$7:$I$306))</x:f>
      </x:c>
      <x:c r="O137" s="60" t="str">
        <x:f>IF($A137="","",$L137-$N137)</x:f>
      </x:c>
      <x:c r="P137" s="64" t="str">
        <x:f>IF($A137="","",IFERROR($O137/$L137,0))</x:f>
      </x:c>
      <x:c r="Q137" s="60" t="str">
        <x:f>IF($A137="","",MAX($L137-$G137,0))</x:f>
      </x:c>
      <x:c r="R137" s="66" t="str">
        <x:f>IF($A137="","",IFERROR($B137+VLOOKUP($F137,Setup!$Z$7:$AA$20,2,FALSE),""))</x:f>
      </x:c>
      <x:c r="S137" s="52" t="str">
        <x:f>IF($A137="","",IF($L137=0,"Draft",IF($Q137&lt;=0,"Paid",IF($G137&gt;0,"Partial","Unpaid"))))</x:f>
      </x:c>
      <x:c r="T137" s="52" t="str">
        <x:f>IF($A137="","",IF($Q137&lt;=0,0,IF($R137="","",MAX(TODAY()-$R137,0))))</x:f>
      </x:c>
      <x:c r="U137" s="52" t="str">
        <x:f>IF($A137="","",IF($S137="Paid","Closed",IF($R137="","Review",IF(TODAY()&lt;=$R137,"Current",IF($T137&lt;=30,"1-30",IF($T137&lt;=60,"31-60",IF($T137&lt;=90,"61-90","90+")))))))</x:f>
      </x:c>
      <x:c r="V137" s="66" t="str">
        <x:f>IF($A137="","",IF(AND($S137="Paid",$H137&lt;&gt;""),$H137,""))</x:f>
      </x:c>
      <x:c r="W137" s="52" t="str">
        <x:f>IF($A137="","",IF(OR(COUNTIF($A$7:$A$156,$A137)&gt;1,$B137="",$C137="",$D137="",$E137="",$F137="",$J137="",$K137="",$L137&lt;=0,$G137&lt;0,$G137&gt;$L137,AND($S137="Paid",$H137="")),"REVIEW","OK"))</x:f>
      </x:c>
    </x:row>
    <x:row r="138">
      <x:c r="A138" s="46"/>
      <x:c r="B138" s="56"/>
      <x:c r="C138" s="46"/>
      <x:c r="D138" s="46"/>
      <x:c r="E138" s="46"/>
      <x:c r="F138" s="46"/>
      <x:c r="G138" s="58"/>
      <x:c r="H138" s="56"/>
      <x:c r="I138" s="46"/>
      <x:c r="J138" s="52" t="str">
        <x:f>IF($A138="","",IFERROR(VLOOKUP($C138,Setup!$J$7:$M$56,2,FALSE),""))</x:f>
      </x:c>
      <x:c r="K138" s="52" t="str">
        <x:f>IF($A138="","",IFERROR(VLOOKUP($C138,Setup!$J$7:$M$56,3,FALSE),""))</x:f>
      </x:c>
      <x:c r="L138" s="60" t="str">
        <x:f>IF($A138="","",SUMIF(Depletion!$A$7:$A$306,$A138,Depletion!$E$7:$E$306))</x:f>
      </x:c>
      <x:c r="M138" s="62" t="str">
        <x:f>IF($A138="","",SUMIF(Depletion!$A$7:$A$306,$A138,Depletion!$C$7:$C$306))</x:f>
      </x:c>
      <x:c r="N138" s="60" t="str">
        <x:f>IF($A138="","",SUMIF(Depletion!$A$7:$A$306,$A138,Depletion!$I$7:$I$306))</x:f>
      </x:c>
      <x:c r="O138" s="60" t="str">
        <x:f>IF($A138="","",$L138-$N138)</x:f>
      </x:c>
      <x:c r="P138" s="64" t="str">
        <x:f>IF($A138="","",IFERROR($O138/$L138,0))</x:f>
      </x:c>
      <x:c r="Q138" s="60" t="str">
        <x:f>IF($A138="","",MAX($L138-$G138,0))</x:f>
      </x:c>
      <x:c r="R138" s="66" t="str">
        <x:f>IF($A138="","",IFERROR($B138+VLOOKUP($F138,Setup!$Z$7:$AA$20,2,FALSE),""))</x:f>
      </x:c>
      <x:c r="S138" s="52" t="str">
        <x:f>IF($A138="","",IF($L138=0,"Draft",IF($Q138&lt;=0,"Paid",IF($G138&gt;0,"Partial","Unpaid"))))</x:f>
      </x:c>
      <x:c r="T138" s="52" t="str">
        <x:f>IF($A138="","",IF($Q138&lt;=0,0,IF($R138="","",MAX(TODAY()-$R138,0))))</x:f>
      </x:c>
      <x:c r="U138" s="52" t="str">
        <x:f>IF($A138="","",IF($S138="Paid","Closed",IF($R138="","Review",IF(TODAY()&lt;=$R138,"Current",IF($T138&lt;=30,"1-30",IF($T138&lt;=60,"31-60",IF($T138&lt;=90,"61-90","90+")))))))</x:f>
      </x:c>
      <x:c r="V138" s="66" t="str">
        <x:f>IF($A138="","",IF(AND($S138="Paid",$H138&lt;&gt;""),$H138,""))</x:f>
      </x:c>
      <x:c r="W138" s="52" t="str">
        <x:f>IF($A138="","",IF(OR(COUNTIF($A$7:$A$156,$A138)&gt;1,$B138="",$C138="",$D138="",$E138="",$F138="",$J138="",$K138="",$L138&lt;=0,$G138&lt;0,$G138&gt;$L138,AND($S138="Paid",$H138="")),"REVIEW","OK"))</x:f>
      </x:c>
    </x:row>
    <x:row r="139">
      <x:c r="A139" s="46"/>
      <x:c r="B139" s="56"/>
      <x:c r="C139" s="46"/>
      <x:c r="D139" s="46"/>
      <x:c r="E139" s="46"/>
      <x:c r="F139" s="46"/>
      <x:c r="G139" s="58"/>
      <x:c r="H139" s="56"/>
      <x:c r="I139" s="46"/>
      <x:c r="J139" s="52" t="str">
        <x:f>IF($A139="","",IFERROR(VLOOKUP($C139,Setup!$J$7:$M$56,2,FALSE),""))</x:f>
      </x:c>
      <x:c r="K139" s="52" t="str">
        <x:f>IF($A139="","",IFERROR(VLOOKUP($C139,Setup!$J$7:$M$56,3,FALSE),""))</x:f>
      </x:c>
      <x:c r="L139" s="60" t="str">
        <x:f>IF($A139="","",SUMIF(Depletion!$A$7:$A$306,$A139,Depletion!$E$7:$E$306))</x:f>
      </x:c>
      <x:c r="M139" s="62" t="str">
        <x:f>IF($A139="","",SUMIF(Depletion!$A$7:$A$306,$A139,Depletion!$C$7:$C$306))</x:f>
      </x:c>
      <x:c r="N139" s="60" t="str">
        <x:f>IF($A139="","",SUMIF(Depletion!$A$7:$A$306,$A139,Depletion!$I$7:$I$306))</x:f>
      </x:c>
      <x:c r="O139" s="60" t="str">
        <x:f>IF($A139="","",$L139-$N139)</x:f>
      </x:c>
      <x:c r="P139" s="64" t="str">
        <x:f>IF($A139="","",IFERROR($O139/$L139,0))</x:f>
      </x:c>
      <x:c r="Q139" s="60" t="str">
        <x:f>IF($A139="","",MAX($L139-$G139,0))</x:f>
      </x:c>
      <x:c r="R139" s="66" t="str">
        <x:f>IF($A139="","",IFERROR($B139+VLOOKUP($F139,Setup!$Z$7:$AA$20,2,FALSE),""))</x:f>
      </x:c>
      <x:c r="S139" s="52" t="str">
        <x:f>IF($A139="","",IF($L139=0,"Draft",IF($Q139&lt;=0,"Paid",IF($G139&gt;0,"Partial","Unpaid"))))</x:f>
      </x:c>
      <x:c r="T139" s="52" t="str">
        <x:f>IF($A139="","",IF($Q139&lt;=0,0,IF($R139="","",MAX(TODAY()-$R139,0))))</x:f>
      </x:c>
      <x:c r="U139" s="52" t="str">
        <x:f>IF($A139="","",IF($S139="Paid","Closed",IF($R139="","Review",IF(TODAY()&lt;=$R139,"Current",IF($T139&lt;=30,"1-30",IF($T139&lt;=60,"31-60",IF($T139&lt;=90,"61-90","90+")))))))</x:f>
      </x:c>
      <x:c r="V139" s="66" t="str">
        <x:f>IF($A139="","",IF(AND($S139="Paid",$H139&lt;&gt;""),$H139,""))</x:f>
      </x:c>
      <x:c r="W139" s="52" t="str">
        <x:f>IF($A139="","",IF(OR(COUNTIF($A$7:$A$156,$A139)&gt;1,$B139="",$C139="",$D139="",$E139="",$F139="",$J139="",$K139="",$L139&lt;=0,$G139&lt;0,$G139&gt;$L139,AND($S139="Paid",$H139="")),"REVIEW","OK"))</x:f>
      </x:c>
    </x:row>
    <x:row r="140">
      <x:c r="A140" s="46"/>
      <x:c r="B140" s="56"/>
      <x:c r="C140" s="46"/>
      <x:c r="D140" s="46"/>
      <x:c r="E140" s="46"/>
      <x:c r="F140" s="46"/>
      <x:c r="G140" s="58"/>
      <x:c r="H140" s="56"/>
      <x:c r="I140" s="46"/>
      <x:c r="J140" s="52" t="str">
        <x:f>IF($A140="","",IFERROR(VLOOKUP($C140,Setup!$J$7:$M$56,2,FALSE),""))</x:f>
      </x:c>
      <x:c r="K140" s="52" t="str">
        <x:f>IF($A140="","",IFERROR(VLOOKUP($C140,Setup!$J$7:$M$56,3,FALSE),""))</x:f>
      </x:c>
      <x:c r="L140" s="60" t="str">
        <x:f>IF($A140="","",SUMIF(Depletion!$A$7:$A$306,$A140,Depletion!$E$7:$E$306))</x:f>
      </x:c>
      <x:c r="M140" s="62" t="str">
        <x:f>IF($A140="","",SUMIF(Depletion!$A$7:$A$306,$A140,Depletion!$C$7:$C$306))</x:f>
      </x:c>
      <x:c r="N140" s="60" t="str">
        <x:f>IF($A140="","",SUMIF(Depletion!$A$7:$A$306,$A140,Depletion!$I$7:$I$306))</x:f>
      </x:c>
      <x:c r="O140" s="60" t="str">
        <x:f>IF($A140="","",$L140-$N140)</x:f>
      </x:c>
      <x:c r="P140" s="64" t="str">
        <x:f>IF($A140="","",IFERROR($O140/$L140,0))</x:f>
      </x:c>
      <x:c r="Q140" s="60" t="str">
        <x:f>IF($A140="","",MAX($L140-$G140,0))</x:f>
      </x:c>
      <x:c r="R140" s="66" t="str">
        <x:f>IF($A140="","",IFERROR($B140+VLOOKUP($F140,Setup!$Z$7:$AA$20,2,FALSE),""))</x:f>
      </x:c>
      <x:c r="S140" s="52" t="str">
        <x:f>IF($A140="","",IF($L140=0,"Draft",IF($Q140&lt;=0,"Paid",IF($G140&gt;0,"Partial","Unpaid"))))</x:f>
      </x:c>
      <x:c r="T140" s="52" t="str">
        <x:f>IF($A140="","",IF($Q140&lt;=0,0,IF($R140="","",MAX(TODAY()-$R140,0))))</x:f>
      </x:c>
      <x:c r="U140" s="52" t="str">
        <x:f>IF($A140="","",IF($S140="Paid","Closed",IF($R140="","Review",IF(TODAY()&lt;=$R140,"Current",IF($T140&lt;=30,"1-30",IF($T140&lt;=60,"31-60",IF($T140&lt;=90,"61-90","90+")))))))</x:f>
      </x:c>
      <x:c r="V140" s="66" t="str">
        <x:f>IF($A140="","",IF(AND($S140="Paid",$H140&lt;&gt;""),$H140,""))</x:f>
      </x:c>
      <x:c r="W140" s="52" t="str">
        <x:f>IF($A140="","",IF(OR(COUNTIF($A$7:$A$156,$A140)&gt;1,$B140="",$C140="",$D140="",$E140="",$F140="",$J140="",$K140="",$L140&lt;=0,$G140&lt;0,$G140&gt;$L140,AND($S140="Paid",$H140="")),"REVIEW","OK"))</x:f>
      </x:c>
    </x:row>
    <x:row r="141">
      <x:c r="A141" s="46"/>
      <x:c r="B141" s="56"/>
      <x:c r="C141" s="46"/>
      <x:c r="D141" s="46"/>
      <x:c r="E141" s="46"/>
      <x:c r="F141" s="46"/>
      <x:c r="G141" s="58"/>
      <x:c r="H141" s="56"/>
      <x:c r="I141" s="46"/>
      <x:c r="J141" s="52" t="str">
        <x:f>IF($A141="","",IFERROR(VLOOKUP($C141,Setup!$J$7:$M$56,2,FALSE),""))</x:f>
      </x:c>
      <x:c r="K141" s="52" t="str">
        <x:f>IF($A141="","",IFERROR(VLOOKUP($C141,Setup!$J$7:$M$56,3,FALSE),""))</x:f>
      </x:c>
      <x:c r="L141" s="60" t="str">
        <x:f>IF($A141="","",SUMIF(Depletion!$A$7:$A$306,$A141,Depletion!$E$7:$E$306))</x:f>
      </x:c>
      <x:c r="M141" s="62" t="str">
        <x:f>IF($A141="","",SUMIF(Depletion!$A$7:$A$306,$A141,Depletion!$C$7:$C$306))</x:f>
      </x:c>
      <x:c r="N141" s="60" t="str">
        <x:f>IF($A141="","",SUMIF(Depletion!$A$7:$A$306,$A141,Depletion!$I$7:$I$306))</x:f>
      </x:c>
      <x:c r="O141" s="60" t="str">
        <x:f>IF($A141="","",$L141-$N141)</x:f>
      </x:c>
      <x:c r="P141" s="64" t="str">
        <x:f>IF($A141="","",IFERROR($O141/$L141,0))</x:f>
      </x:c>
      <x:c r="Q141" s="60" t="str">
        <x:f>IF($A141="","",MAX($L141-$G141,0))</x:f>
      </x:c>
      <x:c r="R141" s="66" t="str">
        <x:f>IF($A141="","",IFERROR($B141+VLOOKUP($F141,Setup!$Z$7:$AA$20,2,FALSE),""))</x:f>
      </x:c>
      <x:c r="S141" s="52" t="str">
        <x:f>IF($A141="","",IF($L141=0,"Draft",IF($Q141&lt;=0,"Paid",IF($G141&gt;0,"Partial","Unpaid"))))</x:f>
      </x:c>
      <x:c r="T141" s="52" t="str">
        <x:f>IF($A141="","",IF($Q141&lt;=0,0,IF($R141="","",MAX(TODAY()-$R141,0))))</x:f>
      </x:c>
      <x:c r="U141" s="52" t="str">
        <x:f>IF($A141="","",IF($S141="Paid","Closed",IF($R141="","Review",IF(TODAY()&lt;=$R141,"Current",IF($T141&lt;=30,"1-30",IF($T141&lt;=60,"31-60",IF($T141&lt;=90,"61-90","90+")))))))</x:f>
      </x:c>
      <x:c r="V141" s="66" t="str">
        <x:f>IF($A141="","",IF(AND($S141="Paid",$H141&lt;&gt;""),$H141,""))</x:f>
      </x:c>
      <x:c r="W141" s="52" t="str">
        <x:f>IF($A141="","",IF(OR(COUNTIF($A$7:$A$156,$A141)&gt;1,$B141="",$C141="",$D141="",$E141="",$F141="",$J141="",$K141="",$L141&lt;=0,$G141&lt;0,$G141&gt;$L141,AND($S141="Paid",$H141="")),"REVIEW","OK"))</x:f>
      </x:c>
    </x:row>
    <x:row r="142">
      <x:c r="A142" s="46"/>
      <x:c r="B142" s="56"/>
      <x:c r="C142" s="46"/>
      <x:c r="D142" s="46"/>
      <x:c r="E142" s="46"/>
      <x:c r="F142" s="46"/>
      <x:c r="G142" s="58"/>
      <x:c r="H142" s="56"/>
      <x:c r="I142" s="46"/>
      <x:c r="J142" s="52" t="str">
        <x:f>IF($A142="","",IFERROR(VLOOKUP($C142,Setup!$J$7:$M$56,2,FALSE),""))</x:f>
      </x:c>
      <x:c r="K142" s="52" t="str">
        <x:f>IF($A142="","",IFERROR(VLOOKUP($C142,Setup!$J$7:$M$56,3,FALSE),""))</x:f>
      </x:c>
      <x:c r="L142" s="60" t="str">
        <x:f>IF($A142="","",SUMIF(Depletion!$A$7:$A$306,$A142,Depletion!$E$7:$E$306))</x:f>
      </x:c>
      <x:c r="M142" s="62" t="str">
        <x:f>IF($A142="","",SUMIF(Depletion!$A$7:$A$306,$A142,Depletion!$C$7:$C$306))</x:f>
      </x:c>
      <x:c r="N142" s="60" t="str">
        <x:f>IF($A142="","",SUMIF(Depletion!$A$7:$A$306,$A142,Depletion!$I$7:$I$306))</x:f>
      </x:c>
      <x:c r="O142" s="60" t="str">
        <x:f>IF($A142="","",$L142-$N142)</x:f>
      </x:c>
      <x:c r="P142" s="64" t="str">
        <x:f>IF($A142="","",IFERROR($O142/$L142,0))</x:f>
      </x:c>
      <x:c r="Q142" s="60" t="str">
        <x:f>IF($A142="","",MAX($L142-$G142,0))</x:f>
      </x:c>
      <x:c r="R142" s="66" t="str">
        <x:f>IF($A142="","",IFERROR($B142+VLOOKUP($F142,Setup!$Z$7:$AA$20,2,FALSE),""))</x:f>
      </x:c>
      <x:c r="S142" s="52" t="str">
        <x:f>IF($A142="","",IF($L142=0,"Draft",IF($Q142&lt;=0,"Paid",IF($G142&gt;0,"Partial","Unpaid"))))</x:f>
      </x:c>
      <x:c r="T142" s="52" t="str">
        <x:f>IF($A142="","",IF($Q142&lt;=0,0,IF($R142="","",MAX(TODAY()-$R142,0))))</x:f>
      </x:c>
      <x:c r="U142" s="52" t="str">
        <x:f>IF($A142="","",IF($S142="Paid","Closed",IF($R142="","Review",IF(TODAY()&lt;=$R142,"Current",IF($T142&lt;=30,"1-30",IF($T142&lt;=60,"31-60",IF($T142&lt;=90,"61-90","90+")))))))</x:f>
      </x:c>
      <x:c r="V142" s="66" t="str">
        <x:f>IF($A142="","",IF(AND($S142="Paid",$H142&lt;&gt;""),$H142,""))</x:f>
      </x:c>
      <x:c r="W142" s="52" t="str">
        <x:f>IF($A142="","",IF(OR(COUNTIF($A$7:$A$156,$A142)&gt;1,$B142="",$C142="",$D142="",$E142="",$F142="",$J142="",$K142="",$L142&lt;=0,$G142&lt;0,$G142&gt;$L142,AND($S142="Paid",$H142="")),"REVIEW","OK"))</x:f>
      </x:c>
    </x:row>
    <x:row r="143">
      <x:c r="A143" s="46"/>
      <x:c r="B143" s="56"/>
      <x:c r="C143" s="46"/>
      <x:c r="D143" s="46"/>
      <x:c r="E143" s="46"/>
      <x:c r="F143" s="46"/>
      <x:c r="G143" s="58"/>
      <x:c r="H143" s="56"/>
      <x:c r="I143" s="46"/>
      <x:c r="J143" s="52" t="str">
        <x:f>IF($A143="","",IFERROR(VLOOKUP($C143,Setup!$J$7:$M$56,2,FALSE),""))</x:f>
      </x:c>
      <x:c r="K143" s="52" t="str">
        <x:f>IF($A143="","",IFERROR(VLOOKUP($C143,Setup!$J$7:$M$56,3,FALSE),""))</x:f>
      </x:c>
      <x:c r="L143" s="60" t="str">
        <x:f>IF($A143="","",SUMIF(Depletion!$A$7:$A$306,$A143,Depletion!$E$7:$E$306))</x:f>
      </x:c>
      <x:c r="M143" s="62" t="str">
        <x:f>IF($A143="","",SUMIF(Depletion!$A$7:$A$306,$A143,Depletion!$C$7:$C$306))</x:f>
      </x:c>
      <x:c r="N143" s="60" t="str">
        <x:f>IF($A143="","",SUMIF(Depletion!$A$7:$A$306,$A143,Depletion!$I$7:$I$306))</x:f>
      </x:c>
      <x:c r="O143" s="60" t="str">
        <x:f>IF($A143="","",$L143-$N143)</x:f>
      </x:c>
      <x:c r="P143" s="64" t="str">
        <x:f>IF($A143="","",IFERROR($O143/$L143,0))</x:f>
      </x:c>
      <x:c r="Q143" s="60" t="str">
        <x:f>IF($A143="","",MAX($L143-$G143,0))</x:f>
      </x:c>
      <x:c r="R143" s="66" t="str">
        <x:f>IF($A143="","",IFERROR($B143+VLOOKUP($F143,Setup!$Z$7:$AA$20,2,FALSE),""))</x:f>
      </x:c>
      <x:c r="S143" s="52" t="str">
        <x:f>IF($A143="","",IF($L143=0,"Draft",IF($Q143&lt;=0,"Paid",IF($G143&gt;0,"Partial","Unpaid"))))</x:f>
      </x:c>
      <x:c r="T143" s="52" t="str">
        <x:f>IF($A143="","",IF($Q143&lt;=0,0,IF($R143="","",MAX(TODAY()-$R143,0))))</x:f>
      </x:c>
      <x:c r="U143" s="52" t="str">
        <x:f>IF($A143="","",IF($S143="Paid","Closed",IF($R143="","Review",IF(TODAY()&lt;=$R143,"Current",IF($T143&lt;=30,"1-30",IF($T143&lt;=60,"31-60",IF($T143&lt;=90,"61-90","90+")))))))</x:f>
      </x:c>
      <x:c r="V143" s="66" t="str">
        <x:f>IF($A143="","",IF(AND($S143="Paid",$H143&lt;&gt;""),$H143,""))</x:f>
      </x:c>
      <x:c r="W143" s="52" t="str">
        <x:f>IF($A143="","",IF(OR(COUNTIF($A$7:$A$156,$A143)&gt;1,$B143="",$C143="",$D143="",$E143="",$F143="",$J143="",$K143="",$L143&lt;=0,$G143&lt;0,$G143&gt;$L143,AND($S143="Paid",$H143="")),"REVIEW","OK"))</x:f>
      </x:c>
    </x:row>
    <x:row r="144">
      <x:c r="A144" s="46"/>
      <x:c r="B144" s="56"/>
      <x:c r="C144" s="46"/>
      <x:c r="D144" s="46"/>
      <x:c r="E144" s="46"/>
      <x:c r="F144" s="46"/>
      <x:c r="G144" s="58"/>
      <x:c r="H144" s="56"/>
      <x:c r="I144" s="46"/>
      <x:c r="J144" s="52" t="str">
        <x:f>IF($A144="","",IFERROR(VLOOKUP($C144,Setup!$J$7:$M$56,2,FALSE),""))</x:f>
      </x:c>
      <x:c r="K144" s="52" t="str">
        <x:f>IF($A144="","",IFERROR(VLOOKUP($C144,Setup!$J$7:$M$56,3,FALSE),""))</x:f>
      </x:c>
      <x:c r="L144" s="60" t="str">
        <x:f>IF($A144="","",SUMIF(Depletion!$A$7:$A$306,$A144,Depletion!$E$7:$E$306))</x:f>
      </x:c>
      <x:c r="M144" s="62" t="str">
        <x:f>IF($A144="","",SUMIF(Depletion!$A$7:$A$306,$A144,Depletion!$C$7:$C$306))</x:f>
      </x:c>
      <x:c r="N144" s="60" t="str">
        <x:f>IF($A144="","",SUMIF(Depletion!$A$7:$A$306,$A144,Depletion!$I$7:$I$306))</x:f>
      </x:c>
      <x:c r="O144" s="60" t="str">
        <x:f>IF($A144="","",$L144-$N144)</x:f>
      </x:c>
      <x:c r="P144" s="64" t="str">
        <x:f>IF($A144="","",IFERROR($O144/$L144,0))</x:f>
      </x:c>
      <x:c r="Q144" s="60" t="str">
        <x:f>IF($A144="","",MAX($L144-$G144,0))</x:f>
      </x:c>
      <x:c r="R144" s="66" t="str">
        <x:f>IF($A144="","",IFERROR($B144+VLOOKUP($F144,Setup!$Z$7:$AA$20,2,FALSE),""))</x:f>
      </x:c>
      <x:c r="S144" s="52" t="str">
        <x:f>IF($A144="","",IF($L144=0,"Draft",IF($Q144&lt;=0,"Paid",IF($G144&gt;0,"Partial","Unpaid"))))</x:f>
      </x:c>
      <x:c r="T144" s="52" t="str">
        <x:f>IF($A144="","",IF($Q144&lt;=0,0,IF($R144="","",MAX(TODAY()-$R144,0))))</x:f>
      </x:c>
      <x:c r="U144" s="52" t="str">
        <x:f>IF($A144="","",IF($S144="Paid","Closed",IF($R144="","Review",IF(TODAY()&lt;=$R144,"Current",IF($T144&lt;=30,"1-30",IF($T144&lt;=60,"31-60",IF($T144&lt;=90,"61-90","90+")))))))</x:f>
      </x:c>
      <x:c r="V144" s="66" t="str">
        <x:f>IF($A144="","",IF(AND($S144="Paid",$H144&lt;&gt;""),$H144,""))</x:f>
      </x:c>
      <x:c r="W144" s="52" t="str">
        <x:f>IF($A144="","",IF(OR(COUNTIF($A$7:$A$156,$A144)&gt;1,$B144="",$C144="",$D144="",$E144="",$F144="",$J144="",$K144="",$L144&lt;=0,$G144&lt;0,$G144&gt;$L144,AND($S144="Paid",$H144="")),"REVIEW","OK"))</x:f>
      </x:c>
    </x:row>
    <x:row r="145">
      <x:c r="A145" s="46"/>
      <x:c r="B145" s="56"/>
      <x:c r="C145" s="46"/>
      <x:c r="D145" s="46"/>
      <x:c r="E145" s="46"/>
      <x:c r="F145" s="46"/>
      <x:c r="G145" s="58"/>
      <x:c r="H145" s="56"/>
      <x:c r="I145" s="46"/>
      <x:c r="J145" s="52" t="str">
        <x:f>IF($A145="","",IFERROR(VLOOKUP($C145,Setup!$J$7:$M$56,2,FALSE),""))</x:f>
      </x:c>
      <x:c r="K145" s="52" t="str">
        <x:f>IF($A145="","",IFERROR(VLOOKUP($C145,Setup!$J$7:$M$56,3,FALSE),""))</x:f>
      </x:c>
      <x:c r="L145" s="60" t="str">
        <x:f>IF($A145="","",SUMIF(Depletion!$A$7:$A$306,$A145,Depletion!$E$7:$E$306))</x:f>
      </x:c>
      <x:c r="M145" s="62" t="str">
        <x:f>IF($A145="","",SUMIF(Depletion!$A$7:$A$306,$A145,Depletion!$C$7:$C$306))</x:f>
      </x:c>
      <x:c r="N145" s="60" t="str">
        <x:f>IF($A145="","",SUMIF(Depletion!$A$7:$A$306,$A145,Depletion!$I$7:$I$306))</x:f>
      </x:c>
      <x:c r="O145" s="60" t="str">
        <x:f>IF($A145="","",$L145-$N145)</x:f>
      </x:c>
      <x:c r="P145" s="64" t="str">
        <x:f>IF($A145="","",IFERROR($O145/$L145,0))</x:f>
      </x:c>
      <x:c r="Q145" s="60" t="str">
        <x:f>IF($A145="","",MAX($L145-$G145,0))</x:f>
      </x:c>
      <x:c r="R145" s="66" t="str">
        <x:f>IF($A145="","",IFERROR($B145+VLOOKUP($F145,Setup!$Z$7:$AA$20,2,FALSE),""))</x:f>
      </x:c>
      <x:c r="S145" s="52" t="str">
        <x:f>IF($A145="","",IF($L145=0,"Draft",IF($Q145&lt;=0,"Paid",IF($G145&gt;0,"Partial","Unpaid"))))</x:f>
      </x:c>
      <x:c r="T145" s="52" t="str">
        <x:f>IF($A145="","",IF($Q145&lt;=0,0,IF($R145="","",MAX(TODAY()-$R145,0))))</x:f>
      </x:c>
      <x:c r="U145" s="52" t="str">
        <x:f>IF($A145="","",IF($S145="Paid","Closed",IF($R145="","Review",IF(TODAY()&lt;=$R145,"Current",IF($T145&lt;=30,"1-30",IF($T145&lt;=60,"31-60",IF($T145&lt;=90,"61-90","90+")))))))</x:f>
      </x:c>
      <x:c r="V145" s="66" t="str">
        <x:f>IF($A145="","",IF(AND($S145="Paid",$H145&lt;&gt;""),$H145,""))</x:f>
      </x:c>
      <x:c r="W145" s="52" t="str">
        <x:f>IF($A145="","",IF(OR(COUNTIF($A$7:$A$156,$A145)&gt;1,$B145="",$C145="",$D145="",$E145="",$F145="",$J145="",$K145="",$L145&lt;=0,$G145&lt;0,$G145&gt;$L145,AND($S145="Paid",$H145="")),"REVIEW","OK"))</x:f>
      </x:c>
    </x:row>
    <x:row r="146">
      <x:c r="A146" s="46"/>
      <x:c r="B146" s="56"/>
      <x:c r="C146" s="46"/>
      <x:c r="D146" s="46"/>
      <x:c r="E146" s="46"/>
      <x:c r="F146" s="46"/>
      <x:c r="G146" s="58"/>
      <x:c r="H146" s="56"/>
      <x:c r="I146" s="46"/>
      <x:c r="J146" s="52" t="str">
        <x:f>IF($A146="","",IFERROR(VLOOKUP($C146,Setup!$J$7:$M$56,2,FALSE),""))</x:f>
      </x:c>
      <x:c r="K146" s="52" t="str">
        <x:f>IF($A146="","",IFERROR(VLOOKUP($C146,Setup!$J$7:$M$56,3,FALSE),""))</x:f>
      </x:c>
      <x:c r="L146" s="60" t="str">
        <x:f>IF($A146="","",SUMIF(Depletion!$A$7:$A$306,$A146,Depletion!$E$7:$E$306))</x:f>
      </x:c>
      <x:c r="M146" s="62" t="str">
        <x:f>IF($A146="","",SUMIF(Depletion!$A$7:$A$306,$A146,Depletion!$C$7:$C$306))</x:f>
      </x:c>
      <x:c r="N146" s="60" t="str">
        <x:f>IF($A146="","",SUMIF(Depletion!$A$7:$A$306,$A146,Depletion!$I$7:$I$306))</x:f>
      </x:c>
      <x:c r="O146" s="60" t="str">
        <x:f>IF($A146="","",$L146-$N146)</x:f>
      </x:c>
      <x:c r="P146" s="64" t="str">
        <x:f>IF($A146="","",IFERROR($O146/$L146,0))</x:f>
      </x:c>
      <x:c r="Q146" s="60" t="str">
        <x:f>IF($A146="","",MAX($L146-$G146,0))</x:f>
      </x:c>
      <x:c r="R146" s="66" t="str">
        <x:f>IF($A146="","",IFERROR($B146+VLOOKUP($F146,Setup!$Z$7:$AA$20,2,FALSE),""))</x:f>
      </x:c>
      <x:c r="S146" s="52" t="str">
        <x:f>IF($A146="","",IF($L146=0,"Draft",IF($Q146&lt;=0,"Paid",IF($G146&gt;0,"Partial","Unpaid"))))</x:f>
      </x:c>
      <x:c r="T146" s="52" t="str">
        <x:f>IF($A146="","",IF($Q146&lt;=0,0,IF($R146="","",MAX(TODAY()-$R146,0))))</x:f>
      </x:c>
      <x:c r="U146" s="52" t="str">
        <x:f>IF($A146="","",IF($S146="Paid","Closed",IF($R146="","Review",IF(TODAY()&lt;=$R146,"Current",IF($T146&lt;=30,"1-30",IF($T146&lt;=60,"31-60",IF($T146&lt;=90,"61-90","90+")))))))</x:f>
      </x:c>
      <x:c r="V146" s="66" t="str">
        <x:f>IF($A146="","",IF(AND($S146="Paid",$H146&lt;&gt;""),$H146,""))</x:f>
      </x:c>
      <x:c r="W146" s="52" t="str">
        <x:f>IF($A146="","",IF(OR(COUNTIF($A$7:$A$156,$A146)&gt;1,$B146="",$C146="",$D146="",$E146="",$F146="",$J146="",$K146="",$L146&lt;=0,$G146&lt;0,$G146&gt;$L146,AND($S146="Paid",$H146="")),"REVIEW","OK"))</x:f>
      </x:c>
    </x:row>
    <x:row r="147">
      <x:c r="A147" s="46"/>
      <x:c r="B147" s="56"/>
      <x:c r="C147" s="46"/>
      <x:c r="D147" s="46"/>
      <x:c r="E147" s="46"/>
      <x:c r="F147" s="46"/>
      <x:c r="G147" s="58"/>
      <x:c r="H147" s="56"/>
      <x:c r="I147" s="46"/>
      <x:c r="J147" s="52" t="str">
        <x:f>IF($A147="","",IFERROR(VLOOKUP($C147,Setup!$J$7:$M$56,2,FALSE),""))</x:f>
      </x:c>
      <x:c r="K147" s="52" t="str">
        <x:f>IF($A147="","",IFERROR(VLOOKUP($C147,Setup!$J$7:$M$56,3,FALSE),""))</x:f>
      </x:c>
      <x:c r="L147" s="60" t="str">
        <x:f>IF($A147="","",SUMIF(Depletion!$A$7:$A$306,$A147,Depletion!$E$7:$E$306))</x:f>
      </x:c>
      <x:c r="M147" s="62" t="str">
        <x:f>IF($A147="","",SUMIF(Depletion!$A$7:$A$306,$A147,Depletion!$C$7:$C$306))</x:f>
      </x:c>
      <x:c r="N147" s="60" t="str">
        <x:f>IF($A147="","",SUMIF(Depletion!$A$7:$A$306,$A147,Depletion!$I$7:$I$306))</x:f>
      </x:c>
      <x:c r="O147" s="60" t="str">
        <x:f>IF($A147="","",$L147-$N147)</x:f>
      </x:c>
      <x:c r="P147" s="64" t="str">
        <x:f>IF($A147="","",IFERROR($O147/$L147,0))</x:f>
      </x:c>
      <x:c r="Q147" s="60" t="str">
        <x:f>IF($A147="","",MAX($L147-$G147,0))</x:f>
      </x:c>
      <x:c r="R147" s="66" t="str">
        <x:f>IF($A147="","",IFERROR($B147+VLOOKUP($F147,Setup!$Z$7:$AA$20,2,FALSE),""))</x:f>
      </x:c>
      <x:c r="S147" s="52" t="str">
        <x:f>IF($A147="","",IF($L147=0,"Draft",IF($Q147&lt;=0,"Paid",IF($G147&gt;0,"Partial","Unpaid"))))</x:f>
      </x:c>
      <x:c r="T147" s="52" t="str">
        <x:f>IF($A147="","",IF($Q147&lt;=0,0,IF($R147="","",MAX(TODAY()-$R147,0))))</x:f>
      </x:c>
      <x:c r="U147" s="52" t="str">
        <x:f>IF($A147="","",IF($S147="Paid","Closed",IF($R147="","Review",IF(TODAY()&lt;=$R147,"Current",IF($T147&lt;=30,"1-30",IF($T147&lt;=60,"31-60",IF($T147&lt;=90,"61-90","90+")))))))</x:f>
      </x:c>
      <x:c r="V147" s="66" t="str">
        <x:f>IF($A147="","",IF(AND($S147="Paid",$H147&lt;&gt;""),$H147,""))</x:f>
      </x:c>
      <x:c r="W147" s="52" t="str">
        <x:f>IF($A147="","",IF(OR(COUNTIF($A$7:$A$156,$A147)&gt;1,$B147="",$C147="",$D147="",$E147="",$F147="",$J147="",$K147="",$L147&lt;=0,$G147&lt;0,$G147&gt;$L147,AND($S147="Paid",$H147="")),"REVIEW","OK"))</x:f>
      </x:c>
    </x:row>
    <x:row r="148">
      <x:c r="A148" s="46"/>
      <x:c r="B148" s="56"/>
      <x:c r="C148" s="46"/>
      <x:c r="D148" s="46"/>
      <x:c r="E148" s="46"/>
      <x:c r="F148" s="46"/>
      <x:c r="G148" s="58"/>
      <x:c r="H148" s="56"/>
      <x:c r="I148" s="46"/>
      <x:c r="J148" s="52" t="str">
        <x:f>IF($A148="","",IFERROR(VLOOKUP($C148,Setup!$J$7:$M$56,2,FALSE),""))</x:f>
      </x:c>
      <x:c r="K148" s="52" t="str">
        <x:f>IF($A148="","",IFERROR(VLOOKUP($C148,Setup!$J$7:$M$56,3,FALSE),""))</x:f>
      </x:c>
      <x:c r="L148" s="60" t="str">
        <x:f>IF($A148="","",SUMIF(Depletion!$A$7:$A$306,$A148,Depletion!$E$7:$E$306))</x:f>
      </x:c>
      <x:c r="M148" s="62" t="str">
        <x:f>IF($A148="","",SUMIF(Depletion!$A$7:$A$306,$A148,Depletion!$C$7:$C$306))</x:f>
      </x:c>
      <x:c r="N148" s="60" t="str">
        <x:f>IF($A148="","",SUMIF(Depletion!$A$7:$A$306,$A148,Depletion!$I$7:$I$306))</x:f>
      </x:c>
      <x:c r="O148" s="60" t="str">
        <x:f>IF($A148="","",$L148-$N148)</x:f>
      </x:c>
      <x:c r="P148" s="64" t="str">
        <x:f>IF($A148="","",IFERROR($O148/$L148,0))</x:f>
      </x:c>
      <x:c r="Q148" s="60" t="str">
        <x:f>IF($A148="","",MAX($L148-$G148,0))</x:f>
      </x:c>
      <x:c r="R148" s="66" t="str">
        <x:f>IF($A148="","",IFERROR($B148+VLOOKUP($F148,Setup!$Z$7:$AA$20,2,FALSE),""))</x:f>
      </x:c>
      <x:c r="S148" s="52" t="str">
        <x:f>IF($A148="","",IF($L148=0,"Draft",IF($Q148&lt;=0,"Paid",IF($G148&gt;0,"Partial","Unpaid"))))</x:f>
      </x:c>
      <x:c r="T148" s="52" t="str">
        <x:f>IF($A148="","",IF($Q148&lt;=0,0,IF($R148="","",MAX(TODAY()-$R148,0))))</x:f>
      </x:c>
      <x:c r="U148" s="52" t="str">
        <x:f>IF($A148="","",IF($S148="Paid","Closed",IF($R148="","Review",IF(TODAY()&lt;=$R148,"Current",IF($T148&lt;=30,"1-30",IF($T148&lt;=60,"31-60",IF($T148&lt;=90,"61-90","90+")))))))</x:f>
      </x:c>
      <x:c r="V148" s="66" t="str">
        <x:f>IF($A148="","",IF(AND($S148="Paid",$H148&lt;&gt;""),$H148,""))</x:f>
      </x:c>
      <x:c r="W148" s="52" t="str">
        <x:f>IF($A148="","",IF(OR(COUNTIF($A$7:$A$156,$A148)&gt;1,$B148="",$C148="",$D148="",$E148="",$F148="",$J148="",$K148="",$L148&lt;=0,$G148&lt;0,$G148&gt;$L148,AND($S148="Paid",$H148="")),"REVIEW","OK"))</x:f>
      </x:c>
    </x:row>
    <x:row r="149">
      <x:c r="A149" s="46"/>
      <x:c r="B149" s="56"/>
      <x:c r="C149" s="46"/>
      <x:c r="D149" s="46"/>
      <x:c r="E149" s="46"/>
      <x:c r="F149" s="46"/>
      <x:c r="G149" s="58"/>
      <x:c r="H149" s="56"/>
      <x:c r="I149" s="46"/>
      <x:c r="J149" s="52" t="str">
        <x:f>IF($A149="","",IFERROR(VLOOKUP($C149,Setup!$J$7:$M$56,2,FALSE),""))</x:f>
      </x:c>
      <x:c r="K149" s="52" t="str">
        <x:f>IF($A149="","",IFERROR(VLOOKUP($C149,Setup!$J$7:$M$56,3,FALSE),""))</x:f>
      </x:c>
      <x:c r="L149" s="60" t="str">
        <x:f>IF($A149="","",SUMIF(Depletion!$A$7:$A$306,$A149,Depletion!$E$7:$E$306))</x:f>
      </x:c>
      <x:c r="M149" s="62" t="str">
        <x:f>IF($A149="","",SUMIF(Depletion!$A$7:$A$306,$A149,Depletion!$C$7:$C$306))</x:f>
      </x:c>
      <x:c r="N149" s="60" t="str">
        <x:f>IF($A149="","",SUMIF(Depletion!$A$7:$A$306,$A149,Depletion!$I$7:$I$306))</x:f>
      </x:c>
      <x:c r="O149" s="60" t="str">
        <x:f>IF($A149="","",$L149-$N149)</x:f>
      </x:c>
      <x:c r="P149" s="64" t="str">
        <x:f>IF($A149="","",IFERROR($O149/$L149,0))</x:f>
      </x:c>
      <x:c r="Q149" s="60" t="str">
        <x:f>IF($A149="","",MAX($L149-$G149,0))</x:f>
      </x:c>
      <x:c r="R149" s="66" t="str">
        <x:f>IF($A149="","",IFERROR($B149+VLOOKUP($F149,Setup!$Z$7:$AA$20,2,FALSE),""))</x:f>
      </x:c>
      <x:c r="S149" s="52" t="str">
        <x:f>IF($A149="","",IF($L149=0,"Draft",IF($Q149&lt;=0,"Paid",IF($G149&gt;0,"Partial","Unpaid"))))</x:f>
      </x:c>
      <x:c r="T149" s="52" t="str">
        <x:f>IF($A149="","",IF($Q149&lt;=0,0,IF($R149="","",MAX(TODAY()-$R149,0))))</x:f>
      </x:c>
      <x:c r="U149" s="52" t="str">
        <x:f>IF($A149="","",IF($S149="Paid","Closed",IF($R149="","Review",IF(TODAY()&lt;=$R149,"Current",IF($T149&lt;=30,"1-30",IF($T149&lt;=60,"31-60",IF($T149&lt;=90,"61-90","90+")))))))</x:f>
      </x:c>
      <x:c r="V149" s="66" t="str">
        <x:f>IF($A149="","",IF(AND($S149="Paid",$H149&lt;&gt;""),$H149,""))</x:f>
      </x:c>
      <x:c r="W149" s="52" t="str">
        <x:f>IF($A149="","",IF(OR(COUNTIF($A$7:$A$156,$A149)&gt;1,$B149="",$C149="",$D149="",$E149="",$F149="",$J149="",$K149="",$L149&lt;=0,$G149&lt;0,$G149&gt;$L149,AND($S149="Paid",$H149="")),"REVIEW","OK"))</x:f>
      </x:c>
    </x:row>
    <x:row r="150">
      <x:c r="A150" s="46"/>
      <x:c r="B150" s="56"/>
      <x:c r="C150" s="46"/>
      <x:c r="D150" s="46"/>
      <x:c r="E150" s="46"/>
      <x:c r="F150" s="46"/>
      <x:c r="G150" s="58"/>
      <x:c r="H150" s="56"/>
      <x:c r="I150" s="46"/>
      <x:c r="J150" s="52" t="str">
        <x:f>IF($A150="","",IFERROR(VLOOKUP($C150,Setup!$J$7:$M$56,2,FALSE),""))</x:f>
      </x:c>
      <x:c r="K150" s="52" t="str">
        <x:f>IF($A150="","",IFERROR(VLOOKUP($C150,Setup!$J$7:$M$56,3,FALSE),""))</x:f>
      </x:c>
      <x:c r="L150" s="60" t="str">
        <x:f>IF($A150="","",SUMIF(Depletion!$A$7:$A$306,$A150,Depletion!$E$7:$E$306))</x:f>
      </x:c>
      <x:c r="M150" s="62" t="str">
        <x:f>IF($A150="","",SUMIF(Depletion!$A$7:$A$306,$A150,Depletion!$C$7:$C$306))</x:f>
      </x:c>
      <x:c r="N150" s="60" t="str">
        <x:f>IF($A150="","",SUMIF(Depletion!$A$7:$A$306,$A150,Depletion!$I$7:$I$306))</x:f>
      </x:c>
      <x:c r="O150" s="60" t="str">
        <x:f>IF($A150="","",$L150-$N150)</x:f>
      </x:c>
      <x:c r="P150" s="64" t="str">
        <x:f>IF($A150="","",IFERROR($O150/$L150,0))</x:f>
      </x:c>
      <x:c r="Q150" s="60" t="str">
        <x:f>IF($A150="","",MAX($L150-$G150,0))</x:f>
      </x:c>
      <x:c r="R150" s="66" t="str">
        <x:f>IF($A150="","",IFERROR($B150+VLOOKUP($F150,Setup!$Z$7:$AA$20,2,FALSE),""))</x:f>
      </x:c>
      <x:c r="S150" s="52" t="str">
        <x:f>IF($A150="","",IF($L150=0,"Draft",IF($Q150&lt;=0,"Paid",IF($G150&gt;0,"Partial","Unpaid"))))</x:f>
      </x:c>
      <x:c r="T150" s="52" t="str">
        <x:f>IF($A150="","",IF($Q150&lt;=0,0,IF($R150="","",MAX(TODAY()-$R150,0))))</x:f>
      </x:c>
      <x:c r="U150" s="52" t="str">
        <x:f>IF($A150="","",IF($S150="Paid","Closed",IF($R150="","Review",IF(TODAY()&lt;=$R150,"Current",IF($T150&lt;=30,"1-30",IF($T150&lt;=60,"31-60",IF($T150&lt;=90,"61-90","90+")))))))</x:f>
      </x:c>
      <x:c r="V150" s="66" t="str">
        <x:f>IF($A150="","",IF(AND($S150="Paid",$H150&lt;&gt;""),$H150,""))</x:f>
      </x:c>
      <x:c r="W150" s="52" t="str">
        <x:f>IF($A150="","",IF(OR(COUNTIF($A$7:$A$156,$A150)&gt;1,$B150="",$C150="",$D150="",$E150="",$F150="",$J150="",$K150="",$L150&lt;=0,$G150&lt;0,$G150&gt;$L150,AND($S150="Paid",$H150="")),"REVIEW","OK"))</x:f>
      </x:c>
    </x:row>
    <x:row r="151">
      <x:c r="A151" s="46"/>
      <x:c r="B151" s="56"/>
      <x:c r="C151" s="46"/>
      <x:c r="D151" s="46"/>
      <x:c r="E151" s="46"/>
      <x:c r="F151" s="46"/>
      <x:c r="G151" s="58"/>
      <x:c r="H151" s="56"/>
      <x:c r="I151" s="46"/>
      <x:c r="J151" s="52" t="str">
        <x:f>IF($A151="","",IFERROR(VLOOKUP($C151,Setup!$J$7:$M$56,2,FALSE),""))</x:f>
      </x:c>
      <x:c r="K151" s="52" t="str">
        <x:f>IF($A151="","",IFERROR(VLOOKUP($C151,Setup!$J$7:$M$56,3,FALSE),""))</x:f>
      </x:c>
      <x:c r="L151" s="60" t="str">
        <x:f>IF($A151="","",SUMIF(Depletion!$A$7:$A$306,$A151,Depletion!$E$7:$E$306))</x:f>
      </x:c>
      <x:c r="M151" s="62" t="str">
        <x:f>IF($A151="","",SUMIF(Depletion!$A$7:$A$306,$A151,Depletion!$C$7:$C$306))</x:f>
      </x:c>
      <x:c r="N151" s="60" t="str">
        <x:f>IF($A151="","",SUMIF(Depletion!$A$7:$A$306,$A151,Depletion!$I$7:$I$306))</x:f>
      </x:c>
      <x:c r="O151" s="60" t="str">
        <x:f>IF($A151="","",$L151-$N151)</x:f>
      </x:c>
      <x:c r="P151" s="64" t="str">
        <x:f>IF($A151="","",IFERROR($O151/$L151,0))</x:f>
      </x:c>
      <x:c r="Q151" s="60" t="str">
        <x:f>IF($A151="","",MAX($L151-$G151,0))</x:f>
      </x:c>
      <x:c r="R151" s="66" t="str">
        <x:f>IF($A151="","",IFERROR($B151+VLOOKUP($F151,Setup!$Z$7:$AA$20,2,FALSE),""))</x:f>
      </x:c>
      <x:c r="S151" s="52" t="str">
        <x:f>IF($A151="","",IF($L151=0,"Draft",IF($Q151&lt;=0,"Paid",IF($G151&gt;0,"Partial","Unpaid"))))</x:f>
      </x:c>
      <x:c r="T151" s="52" t="str">
        <x:f>IF($A151="","",IF($Q151&lt;=0,0,IF($R151="","",MAX(TODAY()-$R151,0))))</x:f>
      </x:c>
      <x:c r="U151" s="52" t="str">
        <x:f>IF($A151="","",IF($S151="Paid","Closed",IF($R151="","Review",IF(TODAY()&lt;=$R151,"Current",IF($T151&lt;=30,"1-30",IF($T151&lt;=60,"31-60",IF($T151&lt;=90,"61-90","90+")))))))</x:f>
      </x:c>
      <x:c r="V151" s="66" t="str">
        <x:f>IF($A151="","",IF(AND($S151="Paid",$H151&lt;&gt;""),$H151,""))</x:f>
      </x:c>
      <x:c r="W151" s="52" t="str">
        <x:f>IF($A151="","",IF(OR(COUNTIF($A$7:$A$156,$A151)&gt;1,$B151="",$C151="",$D151="",$E151="",$F151="",$J151="",$K151="",$L151&lt;=0,$G151&lt;0,$G151&gt;$L151,AND($S151="Paid",$H151="")),"REVIEW","OK"))</x:f>
      </x:c>
    </x:row>
    <x:row r="152">
      <x:c r="A152" s="46"/>
      <x:c r="B152" s="56"/>
      <x:c r="C152" s="46"/>
      <x:c r="D152" s="46"/>
      <x:c r="E152" s="46"/>
      <x:c r="F152" s="46"/>
      <x:c r="G152" s="58"/>
      <x:c r="H152" s="56"/>
      <x:c r="I152" s="46"/>
      <x:c r="J152" s="52" t="str">
        <x:f>IF($A152="","",IFERROR(VLOOKUP($C152,Setup!$J$7:$M$56,2,FALSE),""))</x:f>
      </x:c>
      <x:c r="K152" s="52" t="str">
        <x:f>IF($A152="","",IFERROR(VLOOKUP($C152,Setup!$J$7:$M$56,3,FALSE),""))</x:f>
      </x:c>
      <x:c r="L152" s="60" t="str">
        <x:f>IF($A152="","",SUMIF(Depletion!$A$7:$A$306,$A152,Depletion!$E$7:$E$306))</x:f>
      </x:c>
      <x:c r="M152" s="62" t="str">
        <x:f>IF($A152="","",SUMIF(Depletion!$A$7:$A$306,$A152,Depletion!$C$7:$C$306))</x:f>
      </x:c>
      <x:c r="N152" s="60" t="str">
        <x:f>IF($A152="","",SUMIF(Depletion!$A$7:$A$306,$A152,Depletion!$I$7:$I$306))</x:f>
      </x:c>
      <x:c r="O152" s="60" t="str">
        <x:f>IF($A152="","",$L152-$N152)</x:f>
      </x:c>
      <x:c r="P152" s="64" t="str">
        <x:f>IF($A152="","",IFERROR($O152/$L152,0))</x:f>
      </x:c>
      <x:c r="Q152" s="60" t="str">
        <x:f>IF($A152="","",MAX($L152-$G152,0))</x:f>
      </x:c>
      <x:c r="R152" s="66" t="str">
        <x:f>IF($A152="","",IFERROR($B152+VLOOKUP($F152,Setup!$Z$7:$AA$20,2,FALSE),""))</x:f>
      </x:c>
      <x:c r="S152" s="52" t="str">
        <x:f>IF($A152="","",IF($L152=0,"Draft",IF($Q152&lt;=0,"Paid",IF($G152&gt;0,"Partial","Unpaid"))))</x:f>
      </x:c>
      <x:c r="T152" s="52" t="str">
        <x:f>IF($A152="","",IF($Q152&lt;=0,0,IF($R152="","",MAX(TODAY()-$R152,0))))</x:f>
      </x:c>
      <x:c r="U152" s="52" t="str">
        <x:f>IF($A152="","",IF($S152="Paid","Closed",IF($R152="","Review",IF(TODAY()&lt;=$R152,"Current",IF($T152&lt;=30,"1-30",IF($T152&lt;=60,"31-60",IF($T152&lt;=90,"61-90","90+")))))))</x:f>
      </x:c>
      <x:c r="V152" s="66" t="str">
        <x:f>IF($A152="","",IF(AND($S152="Paid",$H152&lt;&gt;""),$H152,""))</x:f>
      </x:c>
      <x:c r="W152" s="52" t="str">
        <x:f>IF($A152="","",IF(OR(COUNTIF($A$7:$A$156,$A152)&gt;1,$B152="",$C152="",$D152="",$E152="",$F152="",$J152="",$K152="",$L152&lt;=0,$G152&lt;0,$G152&gt;$L152,AND($S152="Paid",$H152="")),"REVIEW","OK"))</x:f>
      </x:c>
    </x:row>
    <x:row r="153">
      <x:c r="A153" s="46"/>
      <x:c r="B153" s="56"/>
      <x:c r="C153" s="46"/>
      <x:c r="D153" s="46"/>
      <x:c r="E153" s="46"/>
      <x:c r="F153" s="46"/>
      <x:c r="G153" s="58"/>
      <x:c r="H153" s="56"/>
      <x:c r="I153" s="46"/>
      <x:c r="J153" s="52" t="str">
        <x:f>IF($A153="","",IFERROR(VLOOKUP($C153,Setup!$J$7:$M$56,2,FALSE),""))</x:f>
      </x:c>
      <x:c r="K153" s="52" t="str">
        <x:f>IF($A153="","",IFERROR(VLOOKUP($C153,Setup!$J$7:$M$56,3,FALSE),""))</x:f>
      </x:c>
      <x:c r="L153" s="60" t="str">
        <x:f>IF($A153="","",SUMIF(Depletion!$A$7:$A$306,$A153,Depletion!$E$7:$E$306))</x:f>
      </x:c>
      <x:c r="M153" s="62" t="str">
        <x:f>IF($A153="","",SUMIF(Depletion!$A$7:$A$306,$A153,Depletion!$C$7:$C$306))</x:f>
      </x:c>
      <x:c r="N153" s="60" t="str">
        <x:f>IF($A153="","",SUMIF(Depletion!$A$7:$A$306,$A153,Depletion!$I$7:$I$306))</x:f>
      </x:c>
      <x:c r="O153" s="60" t="str">
        <x:f>IF($A153="","",$L153-$N153)</x:f>
      </x:c>
      <x:c r="P153" s="64" t="str">
        <x:f>IF($A153="","",IFERROR($O153/$L153,0))</x:f>
      </x:c>
      <x:c r="Q153" s="60" t="str">
        <x:f>IF($A153="","",MAX($L153-$G153,0))</x:f>
      </x:c>
      <x:c r="R153" s="66" t="str">
        <x:f>IF($A153="","",IFERROR($B153+VLOOKUP($F153,Setup!$Z$7:$AA$20,2,FALSE),""))</x:f>
      </x:c>
      <x:c r="S153" s="52" t="str">
        <x:f>IF($A153="","",IF($L153=0,"Draft",IF($Q153&lt;=0,"Paid",IF($G153&gt;0,"Partial","Unpaid"))))</x:f>
      </x:c>
      <x:c r="T153" s="52" t="str">
        <x:f>IF($A153="","",IF($Q153&lt;=0,0,IF($R153="","",MAX(TODAY()-$R153,0))))</x:f>
      </x:c>
      <x:c r="U153" s="52" t="str">
        <x:f>IF($A153="","",IF($S153="Paid","Closed",IF($R153="","Review",IF(TODAY()&lt;=$R153,"Current",IF($T153&lt;=30,"1-30",IF($T153&lt;=60,"31-60",IF($T153&lt;=90,"61-90","90+")))))))</x:f>
      </x:c>
      <x:c r="V153" s="66" t="str">
        <x:f>IF($A153="","",IF(AND($S153="Paid",$H153&lt;&gt;""),$H153,""))</x:f>
      </x:c>
      <x:c r="W153" s="52" t="str">
        <x:f>IF($A153="","",IF(OR(COUNTIF($A$7:$A$156,$A153)&gt;1,$B153="",$C153="",$D153="",$E153="",$F153="",$J153="",$K153="",$L153&lt;=0,$G153&lt;0,$G153&gt;$L153,AND($S153="Paid",$H153="")),"REVIEW","OK"))</x:f>
      </x:c>
    </x:row>
    <x:row r="154">
      <x:c r="A154" s="46"/>
      <x:c r="B154" s="56"/>
      <x:c r="C154" s="46"/>
      <x:c r="D154" s="46"/>
      <x:c r="E154" s="46"/>
      <x:c r="F154" s="46"/>
      <x:c r="G154" s="58"/>
      <x:c r="H154" s="56"/>
      <x:c r="I154" s="46"/>
      <x:c r="J154" s="52" t="str">
        <x:f>IF($A154="","",IFERROR(VLOOKUP($C154,Setup!$J$7:$M$56,2,FALSE),""))</x:f>
      </x:c>
      <x:c r="K154" s="52" t="str">
        <x:f>IF($A154="","",IFERROR(VLOOKUP($C154,Setup!$J$7:$M$56,3,FALSE),""))</x:f>
      </x:c>
      <x:c r="L154" s="60" t="str">
        <x:f>IF($A154="","",SUMIF(Depletion!$A$7:$A$306,$A154,Depletion!$E$7:$E$306))</x:f>
      </x:c>
      <x:c r="M154" s="62" t="str">
        <x:f>IF($A154="","",SUMIF(Depletion!$A$7:$A$306,$A154,Depletion!$C$7:$C$306))</x:f>
      </x:c>
      <x:c r="N154" s="60" t="str">
        <x:f>IF($A154="","",SUMIF(Depletion!$A$7:$A$306,$A154,Depletion!$I$7:$I$306))</x:f>
      </x:c>
      <x:c r="O154" s="60" t="str">
        <x:f>IF($A154="","",$L154-$N154)</x:f>
      </x:c>
      <x:c r="P154" s="64" t="str">
        <x:f>IF($A154="","",IFERROR($O154/$L154,0))</x:f>
      </x:c>
      <x:c r="Q154" s="60" t="str">
        <x:f>IF($A154="","",MAX($L154-$G154,0))</x:f>
      </x:c>
      <x:c r="R154" s="66" t="str">
        <x:f>IF($A154="","",IFERROR($B154+VLOOKUP($F154,Setup!$Z$7:$AA$20,2,FALSE),""))</x:f>
      </x:c>
      <x:c r="S154" s="52" t="str">
        <x:f>IF($A154="","",IF($L154=0,"Draft",IF($Q154&lt;=0,"Paid",IF($G154&gt;0,"Partial","Unpaid"))))</x:f>
      </x:c>
      <x:c r="T154" s="52" t="str">
        <x:f>IF($A154="","",IF($Q154&lt;=0,0,IF($R154="","",MAX(TODAY()-$R154,0))))</x:f>
      </x:c>
      <x:c r="U154" s="52" t="str">
        <x:f>IF($A154="","",IF($S154="Paid","Closed",IF($R154="","Review",IF(TODAY()&lt;=$R154,"Current",IF($T154&lt;=30,"1-30",IF($T154&lt;=60,"31-60",IF($T154&lt;=90,"61-90","90+")))))))</x:f>
      </x:c>
      <x:c r="V154" s="66" t="str">
        <x:f>IF($A154="","",IF(AND($S154="Paid",$H154&lt;&gt;""),$H154,""))</x:f>
      </x:c>
      <x:c r="W154" s="52" t="str">
        <x:f>IF($A154="","",IF(OR(COUNTIF($A$7:$A$156,$A154)&gt;1,$B154="",$C154="",$D154="",$E154="",$F154="",$J154="",$K154="",$L154&lt;=0,$G154&lt;0,$G154&gt;$L154,AND($S154="Paid",$H154="")),"REVIEW","OK"))</x:f>
      </x:c>
    </x:row>
    <x:row r="155">
      <x:c r="A155" s="46"/>
      <x:c r="B155" s="56"/>
      <x:c r="C155" s="46"/>
      <x:c r="D155" s="46"/>
      <x:c r="E155" s="46"/>
      <x:c r="F155" s="46"/>
      <x:c r="G155" s="58"/>
      <x:c r="H155" s="56"/>
      <x:c r="I155" s="46"/>
      <x:c r="J155" s="52" t="str">
        <x:f>IF($A155="","",IFERROR(VLOOKUP($C155,Setup!$J$7:$M$56,2,FALSE),""))</x:f>
      </x:c>
      <x:c r="K155" s="52" t="str">
        <x:f>IF($A155="","",IFERROR(VLOOKUP($C155,Setup!$J$7:$M$56,3,FALSE),""))</x:f>
      </x:c>
      <x:c r="L155" s="60" t="str">
        <x:f>IF($A155="","",SUMIF(Depletion!$A$7:$A$306,$A155,Depletion!$E$7:$E$306))</x:f>
      </x:c>
      <x:c r="M155" s="62" t="str">
        <x:f>IF($A155="","",SUMIF(Depletion!$A$7:$A$306,$A155,Depletion!$C$7:$C$306))</x:f>
      </x:c>
      <x:c r="N155" s="60" t="str">
        <x:f>IF($A155="","",SUMIF(Depletion!$A$7:$A$306,$A155,Depletion!$I$7:$I$306))</x:f>
      </x:c>
      <x:c r="O155" s="60" t="str">
        <x:f>IF($A155="","",$L155-$N155)</x:f>
      </x:c>
      <x:c r="P155" s="64" t="str">
        <x:f>IF($A155="","",IFERROR($O155/$L155,0))</x:f>
      </x:c>
      <x:c r="Q155" s="60" t="str">
        <x:f>IF($A155="","",MAX($L155-$G155,0))</x:f>
      </x:c>
      <x:c r="R155" s="66" t="str">
        <x:f>IF($A155="","",IFERROR($B155+VLOOKUP($F155,Setup!$Z$7:$AA$20,2,FALSE),""))</x:f>
      </x:c>
      <x:c r="S155" s="52" t="str">
        <x:f>IF($A155="","",IF($L155=0,"Draft",IF($Q155&lt;=0,"Paid",IF($G155&gt;0,"Partial","Unpaid"))))</x:f>
      </x:c>
      <x:c r="T155" s="52" t="str">
        <x:f>IF($A155="","",IF($Q155&lt;=0,0,IF($R155="","",MAX(TODAY()-$R155,0))))</x:f>
      </x:c>
      <x:c r="U155" s="52" t="str">
        <x:f>IF($A155="","",IF($S155="Paid","Closed",IF($R155="","Review",IF(TODAY()&lt;=$R155,"Current",IF($T155&lt;=30,"1-30",IF($T155&lt;=60,"31-60",IF($T155&lt;=90,"61-90","90+")))))))</x:f>
      </x:c>
      <x:c r="V155" s="66" t="str">
        <x:f>IF($A155="","",IF(AND($S155="Paid",$H155&lt;&gt;""),$H155,""))</x:f>
      </x:c>
      <x:c r="W155" s="52" t="str">
        <x:f>IF($A155="","",IF(OR(COUNTIF($A$7:$A$156,$A155)&gt;1,$B155="",$C155="",$D155="",$E155="",$F155="",$J155="",$K155="",$L155&lt;=0,$G155&lt;0,$G155&gt;$L155,AND($S155="Paid",$H155="")),"REVIEW","OK"))</x:f>
      </x:c>
    </x:row>
    <x:row r="156">
      <x:c r="A156" s="46"/>
      <x:c r="B156" s="56"/>
      <x:c r="C156" s="46"/>
      <x:c r="D156" s="46"/>
      <x:c r="E156" s="46"/>
      <x:c r="F156" s="46"/>
      <x:c r="G156" s="58"/>
      <x:c r="H156" s="56"/>
      <x:c r="I156" s="46"/>
      <x:c r="J156" s="52" t="str">
        <x:f>IF($A156="","",IFERROR(VLOOKUP($C156,Setup!$J$7:$M$56,2,FALSE),""))</x:f>
      </x:c>
      <x:c r="K156" s="52" t="str">
        <x:f>IF($A156="","",IFERROR(VLOOKUP($C156,Setup!$J$7:$M$56,3,FALSE),""))</x:f>
      </x:c>
      <x:c r="L156" s="60" t="str">
        <x:f>IF($A156="","",SUMIF(Depletion!$A$7:$A$306,$A156,Depletion!$E$7:$E$306))</x:f>
      </x:c>
      <x:c r="M156" s="62" t="str">
        <x:f>IF($A156="","",SUMIF(Depletion!$A$7:$A$306,$A156,Depletion!$C$7:$C$306))</x:f>
      </x:c>
      <x:c r="N156" s="60" t="str">
        <x:f>IF($A156="","",SUMIF(Depletion!$A$7:$A$306,$A156,Depletion!$I$7:$I$306))</x:f>
      </x:c>
      <x:c r="O156" s="60" t="str">
        <x:f>IF($A156="","",$L156-$N156)</x:f>
      </x:c>
      <x:c r="P156" s="64" t="str">
        <x:f>IF($A156="","",IFERROR($O156/$L156,0))</x:f>
      </x:c>
      <x:c r="Q156" s="60" t="str">
        <x:f>IF($A156="","",MAX($L156-$G156,0))</x:f>
      </x:c>
      <x:c r="R156" s="66" t="str">
        <x:f>IF($A156="","",IFERROR($B156+VLOOKUP($F156,Setup!$Z$7:$AA$20,2,FALSE),""))</x:f>
      </x:c>
      <x:c r="S156" s="52" t="str">
        <x:f>IF($A156="","",IF($L156=0,"Draft",IF($Q156&lt;=0,"Paid",IF($G156&gt;0,"Partial","Unpaid"))))</x:f>
      </x:c>
      <x:c r="T156" s="52" t="str">
        <x:f>IF($A156="","",IF($Q156&lt;=0,0,IF($R156="","",MAX(TODAY()-$R156,0))))</x:f>
      </x:c>
      <x:c r="U156" s="52" t="str">
        <x:f>IF($A156="","",IF($S156="Paid","Closed",IF($R156="","Review",IF(TODAY()&lt;=$R156,"Current",IF($T156&lt;=30,"1-30",IF($T156&lt;=60,"31-60",IF($T156&lt;=90,"61-90","90+")))))))</x:f>
      </x:c>
      <x:c r="V156" s="66" t="str">
        <x:f>IF($A156="","",IF(AND($S156="Paid",$H156&lt;&gt;""),$H156,""))</x:f>
      </x:c>
      <x:c r="W156" s="52" t="str">
        <x:f>IF($A156="","",IF(OR(COUNTIF($A$7:$A$156,$A156)&gt;1,$B156="",$C156="",$D156="",$E156="",$F156="",$J156="",$K156="",$L156&lt;=0,$G156&lt;0,$G156&gt;$L156,AND($S156="Paid",$H156="")),"REVIEW","OK"))</x:f>
      </x:c>
    </x:row>
  </x:sheetData>
  <x:mergeCells>
    <x:mergeCell ref="A1:W1"/>
    <x:mergeCell ref="A2:W2"/>
  </x:mergeCells>
  <x:conditionalFormatting sqref="W7:W156">
    <x:cfRule type="expression" dxfId="0" priority="1">
      <x:formula>W7="REVIEW"</x:formula>
    </x:cfRule>
    <x:cfRule type="expression" dxfId="1" priority="2">
      <x:formula>W7="OK"</x:formula>
    </x:cfRule>
  </x:conditionalFormatting>
  <x:conditionalFormatting sqref="Q7:Q156">
    <x:cfRule type="expression" dxfId="2" priority="3">
      <x:formula>Q7&gt;0</x:formula>
    </x:cfRule>
  </x:conditionalFormatting>
  <x:dataValidations count="4">
    <x:dataValidation type="list" sqref="C7:C156">
      <x:formula1>Setup!$J$7:$J$56</x:formula1>
    </x:dataValidation>
    <x:dataValidation type="list" sqref="D7:D156">
      <x:formula1>Setup!$O$7:$O$10</x:formula1>
    </x:dataValidation>
    <x:dataValidation type="list" sqref="E7:E156">
      <x:formula1>Setup!$W$7:$W$8</x:formula1>
    </x:dataValidation>
    <x:dataValidation type="list" sqref="F7:F156">
      <x:formula1>Setup!$Z$7:$Z$20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b69549655f45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9" hidden="0" customWidth="1"/>
    <x:col min="4" max="4" width="12" hidden="0" customWidth="1"/>
    <x:col min="5" max="5" width="13" hidden="0" customWidth="1"/>
    <x:col min="6" max="6" width="16" hidden="0" customWidth="1"/>
    <x:col min="7" max="7" width="17" hidden="0" customWidth="1"/>
    <x:col min="8" max="8" width="12" hidden="0" customWidth="1"/>
    <x:col min="9" max="9" width="13" hidden="0" customWidth="1"/>
    <x:col min="10" max="10" width="13" hidden="0" customWidth="1"/>
    <x:col min="11" max="11" width="12" hidden="0" customWidth="1"/>
    <x:col min="12" max="12" width="32" hidden="0" customWidth="1"/>
    <x:col min="13" max="13" width="12" hidden="0" customWidth="1"/>
    <x:col min="14" max="14" width="14" hidden="0" customWidth="1"/>
    <x:col min="15" max="15" width="11" hidden="0" customWidth="1"/>
  </x:cols>
  <x:sheetData>
    <x:row r="1" ht="30" customHeight="1">
      <x:c r="A1" s="4" t="str">
        <x:v>LAGOM NATURALS — DEPLETION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10" t="str">
        <x:v>One row per invoice/product line. Enter Invoice #, Product, Cases, and Sale Price only; all other fields derive.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6">
      <x:c r="A6" s="22" t="str">
        <x:v>Invoice #</x:v>
      </x:c>
      <x:c r="B6" s="22" t="str">
        <x:v>Product</x:v>
      </x:c>
      <x:c r="C6" s="22" t="str">
        <x:v>Cases</x:v>
      </x:c>
      <x:c r="D6" s="22" t="str">
        <x:v>Sale Price</x:v>
      </x:c>
      <x:c r="E6" s="22" t="str">
        <x:v>Revenue</x:v>
      </x:c>
      <x:c r="F6" s="22" t="str">
        <x:v>SKU</x:v>
      </x:c>
      <x:c r="G6" s="22" t="str">
        <x:v>Product Line</x:v>
      </x:c>
      <x:c r="H6" s="22" t="str">
        <x:v>COGS/Case</x:v>
      </x:c>
      <x:c r="I6" s="22" t="str">
        <x:v>Total COGS</x:v>
      </x:c>
      <x:c r="J6" s="22" t="str">
        <x:v>Gross Profit</x:v>
      </x:c>
      <x:c r="K6" s="22" t="str">
        <x:v>Invoice Date</x:v>
      </x:c>
      <x:c r="L6" s="22" t="str">
        <x:v>Account</x:v>
      </x:c>
      <x:c r="M6" s="22" t="str">
        <x:v>Sales Rep</x:v>
      </x:c>
      <x:c r="N6" s="22" t="str">
        <x:v>Account Type</x:v>
      </x:c>
      <x:c r="O6" s="22" t="str">
        <x:v>QA Status</x:v>
      </x:c>
    </x:row>
    <x:row r="7">
      <x:c r="A7" s="46" t="str">
        <x:v>1088</x:v>
      </x:c>
      <x:c r="B7" s="46" t="str">
        <x:v>Lagom - 24K Lemonade</x:v>
      </x:c>
      <x:c r="C7" s="68" t="n">
        <x:v>1</x:v>
      </x:c>
      <x:c r="D7" s="58" t="n">
        <x:v>72.99</x:v>
      </x:c>
      <x:c r="E7" s="60" t="n">
        <x:f>IF($A7="","",$C7*$D7)</x:f>
        <x:v>72.99</x:v>
      </x:c>
      <x:c r="F7" s="104" t="n">
        <x:f>IF($A7="","",IFERROR(VLOOKUP($B7,Setup!$A$7:$H$23,2,FALSE),""))</x:f>
        <x:v>860012530502</x:v>
      </x:c>
      <x:c r="G7" s="52" t="str">
        <x:f>IF($A7="","",IFERROR(VLOOKUP($B7,Setup!$A$7:$H$23,5,FALSE),""))</x:f>
        <x:v>Seltzer</x:v>
      </x:c>
      <x:c r="H7" s="60" t="n">
        <x:f>IF($A7="","",IFERROR(VLOOKUP($B7,Setup!$A$7:$H$23,6,FALSE),""))</x:f>
        <x:v>72</x:v>
      </x:c>
      <x:c r="I7" s="60" t="n">
        <x:f>IF($A7="","",$C7*$H7)</x:f>
        <x:v>72</x:v>
      </x:c>
      <x:c r="J7" s="60" t="n">
        <x:f>IF($A7="","",$E7-$I7)</x:f>
        <x:v>0.9899999999999949</x:v>
      </x:c>
      <x:c r="K7" s="66" t="n">
        <x:f>IF($A7="","",IFERROR(VLOOKUP($A7,Invoices!$A$7:$W$156,2,FALSE),""))</x:f>
        <x:v>46064</x:v>
      </x:c>
      <x:c r="L7" s="52" t="str">
        <x:f>IF($A7="","",IFERROR(VLOOKUP($A7,Invoices!$A$7:$W$156,3,FALSE),""))</x:f>
        <x:v>Wayzata Smoke Shop &amp; Vape</x:v>
      </x:c>
      <x:c r="M7" s="52" t="str">
        <x:f>IF($A7="","",IFERROR(VLOOKUP($A7,Invoices!$A$7:$W$156,4,FALSE),""))</x:f>
        <x:v>Tito</x:v>
      </x:c>
      <x:c r="N7" s="52" t="str">
        <x:f>IF($A7="","",IFERROR(VLOOKUP($A7,Invoices!$A$7:$W$156,5,FALSE),""))</x:f>
        <x:v>Reorder</x:v>
      </x:c>
      <x:c r="O7" s="52" t="str">
        <x:f>IF($A7="","",IF(OR($B7="",$C7&lt;=0,$D7&lt;0,$F7="",$K7="",COUNTIFS($A$7:$A$306,$A7,$B$7:$B$306,$B7)&gt;1),"REVIEW","OK"))</x:f>
        <x:v>OK</x:v>
      </x:c>
    </x:row>
    <x:row r="8">
      <x:c r="A8" s="46" t="str">
        <x:v>1088</x:v>
      </x:c>
      <x:c r="B8" s="46" t="str">
        <x:v>Lagom - Strawberry Lime Fusion</x:v>
      </x:c>
      <x:c r="C8" s="68" t="n">
        <x:v>1</x:v>
      </x:c>
      <x:c r="D8" s="58" t="n">
        <x:v>72.99</x:v>
      </x:c>
      <x:c r="E8" s="60" t="n">
        <x:f>IF($A8="","",$C8*$D8)</x:f>
        <x:v>72.99</x:v>
      </x:c>
      <x:c r="F8" s="104" t="n">
        <x:f>IF($A8="","",IFERROR(VLOOKUP($B8,Setup!$A$7:$H$23,2,FALSE),""))</x:f>
        <x:v>860012530540</x:v>
      </x:c>
      <x:c r="G8" s="52" t="str">
        <x:f>IF($A8="","",IFERROR(VLOOKUP($B8,Setup!$A$7:$H$23,5,FALSE),""))</x:f>
        <x:v>Seltzer</x:v>
      </x:c>
      <x:c r="H8" s="60" t="n">
        <x:f>IF($A8="","",IFERROR(VLOOKUP($B8,Setup!$A$7:$H$23,6,FALSE),""))</x:f>
        <x:v>72</x:v>
      </x:c>
      <x:c r="I8" s="60" t="n">
        <x:f>IF($A8="","",$C8*$H8)</x:f>
        <x:v>72</x:v>
      </x:c>
      <x:c r="J8" s="60" t="n">
        <x:f>IF($A8="","",$E8-$I8)</x:f>
        <x:v>0.9899999999999949</x:v>
      </x:c>
      <x:c r="K8" s="66" t="n">
        <x:f>IF($A8="","",IFERROR(VLOOKUP($A8,Invoices!$A$7:$W$156,2,FALSE),""))</x:f>
        <x:v>46064</x:v>
      </x:c>
      <x:c r="L8" s="52" t="str">
        <x:f>IF($A8="","",IFERROR(VLOOKUP($A8,Invoices!$A$7:$W$156,3,FALSE),""))</x:f>
        <x:v>Wayzata Smoke Shop &amp; Vape</x:v>
      </x:c>
      <x:c r="M8" s="52" t="str">
        <x:f>IF($A8="","",IFERROR(VLOOKUP($A8,Invoices!$A$7:$W$156,4,FALSE),""))</x:f>
        <x:v>Tito</x:v>
      </x:c>
      <x:c r="N8" s="52" t="str">
        <x:f>IF($A8="","",IFERROR(VLOOKUP($A8,Invoices!$A$7:$W$156,5,FALSE),""))</x:f>
        <x:v>Reorder</x:v>
      </x:c>
      <x:c r="O8" s="52" t="str">
        <x:f>IF($A8="","",IF(OR($B8="",$C8&lt;=0,$D8&lt;0,$F8="",$K8="",COUNTIFS($A$7:$A$306,$A8,$B$7:$B$306,$B8)&gt;1),"REVIEW","OK"))</x:f>
        <x:v>OK</x:v>
      </x:c>
    </x:row>
    <x:row r="9">
      <x:c r="A9" s="46" t="str">
        <x:v>1088</x:v>
      </x:c>
      <x:c r="B9" s="46" t="str">
        <x:v>Lagom - Blackberry Breeze</x:v>
      </x:c>
      <x:c r="C9" s="68" t="n">
        <x:v>1</x:v>
      </x:c>
      <x:c r="D9" s="58" t="n">
        <x:v>72.99</x:v>
      </x:c>
      <x:c r="E9" s="60" t="n">
        <x:f>IF($A9="","",$C9*$D9)</x:f>
        <x:v>72.99</x:v>
      </x:c>
      <x:c r="F9" s="104" t="n">
        <x:f>IF($A9="","",IFERROR(VLOOKUP($B9,Setup!$A$7:$H$23,2,FALSE),""))</x:f>
        <x:v>860012530564</x:v>
      </x:c>
      <x:c r="G9" s="52" t="str">
        <x:f>IF($A9="","",IFERROR(VLOOKUP($B9,Setup!$A$7:$H$23,5,FALSE),""))</x:f>
        <x:v>Seltzer</x:v>
      </x:c>
      <x:c r="H9" s="60" t="n">
        <x:f>IF($A9="","",IFERROR(VLOOKUP($B9,Setup!$A$7:$H$23,6,FALSE),""))</x:f>
        <x:v>72</x:v>
      </x:c>
      <x:c r="I9" s="60" t="n">
        <x:f>IF($A9="","",$C9*$H9)</x:f>
        <x:v>72</x:v>
      </x:c>
      <x:c r="J9" s="60" t="n">
        <x:f>IF($A9="","",$E9-$I9)</x:f>
        <x:v>0.9899999999999949</x:v>
      </x:c>
      <x:c r="K9" s="66" t="n">
        <x:f>IF($A9="","",IFERROR(VLOOKUP($A9,Invoices!$A$7:$W$156,2,FALSE),""))</x:f>
        <x:v>46064</x:v>
      </x:c>
      <x:c r="L9" s="52" t="str">
        <x:f>IF($A9="","",IFERROR(VLOOKUP($A9,Invoices!$A$7:$W$156,3,FALSE),""))</x:f>
        <x:v>Wayzata Smoke Shop &amp; Vape</x:v>
      </x:c>
      <x:c r="M9" s="52" t="str">
        <x:f>IF($A9="","",IFERROR(VLOOKUP($A9,Invoices!$A$7:$W$156,4,FALSE),""))</x:f>
        <x:v>Tito</x:v>
      </x:c>
      <x:c r="N9" s="52" t="str">
        <x:f>IF($A9="","",IFERROR(VLOOKUP($A9,Invoices!$A$7:$W$156,5,FALSE),""))</x:f>
        <x:v>Reorder</x:v>
      </x:c>
      <x:c r="O9" s="52" t="str">
        <x:f>IF($A9="","",IF(OR($B9="",$C9&lt;=0,$D9&lt;0,$F9="",$K9="",COUNTIFS($A$7:$A$306,$A9,$B$7:$B$306,$B9)&gt;1),"REVIEW","OK"))</x:f>
        <x:v>OK</x:v>
      </x:c>
    </x:row>
    <x:row r="10">
      <x:c r="A10" s="46" t="str">
        <x:v>1088</x:v>
      </x:c>
      <x:c r="B10" s="46" t="str">
        <x:v>Lagom - Watermelon Refresher</x:v>
      </x:c>
      <x:c r="C10" s="68" t="n">
        <x:v>1</x:v>
      </x:c>
      <x:c r="D10" s="58" t="n">
        <x:v>72.99</x:v>
      </x:c>
      <x:c r="E10" s="60" t="n">
        <x:f>IF($A10="","",$C10*$D10)</x:f>
        <x:v>72.99</x:v>
      </x:c>
      <x:c r="F10" s="104" t="n">
        <x:f>IF($A10="","",IFERROR(VLOOKUP($B10,Setup!$A$7:$H$23,2,FALSE),""))</x:f>
        <x:v>860012530526</x:v>
      </x:c>
      <x:c r="G10" s="52" t="str">
        <x:f>IF($A10="","",IFERROR(VLOOKUP($B10,Setup!$A$7:$H$23,5,FALSE),""))</x:f>
        <x:v>Seltzer</x:v>
      </x:c>
      <x:c r="H10" s="60" t="n">
        <x:f>IF($A10="","",IFERROR(VLOOKUP($B10,Setup!$A$7:$H$23,6,FALSE),""))</x:f>
        <x:v>72</x:v>
      </x:c>
      <x:c r="I10" s="60" t="n">
        <x:f>IF($A10="","",$C10*$H10)</x:f>
        <x:v>72</x:v>
      </x:c>
      <x:c r="J10" s="60" t="n">
        <x:f>IF($A10="","",$E10-$I10)</x:f>
        <x:v>0.9899999999999949</x:v>
      </x:c>
      <x:c r="K10" s="66" t="n">
        <x:f>IF($A10="","",IFERROR(VLOOKUP($A10,Invoices!$A$7:$W$156,2,FALSE),""))</x:f>
        <x:v>46064</x:v>
      </x:c>
      <x:c r="L10" s="52" t="str">
        <x:f>IF($A10="","",IFERROR(VLOOKUP($A10,Invoices!$A$7:$W$156,3,FALSE),""))</x:f>
        <x:v>Wayzata Smoke Shop &amp; Vape</x:v>
      </x:c>
      <x:c r="M10" s="52" t="str">
        <x:f>IF($A10="","",IFERROR(VLOOKUP($A10,Invoices!$A$7:$W$156,4,FALSE),""))</x:f>
        <x:v>Tito</x:v>
      </x:c>
      <x:c r="N10" s="52" t="str">
        <x:f>IF($A10="","",IFERROR(VLOOKUP($A10,Invoices!$A$7:$W$156,5,FALSE),""))</x:f>
        <x:v>Reorder</x:v>
      </x:c>
      <x:c r="O10" s="52" t="str">
        <x:f>IF($A10="","",IF(OR($B10="",$C10&lt;=0,$D10&lt;0,$F10="",$K10="",COUNTIFS($A$7:$A$306,$A10,$B$7:$B$306,$B10)&gt;1),"REVIEW","OK"))</x:f>
        <x:v>OK</x:v>
      </x:c>
    </x:row>
    <x:row r="11">
      <x:c r="A11" s="46" t="str">
        <x:v>1089</x:v>
      </x:c>
      <x:c r="B11" s="46" t="str">
        <x:v>Lagom - 24K Lemonade</x:v>
      </x:c>
      <x:c r="C11" s="68" t="n">
        <x:v>1</x:v>
      </x:c>
      <x:c r="D11" s="58" t="n">
        <x:v>72.99</x:v>
      </x:c>
      <x:c r="E11" s="60" t="n">
        <x:f>IF($A11="","",$C11*$D11)</x:f>
        <x:v>72.99</x:v>
      </x:c>
      <x:c r="F11" s="104" t="n">
        <x:f>IF($A11="","",IFERROR(VLOOKUP($B11,Setup!$A$7:$H$23,2,FALSE),""))</x:f>
        <x:v>860012530502</x:v>
      </x:c>
      <x:c r="G11" s="52" t="str">
        <x:f>IF($A11="","",IFERROR(VLOOKUP($B11,Setup!$A$7:$H$23,5,FALSE),""))</x:f>
        <x:v>Seltzer</x:v>
      </x:c>
      <x:c r="H11" s="60" t="n">
        <x:f>IF($A11="","",IFERROR(VLOOKUP($B11,Setup!$A$7:$H$23,6,FALSE),""))</x:f>
        <x:v>72</x:v>
      </x:c>
      <x:c r="I11" s="60" t="n">
        <x:f>IF($A11="","",$C11*$H11)</x:f>
        <x:v>72</x:v>
      </x:c>
      <x:c r="J11" s="60" t="n">
        <x:f>IF($A11="","",$E11-$I11)</x:f>
        <x:v>0.9899999999999949</x:v>
      </x:c>
      <x:c r="K11" s="66" t="n">
        <x:f>IF($A11="","",IFERROR(VLOOKUP($A11,Invoices!$A$7:$W$156,2,FALSE),""))</x:f>
        <x:v>46064</x:v>
      </x:c>
      <x:c r="L11" s="52" t="str">
        <x:f>IF($A11="","",IFERROR(VLOOKUP($A11,Invoices!$A$7:$W$156,3,FALSE),""))</x:f>
        <x:v>Long Lake Orono Smoke Shop</x:v>
      </x:c>
      <x:c r="M11" s="52" t="str">
        <x:f>IF($A11="","",IFERROR(VLOOKUP($A11,Invoices!$A$7:$W$156,4,FALSE),""))</x:f>
        <x:v>Tito</x:v>
      </x:c>
      <x:c r="N11" s="52" t="str">
        <x:f>IF($A11="","",IFERROR(VLOOKUP($A11,Invoices!$A$7:$W$156,5,FALSE),""))</x:f>
        <x:v>Reorder</x:v>
      </x:c>
      <x:c r="O11" s="52" t="str">
        <x:f>IF($A11="","",IF(OR($B11="",$C11&lt;=0,$D11&lt;0,$F11="",$K11="",COUNTIFS($A$7:$A$306,$A11,$B$7:$B$306,$B11)&gt;1),"REVIEW","OK"))</x:f>
        <x:v>OK</x:v>
      </x:c>
    </x:row>
    <x:row r="12">
      <x:c r="A12" s="46" t="str">
        <x:v>1089</x:v>
      </x:c>
      <x:c r="B12" s="46" t="str">
        <x:v>Lagom - Strawberry Lime Fusion</x:v>
      </x:c>
      <x:c r="C12" s="68" t="n">
        <x:v>1</x:v>
      </x:c>
      <x:c r="D12" s="58" t="n">
        <x:v>72.99</x:v>
      </x:c>
      <x:c r="E12" s="60" t="n">
        <x:f>IF($A12="","",$C12*$D12)</x:f>
        <x:v>72.99</x:v>
      </x:c>
      <x:c r="F12" s="104" t="n">
        <x:f>IF($A12="","",IFERROR(VLOOKUP($B12,Setup!$A$7:$H$23,2,FALSE),""))</x:f>
        <x:v>860012530540</x:v>
      </x:c>
      <x:c r="G12" s="52" t="str">
        <x:f>IF($A12="","",IFERROR(VLOOKUP($B12,Setup!$A$7:$H$23,5,FALSE),""))</x:f>
        <x:v>Seltzer</x:v>
      </x:c>
      <x:c r="H12" s="60" t="n">
        <x:f>IF($A12="","",IFERROR(VLOOKUP($B12,Setup!$A$7:$H$23,6,FALSE),""))</x:f>
        <x:v>72</x:v>
      </x:c>
      <x:c r="I12" s="60" t="n">
        <x:f>IF($A12="","",$C12*$H12)</x:f>
        <x:v>72</x:v>
      </x:c>
      <x:c r="J12" s="60" t="n">
        <x:f>IF($A12="","",$E12-$I12)</x:f>
        <x:v>0.9899999999999949</x:v>
      </x:c>
      <x:c r="K12" s="66" t="n">
        <x:f>IF($A12="","",IFERROR(VLOOKUP($A12,Invoices!$A$7:$W$156,2,FALSE),""))</x:f>
        <x:v>46064</x:v>
      </x:c>
      <x:c r="L12" s="52" t="str">
        <x:f>IF($A12="","",IFERROR(VLOOKUP($A12,Invoices!$A$7:$W$156,3,FALSE),""))</x:f>
        <x:v>Long Lake Orono Smoke Shop</x:v>
      </x:c>
      <x:c r="M12" s="52" t="str">
        <x:f>IF($A12="","",IFERROR(VLOOKUP($A12,Invoices!$A$7:$W$156,4,FALSE),""))</x:f>
        <x:v>Tito</x:v>
      </x:c>
      <x:c r="N12" s="52" t="str">
        <x:f>IF($A12="","",IFERROR(VLOOKUP($A12,Invoices!$A$7:$W$156,5,FALSE),""))</x:f>
        <x:v>Reorder</x:v>
      </x:c>
      <x:c r="O12" s="52" t="str">
        <x:f>IF($A12="","",IF(OR($B12="",$C12&lt;=0,$D12&lt;0,$F12="",$K12="",COUNTIFS($A$7:$A$306,$A12,$B$7:$B$306,$B12)&gt;1),"REVIEW","OK"))</x:f>
        <x:v>OK</x:v>
      </x:c>
    </x:row>
    <x:row r="13">
      <x:c r="A13" s="46" t="str">
        <x:v>1089</x:v>
      </x:c>
      <x:c r="B13" s="46" t="str">
        <x:v>Lagom - Blackberry Breeze</x:v>
      </x:c>
      <x:c r="C13" s="68" t="n">
        <x:v>1</x:v>
      </x:c>
      <x:c r="D13" s="58" t="n">
        <x:v>72.99</x:v>
      </x:c>
      <x:c r="E13" s="60" t="n">
        <x:f>IF($A13="","",$C13*$D13)</x:f>
        <x:v>72.99</x:v>
      </x:c>
      <x:c r="F13" s="104" t="n">
        <x:f>IF($A13="","",IFERROR(VLOOKUP($B13,Setup!$A$7:$H$23,2,FALSE),""))</x:f>
        <x:v>860012530564</x:v>
      </x:c>
      <x:c r="G13" s="52" t="str">
        <x:f>IF($A13="","",IFERROR(VLOOKUP($B13,Setup!$A$7:$H$23,5,FALSE),""))</x:f>
        <x:v>Seltzer</x:v>
      </x:c>
      <x:c r="H13" s="60" t="n">
        <x:f>IF($A13="","",IFERROR(VLOOKUP($B13,Setup!$A$7:$H$23,6,FALSE),""))</x:f>
        <x:v>72</x:v>
      </x:c>
      <x:c r="I13" s="60" t="n">
        <x:f>IF($A13="","",$C13*$H13)</x:f>
        <x:v>72</x:v>
      </x:c>
      <x:c r="J13" s="60" t="n">
        <x:f>IF($A13="","",$E13-$I13)</x:f>
        <x:v>0.9899999999999949</x:v>
      </x:c>
      <x:c r="K13" s="66" t="n">
        <x:f>IF($A13="","",IFERROR(VLOOKUP($A13,Invoices!$A$7:$W$156,2,FALSE),""))</x:f>
        <x:v>46064</x:v>
      </x:c>
      <x:c r="L13" s="52" t="str">
        <x:f>IF($A13="","",IFERROR(VLOOKUP($A13,Invoices!$A$7:$W$156,3,FALSE),""))</x:f>
        <x:v>Long Lake Orono Smoke Shop</x:v>
      </x:c>
      <x:c r="M13" s="52" t="str">
        <x:f>IF($A13="","",IFERROR(VLOOKUP($A13,Invoices!$A$7:$W$156,4,FALSE),""))</x:f>
        <x:v>Tito</x:v>
      </x:c>
      <x:c r="N13" s="52" t="str">
        <x:f>IF($A13="","",IFERROR(VLOOKUP($A13,Invoices!$A$7:$W$156,5,FALSE),""))</x:f>
        <x:v>Reorder</x:v>
      </x:c>
      <x:c r="O13" s="52" t="str">
        <x:f>IF($A13="","",IF(OR($B13="",$C13&lt;=0,$D13&lt;0,$F13="",$K13="",COUNTIFS($A$7:$A$306,$A13,$B$7:$B$306,$B13)&gt;1),"REVIEW","OK"))</x:f>
        <x:v>OK</x:v>
      </x:c>
    </x:row>
    <x:row r="14">
      <x:c r="A14" s="46" t="str">
        <x:v>1089</x:v>
      </x:c>
      <x:c r="B14" s="46" t="str">
        <x:v>Lagom - Watermelon Refresher</x:v>
      </x:c>
      <x:c r="C14" s="68" t="n">
        <x:v>1</x:v>
      </x:c>
      <x:c r="D14" s="58" t="n">
        <x:v>72.99</x:v>
      </x:c>
      <x:c r="E14" s="60" t="n">
        <x:f>IF($A14="","",$C14*$D14)</x:f>
        <x:v>72.99</x:v>
      </x:c>
      <x:c r="F14" s="104" t="n">
        <x:f>IF($A14="","",IFERROR(VLOOKUP($B14,Setup!$A$7:$H$23,2,FALSE),""))</x:f>
        <x:v>860012530526</x:v>
      </x:c>
      <x:c r="G14" s="52" t="str">
        <x:f>IF($A14="","",IFERROR(VLOOKUP($B14,Setup!$A$7:$H$23,5,FALSE),""))</x:f>
        <x:v>Seltzer</x:v>
      </x:c>
      <x:c r="H14" s="60" t="n">
        <x:f>IF($A14="","",IFERROR(VLOOKUP($B14,Setup!$A$7:$H$23,6,FALSE),""))</x:f>
        <x:v>72</x:v>
      </x:c>
      <x:c r="I14" s="60" t="n">
        <x:f>IF($A14="","",$C14*$H14)</x:f>
        <x:v>72</x:v>
      </x:c>
      <x:c r="J14" s="60" t="n">
        <x:f>IF($A14="","",$E14-$I14)</x:f>
        <x:v>0.9899999999999949</x:v>
      </x:c>
      <x:c r="K14" s="66" t="n">
        <x:f>IF($A14="","",IFERROR(VLOOKUP($A14,Invoices!$A$7:$W$156,2,FALSE),""))</x:f>
        <x:v>46064</x:v>
      </x:c>
      <x:c r="L14" s="52" t="str">
        <x:f>IF($A14="","",IFERROR(VLOOKUP($A14,Invoices!$A$7:$W$156,3,FALSE),""))</x:f>
        <x:v>Long Lake Orono Smoke Shop</x:v>
      </x:c>
      <x:c r="M14" s="52" t="str">
        <x:f>IF($A14="","",IFERROR(VLOOKUP($A14,Invoices!$A$7:$W$156,4,FALSE),""))</x:f>
        <x:v>Tito</x:v>
      </x:c>
      <x:c r="N14" s="52" t="str">
        <x:f>IF($A14="","",IFERROR(VLOOKUP($A14,Invoices!$A$7:$W$156,5,FALSE),""))</x:f>
        <x:v>Reorder</x:v>
      </x:c>
      <x:c r="O14" s="52" t="str">
        <x:f>IF($A14="","",IF(OR($B14="",$C14&lt;=0,$D14&lt;0,$F14="",$K14="",COUNTIFS($A$7:$A$306,$A14,$B$7:$B$306,$B14)&gt;1),"REVIEW","OK"))</x:f>
        <x:v>OK</x:v>
      </x:c>
    </x:row>
    <x:row r="15">
      <x:c r="A15" s="46"/>
      <x:c r="B15" s="46"/>
      <x:c r="C15" s="68"/>
      <x:c r="D15" s="58"/>
      <x:c r="E15" s="60" t="str">
        <x:f>IF($A15="","",$C15*$D15)</x:f>
      </x:c>
      <x:c r="F15" s="104" t="str">
        <x:f>IF($A15="","",IFERROR(VLOOKUP($B15,Setup!$A$7:$H$23,2,FALSE),""))</x:f>
      </x:c>
      <x:c r="G15" s="52" t="str">
        <x:f>IF($A15="","",IFERROR(VLOOKUP($B15,Setup!$A$7:$H$23,5,FALSE),""))</x:f>
      </x:c>
      <x:c r="H15" s="60" t="str">
        <x:f>IF($A15="","",IFERROR(VLOOKUP($B15,Setup!$A$7:$H$23,6,FALSE),""))</x:f>
      </x:c>
      <x:c r="I15" s="60" t="str">
        <x:f>IF($A15="","",$C15*$H15)</x:f>
      </x:c>
      <x:c r="J15" s="60" t="str">
        <x:f>IF($A15="","",$E15-$I15)</x:f>
      </x:c>
      <x:c r="K15" s="66" t="str">
        <x:f>IF($A15="","",IFERROR(VLOOKUP($A15,Invoices!$A$7:$W$156,2,FALSE),""))</x:f>
      </x:c>
      <x:c r="L15" s="52" t="str">
        <x:f>IF($A15="","",IFERROR(VLOOKUP($A15,Invoices!$A$7:$W$156,3,FALSE),""))</x:f>
      </x:c>
      <x:c r="M15" s="52" t="str">
        <x:f>IF($A15="","",IFERROR(VLOOKUP($A15,Invoices!$A$7:$W$156,4,FALSE),""))</x:f>
      </x:c>
      <x:c r="N15" s="52" t="str">
        <x:f>IF($A15="","",IFERROR(VLOOKUP($A15,Invoices!$A$7:$W$156,5,FALSE),""))</x:f>
      </x:c>
      <x:c r="O15" s="52" t="str">
        <x:f>IF($A15="","",IF(OR($B15="",$C15&lt;=0,$D15&lt;0,$F15="",$K15="",COUNTIFS($A$7:$A$306,$A15,$B$7:$B$306,$B15)&gt;1),"REVIEW","OK"))</x:f>
      </x:c>
    </x:row>
    <x:row r="16">
      <x:c r="A16" s="46"/>
      <x:c r="B16" s="46"/>
      <x:c r="C16" s="68"/>
      <x:c r="D16" s="58"/>
      <x:c r="E16" s="60" t="str">
        <x:f>IF($A16="","",$C16*$D16)</x:f>
      </x:c>
      <x:c r="F16" s="104" t="str">
        <x:f>IF($A16="","",IFERROR(VLOOKUP($B16,Setup!$A$7:$H$23,2,FALSE),""))</x:f>
      </x:c>
      <x:c r="G16" s="52" t="str">
        <x:f>IF($A16="","",IFERROR(VLOOKUP($B16,Setup!$A$7:$H$23,5,FALSE),""))</x:f>
      </x:c>
      <x:c r="H16" s="60" t="str">
        <x:f>IF($A16="","",IFERROR(VLOOKUP($B16,Setup!$A$7:$H$23,6,FALSE),""))</x:f>
      </x:c>
      <x:c r="I16" s="60" t="str">
        <x:f>IF($A16="","",$C16*$H16)</x:f>
      </x:c>
      <x:c r="J16" s="60" t="str">
        <x:f>IF($A16="","",$E16-$I16)</x:f>
      </x:c>
      <x:c r="K16" s="66" t="str">
        <x:f>IF($A16="","",IFERROR(VLOOKUP($A16,Invoices!$A$7:$W$156,2,FALSE),""))</x:f>
      </x:c>
      <x:c r="L16" s="52" t="str">
        <x:f>IF($A16="","",IFERROR(VLOOKUP($A16,Invoices!$A$7:$W$156,3,FALSE),""))</x:f>
      </x:c>
      <x:c r="M16" s="52" t="str">
        <x:f>IF($A16="","",IFERROR(VLOOKUP($A16,Invoices!$A$7:$W$156,4,FALSE),""))</x:f>
      </x:c>
      <x:c r="N16" s="52" t="str">
        <x:f>IF($A16="","",IFERROR(VLOOKUP($A16,Invoices!$A$7:$W$156,5,FALSE),""))</x:f>
      </x:c>
      <x:c r="O16" s="52" t="str">
        <x:f>IF($A16="","",IF(OR($B16="",$C16&lt;=0,$D16&lt;0,$F16="",$K16="",COUNTIFS($A$7:$A$306,$A16,$B$7:$B$306,$B16)&gt;1),"REVIEW","OK"))</x:f>
      </x:c>
    </x:row>
    <x:row r="17">
      <x:c r="A17" s="46"/>
      <x:c r="B17" s="46"/>
      <x:c r="C17" s="68"/>
      <x:c r="D17" s="58"/>
      <x:c r="E17" s="60" t="str">
        <x:f>IF($A17="","",$C17*$D17)</x:f>
      </x:c>
      <x:c r="F17" s="104" t="str">
        <x:f>IF($A17="","",IFERROR(VLOOKUP($B17,Setup!$A$7:$H$23,2,FALSE),""))</x:f>
      </x:c>
      <x:c r="G17" s="52" t="str">
        <x:f>IF($A17="","",IFERROR(VLOOKUP($B17,Setup!$A$7:$H$23,5,FALSE),""))</x:f>
      </x:c>
      <x:c r="H17" s="60" t="str">
        <x:f>IF($A17="","",IFERROR(VLOOKUP($B17,Setup!$A$7:$H$23,6,FALSE),""))</x:f>
      </x:c>
      <x:c r="I17" s="60" t="str">
        <x:f>IF($A17="","",$C17*$H17)</x:f>
      </x:c>
      <x:c r="J17" s="60" t="str">
        <x:f>IF($A17="","",$E17-$I17)</x:f>
      </x:c>
      <x:c r="K17" s="66" t="str">
        <x:f>IF($A17="","",IFERROR(VLOOKUP($A17,Invoices!$A$7:$W$156,2,FALSE),""))</x:f>
      </x:c>
      <x:c r="L17" s="52" t="str">
        <x:f>IF($A17="","",IFERROR(VLOOKUP($A17,Invoices!$A$7:$W$156,3,FALSE),""))</x:f>
      </x:c>
      <x:c r="M17" s="52" t="str">
        <x:f>IF($A17="","",IFERROR(VLOOKUP($A17,Invoices!$A$7:$W$156,4,FALSE),""))</x:f>
      </x:c>
      <x:c r="N17" s="52" t="str">
        <x:f>IF($A17="","",IFERROR(VLOOKUP($A17,Invoices!$A$7:$W$156,5,FALSE),""))</x:f>
      </x:c>
      <x:c r="O17" s="52" t="str">
        <x:f>IF($A17="","",IF(OR($B17="",$C17&lt;=0,$D17&lt;0,$F17="",$K17="",COUNTIFS($A$7:$A$306,$A17,$B$7:$B$306,$B17)&gt;1),"REVIEW","OK"))</x:f>
      </x:c>
    </x:row>
    <x:row r="18">
      <x:c r="A18" s="46"/>
      <x:c r="B18" s="46"/>
      <x:c r="C18" s="68"/>
      <x:c r="D18" s="58"/>
      <x:c r="E18" s="60" t="str">
        <x:f>IF($A18="","",$C18*$D18)</x:f>
      </x:c>
      <x:c r="F18" s="104" t="str">
        <x:f>IF($A18="","",IFERROR(VLOOKUP($B18,Setup!$A$7:$H$23,2,FALSE),""))</x:f>
      </x:c>
      <x:c r="G18" s="52" t="str">
        <x:f>IF($A18="","",IFERROR(VLOOKUP($B18,Setup!$A$7:$H$23,5,FALSE),""))</x:f>
      </x:c>
      <x:c r="H18" s="60" t="str">
        <x:f>IF($A18="","",IFERROR(VLOOKUP($B18,Setup!$A$7:$H$23,6,FALSE),""))</x:f>
      </x:c>
      <x:c r="I18" s="60" t="str">
        <x:f>IF($A18="","",$C18*$H18)</x:f>
      </x:c>
      <x:c r="J18" s="60" t="str">
        <x:f>IF($A18="","",$E18-$I18)</x:f>
      </x:c>
      <x:c r="K18" s="66" t="str">
        <x:f>IF($A18="","",IFERROR(VLOOKUP($A18,Invoices!$A$7:$W$156,2,FALSE),""))</x:f>
      </x:c>
      <x:c r="L18" s="52" t="str">
        <x:f>IF($A18="","",IFERROR(VLOOKUP($A18,Invoices!$A$7:$W$156,3,FALSE),""))</x:f>
      </x:c>
      <x:c r="M18" s="52" t="str">
        <x:f>IF($A18="","",IFERROR(VLOOKUP($A18,Invoices!$A$7:$W$156,4,FALSE),""))</x:f>
      </x:c>
      <x:c r="N18" s="52" t="str">
        <x:f>IF($A18="","",IFERROR(VLOOKUP($A18,Invoices!$A$7:$W$156,5,FALSE),""))</x:f>
      </x:c>
      <x:c r="O18" s="52" t="str">
        <x:f>IF($A18="","",IF(OR($B18="",$C18&lt;=0,$D18&lt;0,$F18="",$K18="",COUNTIFS($A$7:$A$306,$A18,$B$7:$B$306,$B18)&gt;1),"REVIEW","OK"))</x:f>
      </x:c>
    </x:row>
    <x:row r="19">
      <x:c r="A19" s="46"/>
      <x:c r="B19" s="46"/>
      <x:c r="C19" s="68"/>
      <x:c r="D19" s="58"/>
      <x:c r="E19" s="60" t="str">
        <x:f>IF($A19="","",$C19*$D19)</x:f>
      </x:c>
      <x:c r="F19" s="104" t="str">
        <x:f>IF($A19="","",IFERROR(VLOOKUP($B19,Setup!$A$7:$H$23,2,FALSE),""))</x:f>
      </x:c>
      <x:c r="G19" s="52" t="str">
        <x:f>IF($A19="","",IFERROR(VLOOKUP($B19,Setup!$A$7:$H$23,5,FALSE),""))</x:f>
      </x:c>
      <x:c r="H19" s="60" t="str">
        <x:f>IF($A19="","",IFERROR(VLOOKUP($B19,Setup!$A$7:$H$23,6,FALSE),""))</x:f>
      </x:c>
      <x:c r="I19" s="60" t="str">
        <x:f>IF($A19="","",$C19*$H19)</x:f>
      </x:c>
      <x:c r="J19" s="60" t="str">
        <x:f>IF($A19="","",$E19-$I19)</x:f>
      </x:c>
      <x:c r="K19" s="66" t="str">
        <x:f>IF($A19="","",IFERROR(VLOOKUP($A19,Invoices!$A$7:$W$156,2,FALSE),""))</x:f>
      </x:c>
      <x:c r="L19" s="52" t="str">
        <x:f>IF($A19="","",IFERROR(VLOOKUP($A19,Invoices!$A$7:$W$156,3,FALSE),""))</x:f>
      </x:c>
      <x:c r="M19" s="52" t="str">
        <x:f>IF($A19="","",IFERROR(VLOOKUP($A19,Invoices!$A$7:$W$156,4,FALSE),""))</x:f>
      </x:c>
      <x:c r="N19" s="52" t="str">
        <x:f>IF($A19="","",IFERROR(VLOOKUP($A19,Invoices!$A$7:$W$156,5,FALSE),""))</x:f>
      </x:c>
      <x:c r="O19" s="52" t="str">
        <x:f>IF($A19="","",IF(OR($B19="",$C19&lt;=0,$D19&lt;0,$F19="",$K19="",COUNTIFS($A$7:$A$306,$A19,$B$7:$B$306,$B19)&gt;1),"REVIEW","OK"))</x:f>
      </x:c>
    </x:row>
    <x:row r="20">
      <x:c r="A20" s="46"/>
      <x:c r="B20" s="46"/>
      <x:c r="C20" s="68"/>
      <x:c r="D20" s="58"/>
      <x:c r="E20" s="60" t="str">
        <x:f>IF($A20="","",$C20*$D20)</x:f>
      </x:c>
      <x:c r="F20" s="104" t="str">
        <x:f>IF($A20="","",IFERROR(VLOOKUP($B20,Setup!$A$7:$H$23,2,FALSE),""))</x:f>
      </x:c>
      <x:c r="G20" s="52" t="str">
        <x:f>IF($A20="","",IFERROR(VLOOKUP($B20,Setup!$A$7:$H$23,5,FALSE),""))</x:f>
      </x:c>
      <x:c r="H20" s="60" t="str">
        <x:f>IF($A20="","",IFERROR(VLOOKUP($B20,Setup!$A$7:$H$23,6,FALSE),""))</x:f>
      </x:c>
      <x:c r="I20" s="60" t="str">
        <x:f>IF($A20="","",$C20*$H20)</x:f>
      </x:c>
      <x:c r="J20" s="60" t="str">
        <x:f>IF($A20="","",$E20-$I20)</x:f>
      </x:c>
      <x:c r="K20" s="66" t="str">
        <x:f>IF($A20="","",IFERROR(VLOOKUP($A20,Invoices!$A$7:$W$156,2,FALSE),""))</x:f>
      </x:c>
      <x:c r="L20" s="52" t="str">
        <x:f>IF($A20="","",IFERROR(VLOOKUP($A20,Invoices!$A$7:$W$156,3,FALSE),""))</x:f>
      </x:c>
      <x:c r="M20" s="52" t="str">
        <x:f>IF($A20="","",IFERROR(VLOOKUP($A20,Invoices!$A$7:$W$156,4,FALSE),""))</x:f>
      </x:c>
      <x:c r="N20" s="52" t="str">
        <x:f>IF($A20="","",IFERROR(VLOOKUP($A20,Invoices!$A$7:$W$156,5,FALSE),""))</x:f>
      </x:c>
      <x:c r="O20" s="52" t="str">
        <x:f>IF($A20="","",IF(OR($B20="",$C20&lt;=0,$D20&lt;0,$F20="",$K20="",COUNTIFS($A$7:$A$306,$A20,$B$7:$B$306,$B20)&gt;1),"REVIEW","OK"))</x:f>
      </x:c>
    </x:row>
    <x:row r="21">
      <x:c r="A21" s="46"/>
      <x:c r="B21" s="46"/>
      <x:c r="C21" s="68"/>
      <x:c r="D21" s="58"/>
      <x:c r="E21" s="60" t="str">
        <x:f>IF($A21="","",$C21*$D21)</x:f>
      </x:c>
      <x:c r="F21" s="104" t="str">
        <x:f>IF($A21="","",IFERROR(VLOOKUP($B21,Setup!$A$7:$H$23,2,FALSE),""))</x:f>
      </x:c>
      <x:c r="G21" s="52" t="str">
        <x:f>IF($A21="","",IFERROR(VLOOKUP($B21,Setup!$A$7:$H$23,5,FALSE),""))</x:f>
      </x:c>
      <x:c r="H21" s="60" t="str">
        <x:f>IF($A21="","",IFERROR(VLOOKUP($B21,Setup!$A$7:$H$23,6,FALSE),""))</x:f>
      </x:c>
      <x:c r="I21" s="60" t="str">
        <x:f>IF($A21="","",$C21*$H21)</x:f>
      </x:c>
      <x:c r="J21" s="60" t="str">
        <x:f>IF($A21="","",$E21-$I21)</x:f>
      </x:c>
      <x:c r="K21" s="66" t="str">
        <x:f>IF($A21="","",IFERROR(VLOOKUP($A21,Invoices!$A$7:$W$156,2,FALSE),""))</x:f>
      </x:c>
      <x:c r="L21" s="52" t="str">
        <x:f>IF($A21="","",IFERROR(VLOOKUP($A21,Invoices!$A$7:$W$156,3,FALSE),""))</x:f>
      </x:c>
      <x:c r="M21" s="52" t="str">
        <x:f>IF($A21="","",IFERROR(VLOOKUP($A21,Invoices!$A$7:$W$156,4,FALSE),""))</x:f>
      </x:c>
      <x:c r="N21" s="52" t="str">
        <x:f>IF($A21="","",IFERROR(VLOOKUP($A21,Invoices!$A$7:$W$156,5,FALSE),""))</x:f>
      </x:c>
      <x:c r="O21" s="52" t="str">
        <x:f>IF($A21="","",IF(OR($B21="",$C21&lt;=0,$D21&lt;0,$F21="",$K21="",COUNTIFS($A$7:$A$306,$A21,$B$7:$B$306,$B21)&gt;1),"REVIEW","OK"))</x:f>
      </x:c>
    </x:row>
    <x:row r="22">
      <x:c r="A22" s="46"/>
      <x:c r="B22" s="46"/>
      <x:c r="C22" s="68"/>
      <x:c r="D22" s="58"/>
      <x:c r="E22" s="60" t="str">
        <x:f>IF($A22="","",$C22*$D22)</x:f>
      </x:c>
      <x:c r="F22" s="104" t="str">
        <x:f>IF($A22="","",IFERROR(VLOOKUP($B22,Setup!$A$7:$H$23,2,FALSE),""))</x:f>
      </x:c>
      <x:c r="G22" s="52" t="str">
        <x:f>IF($A22="","",IFERROR(VLOOKUP($B22,Setup!$A$7:$H$23,5,FALSE),""))</x:f>
      </x:c>
      <x:c r="H22" s="60" t="str">
        <x:f>IF($A22="","",IFERROR(VLOOKUP($B22,Setup!$A$7:$H$23,6,FALSE),""))</x:f>
      </x:c>
      <x:c r="I22" s="60" t="str">
        <x:f>IF($A22="","",$C22*$H22)</x:f>
      </x:c>
      <x:c r="J22" s="60" t="str">
        <x:f>IF($A22="","",$E22-$I22)</x:f>
      </x:c>
      <x:c r="K22" s="66" t="str">
        <x:f>IF($A22="","",IFERROR(VLOOKUP($A22,Invoices!$A$7:$W$156,2,FALSE),""))</x:f>
      </x:c>
      <x:c r="L22" s="52" t="str">
        <x:f>IF($A22="","",IFERROR(VLOOKUP($A22,Invoices!$A$7:$W$156,3,FALSE),""))</x:f>
      </x:c>
      <x:c r="M22" s="52" t="str">
        <x:f>IF($A22="","",IFERROR(VLOOKUP($A22,Invoices!$A$7:$W$156,4,FALSE),""))</x:f>
      </x:c>
      <x:c r="N22" s="52" t="str">
        <x:f>IF($A22="","",IFERROR(VLOOKUP($A22,Invoices!$A$7:$W$156,5,FALSE),""))</x:f>
      </x:c>
      <x:c r="O22" s="52" t="str">
        <x:f>IF($A22="","",IF(OR($B22="",$C22&lt;=0,$D22&lt;0,$F22="",$K22="",COUNTIFS($A$7:$A$306,$A22,$B$7:$B$306,$B22)&gt;1),"REVIEW","OK"))</x:f>
      </x:c>
    </x:row>
    <x:row r="23">
      <x:c r="A23" s="46"/>
      <x:c r="B23" s="46"/>
      <x:c r="C23" s="68"/>
      <x:c r="D23" s="58"/>
      <x:c r="E23" s="60" t="str">
        <x:f>IF($A23="","",$C23*$D23)</x:f>
      </x:c>
      <x:c r="F23" s="104" t="str">
        <x:f>IF($A23="","",IFERROR(VLOOKUP($B23,Setup!$A$7:$H$23,2,FALSE),""))</x:f>
      </x:c>
      <x:c r="G23" s="52" t="str">
        <x:f>IF($A23="","",IFERROR(VLOOKUP($B23,Setup!$A$7:$H$23,5,FALSE),""))</x:f>
      </x:c>
      <x:c r="H23" s="60" t="str">
        <x:f>IF($A23="","",IFERROR(VLOOKUP($B23,Setup!$A$7:$H$23,6,FALSE),""))</x:f>
      </x:c>
      <x:c r="I23" s="60" t="str">
        <x:f>IF($A23="","",$C23*$H23)</x:f>
      </x:c>
      <x:c r="J23" s="60" t="str">
        <x:f>IF($A23="","",$E23-$I23)</x:f>
      </x:c>
      <x:c r="K23" s="66" t="str">
        <x:f>IF($A23="","",IFERROR(VLOOKUP($A23,Invoices!$A$7:$W$156,2,FALSE),""))</x:f>
      </x:c>
      <x:c r="L23" s="52" t="str">
        <x:f>IF($A23="","",IFERROR(VLOOKUP($A23,Invoices!$A$7:$W$156,3,FALSE),""))</x:f>
      </x:c>
      <x:c r="M23" s="52" t="str">
        <x:f>IF($A23="","",IFERROR(VLOOKUP($A23,Invoices!$A$7:$W$156,4,FALSE),""))</x:f>
      </x:c>
      <x:c r="N23" s="52" t="str">
        <x:f>IF($A23="","",IFERROR(VLOOKUP($A23,Invoices!$A$7:$W$156,5,FALSE),""))</x:f>
      </x:c>
      <x:c r="O23" s="52" t="str">
        <x:f>IF($A23="","",IF(OR($B23="",$C23&lt;=0,$D23&lt;0,$F23="",$K23="",COUNTIFS($A$7:$A$306,$A23,$B$7:$B$306,$B23)&gt;1),"REVIEW","OK"))</x:f>
      </x:c>
    </x:row>
    <x:row r="24">
      <x:c r="A24" s="46"/>
      <x:c r="B24" s="46"/>
      <x:c r="C24" s="68"/>
      <x:c r="D24" s="58"/>
      <x:c r="E24" s="60" t="str">
        <x:f>IF($A24="","",$C24*$D24)</x:f>
      </x:c>
      <x:c r="F24" s="104" t="str">
        <x:f>IF($A24="","",IFERROR(VLOOKUP($B24,Setup!$A$7:$H$23,2,FALSE),""))</x:f>
      </x:c>
      <x:c r="G24" s="52" t="str">
        <x:f>IF($A24="","",IFERROR(VLOOKUP($B24,Setup!$A$7:$H$23,5,FALSE),""))</x:f>
      </x:c>
      <x:c r="H24" s="60" t="str">
        <x:f>IF($A24="","",IFERROR(VLOOKUP($B24,Setup!$A$7:$H$23,6,FALSE),""))</x:f>
      </x:c>
      <x:c r="I24" s="60" t="str">
        <x:f>IF($A24="","",$C24*$H24)</x:f>
      </x:c>
      <x:c r="J24" s="60" t="str">
        <x:f>IF($A24="","",$E24-$I24)</x:f>
      </x:c>
      <x:c r="K24" s="66" t="str">
        <x:f>IF($A24="","",IFERROR(VLOOKUP($A24,Invoices!$A$7:$W$156,2,FALSE),""))</x:f>
      </x:c>
      <x:c r="L24" s="52" t="str">
        <x:f>IF($A24="","",IFERROR(VLOOKUP($A24,Invoices!$A$7:$W$156,3,FALSE),""))</x:f>
      </x:c>
      <x:c r="M24" s="52" t="str">
        <x:f>IF($A24="","",IFERROR(VLOOKUP($A24,Invoices!$A$7:$W$156,4,FALSE),""))</x:f>
      </x:c>
      <x:c r="N24" s="52" t="str">
        <x:f>IF($A24="","",IFERROR(VLOOKUP($A24,Invoices!$A$7:$W$156,5,FALSE),""))</x:f>
      </x:c>
      <x:c r="O24" s="52" t="str">
        <x:f>IF($A24="","",IF(OR($B24="",$C24&lt;=0,$D24&lt;0,$F24="",$K24="",COUNTIFS($A$7:$A$306,$A24,$B$7:$B$306,$B24)&gt;1),"REVIEW","OK"))</x:f>
      </x:c>
    </x:row>
    <x:row r="25">
      <x:c r="A25" s="46"/>
      <x:c r="B25" s="46"/>
      <x:c r="C25" s="68"/>
      <x:c r="D25" s="58"/>
      <x:c r="E25" s="60" t="str">
        <x:f>IF($A25="","",$C25*$D25)</x:f>
      </x:c>
      <x:c r="F25" s="104" t="str">
        <x:f>IF($A25="","",IFERROR(VLOOKUP($B25,Setup!$A$7:$H$23,2,FALSE),""))</x:f>
      </x:c>
      <x:c r="G25" s="52" t="str">
        <x:f>IF($A25="","",IFERROR(VLOOKUP($B25,Setup!$A$7:$H$23,5,FALSE),""))</x:f>
      </x:c>
      <x:c r="H25" s="60" t="str">
        <x:f>IF($A25="","",IFERROR(VLOOKUP($B25,Setup!$A$7:$H$23,6,FALSE),""))</x:f>
      </x:c>
      <x:c r="I25" s="60" t="str">
        <x:f>IF($A25="","",$C25*$H25)</x:f>
      </x:c>
      <x:c r="J25" s="60" t="str">
        <x:f>IF($A25="","",$E25-$I25)</x:f>
      </x:c>
      <x:c r="K25" s="66" t="str">
        <x:f>IF($A25="","",IFERROR(VLOOKUP($A25,Invoices!$A$7:$W$156,2,FALSE),""))</x:f>
      </x:c>
      <x:c r="L25" s="52" t="str">
        <x:f>IF($A25="","",IFERROR(VLOOKUP($A25,Invoices!$A$7:$W$156,3,FALSE),""))</x:f>
      </x:c>
      <x:c r="M25" s="52" t="str">
        <x:f>IF($A25="","",IFERROR(VLOOKUP($A25,Invoices!$A$7:$W$156,4,FALSE),""))</x:f>
      </x:c>
      <x:c r="N25" s="52" t="str">
        <x:f>IF($A25="","",IFERROR(VLOOKUP($A25,Invoices!$A$7:$W$156,5,FALSE),""))</x:f>
      </x:c>
      <x:c r="O25" s="52" t="str">
        <x:f>IF($A25="","",IF(OR($B25="",$C25&lt;=0,$D25&lt;0,$F25="",$K25="",COUNTIFS($A$7:$A$306,$A25,$B$7:$B$306,$B25)&gt;1),"REVIEW","OK"))</x:f>
      </x:c>
    </x:row>
    <x:row r="26">
      <x:c r="A26" s="46"/>
      <x:c r="B26" s="46"/>
      <x:c r="C26" s="68"/>
      <x:c r="D26" s="58"/>
      <x:c r="E26" s="60" t="str">
        <x:f>IF($A26="","",$C26*$D26)</x:f>
      </x:c>
      <x:c r="F26" s="104" t="str">
        <x:f>IF($A26="","",IFERROR(VLOOKUP($B26,Setup!$A$7:$H$23,2,FALSE),""))</x:f>
      </x:c>
      <x:c r="G26" s="52" t="str">
        <x:f>IF($A26="","",IFERROR(VLOOKUP($B26,Setup!$A$7:$H$23,5,FALSE),""))</x:f>
      </x:c>
      <x:c r="H26" s="60" t="str">
        <x:f>IF($A26="","",IFERROR(VLOOKUP($B26,Setup!$A$7:$H$23,6,FALSE),""))</x:f>
      </x:c>
      <x:c r="I26" s="60" t="str">
        <x:f>IF($A26="","",$C26*$H26)</x:f>
      </x:c>
      <x:c r="J26" s="60" t="str">
        <x:f>IF($A26="","",$E26-$I26)</x:f>
      </x:c>
      <x:c r="K26" s="66" t="str">
        <x:f>IF($A26="","",IFERROR(VLOOKUP($A26,Invoices!$A$7:$W$156,2,FALSE),""))</x:f>
      </x:c>
      <x:c r="L26" s="52" t="str">
        <x:f>IF($A26="","",IFERROR(VLOOKUP($A26,Invoices!$A$7:$W$156,3,FALSE),""))</x:f>
      </x:c>
      <x:c r="M26" s="52" t="str">
        <x:f>IF($A26="","",IFERROR(VLOOKUP($A26,Invoices!$A$7:$W$156,4,FALSE),""))</x:f>
      </x:c>
      <x:c r="N26" s="52" t="str">
        <x:f>IF($A26="","",IFERROR(VLOOKUP($A26,Invoices!$A$7:$W$156,5,FALSE),""))</x:f>
      </x:c>
      <x:c r="O26" s="52" t="str">
        <x:f>IF($A26="","",IF(OR($B26="",$C26&lt;=0,$D26&lt;0,$F26="",$K26="",COUNTIFS($A$7:$A$306,$A26,$B$7:$B$306,$B26)&gt;1),"REVIEW","OK"))</x:f>
      </x:c>
    </x:row>
    <x:row r="27">
      <x:c r="A27" s="46"/>
      <x:c r="B27" s="46"/>
      <x:c r="C27" s="68"/>
      <x:c r="D27" s="58"/>
      <x:c r="E27" s="60" t="str">
        <x:f>IF($A27="","",$C27*$D27)</x:f>
      </x:c>
      <x:c r="F27" s="104" t="str">
        <x:f>IF($A27="","",IFERROR(VLOOKUP($B27,Setup!$A$7:$H$23,2,FALSE),""))</x:f>
      </x:c>
      <x:c r="G27" s="52" t="str">
        <x:f>IF($A27="","",IFERROR(VLOOKUP($B27,Setup!$A$7:$H$23,5,FALSE),""))</x:f>
      </x:c>
      <x:c r="H27" s="60" t="str">
        <x:f>IF($A27="","",IFERROR(VLOOKUP($B27,Setup!$A$7:$H$23,6,FALSE),""))</x:f>
      </x:c>
      <x:c r="I27" s="60" t="str">
        <x:f>IF($A27="","",$C27*$H27)</x:f>
      </x:c>
      <x:c r="J27" s="60" t="str">
        <x:f>IF($A27="","",$E27-$I27)</x:f>
      </x:c>
      <x:c r="K27" s="66" t="str">
        <x:f>IF($A27="","",IFERROR(VLOOKUP($A27,Invoices!$A$7:$W$156,2,FALSE),""))</x:f>
      </x:c>
      <x:c r="L27" s="52" t="str">
        <x:f>IF($A27="","",IFERROR(VLOOKUP($A27,Invoices!$A$7:$W$156,3,FALSE),""))</x:f>
      </x:c>
      <x:c r="M27" s="52" t="str">
        <x:f>IF($A27="","",IFERROR(VLOOKUP($A27,Invoices!$A$7:$W$156,4,FALSE),""))</x:f>
      </x:c>
      <x:c r="N27" s="52" t="str">
        <x:f>IF($A27="","",IFERROR(VLOOKUP($A27,Invoices!$A$7:$W$156,5,FALSE),""))</x:f>
      </x:c>
      <x:c r="O27" s="52" t="str">
        <x:f>IF($A27="","",IF(OR($B27="",$C27&lt;=0,$D27&lt;0,$F27="",$K27="",COUNTIFS($A$7:$A$306,$A27,$B$7:$B$306,$B27)&gt;1),"REVIEW","OK"))</x:f>
      </x:c>
    </x:row>
    <x:row r="28">
      <x:c r="A28" s="46"/>
      <x:c r="B28" s="46"/>
      <x:c r="C28" s="68"/>
      <x:c r="D28" s="58"/>
      <x:c r="E28" s="60" t="str">
        <x:f>IF($A28="","",$C28*$D28)</x:f>
      </x:c>
      <x:c r="F28" s="104" t="str">
        <x:f>IF($A28="","",IFERROR(VLOOKUP($B28,Setup!$A$7:$H$23,2,FALSE),""))</x:f>
      </x:c>
      <x:c r="G28" s="52" t="str">
        <x:f>IF($A28="","",IFERROR(VLOOKUP($B28,Setup!$A$7:$H$23,5,FALSE),""))</x:f>
      </x:c>
      <x:c r="H28" s="60" t="str">
        <x:f>IF($A28="","",IFERROR(VLOOKUP($B28,Setup!$A$7:$H$23,6,FALSE),""))</x:f>
      </x:c>
      <x:c r="I28" s="60" t="str">
        <x:f>IF($A28="","",$C28*$H28)</x:f>
      </x:c>
      <x:c r="J28" s="60" t="str">
        <x:f>IF($A28="","",$E28-$I28)</x:f>
      </x:c>
      <x:c r="K28" s="66" t="str">
        <x:f>IF($A28="","",IFERROR(VLOOKUP($A28,Invoices!$A$7:$W$156,2,FALSE),""))</x:f>
      </x:c>
      <x:c r="L28" s="52" t="str">
        <x:f>IF($A28="","",IFERROR(VLOOKUP($A28,Invoices!$A$7:$W$156,3,FALSE),""))</x:f>
      </x:c>
      <x:c r="M28" s="52" t="str">
        <x:f>IF($A28="","",IFERROR(VLOOKUP($A28,Invoices!$A$7:$W$156,4,FALSE),""))</x:f>
      </x:c>
      <x:c r="N28" s="52" t="str">
        <x:f>IF($A28="","",IFERROR(VLOOKUP($A28,Invoices!$A$7:$W$156,5,FALSE),""))</x:f>
      </x:c>
      <x:c r="O28" s="52" t="str">
        <x:f>IF($A28="","",IF(OR($B28="",$C28&lt;=0,$D28&lt;0,$F28="",$K28="",COUNTIFS($A$7:$A$306,$A28,$B$7:$B$306,$B28)&gt;1),"REVIEW","OK"))</x:f>
      </x:c>
    </x:row>
    <x:row r="29">
      <x:c r="A29" s="46"/>
      <x:c r="B29" s="46"/>
      <x:c r="C29" s="68"/>
      <x:c r="D29" s="58"/>
      <x:c r="E29" s="60" t="str">
        <x:f>IF($A29="","",$C29*$D29)</x:f>
      </x:c>
      <x:c r="F29" s="104" t="str">
        <x:f>IF($A29="","",IFERROR(VLOOKUP($B29,Setup!$A$7:$H$23,2,FALSE),""))</x:f>
      </x:c>
      <x:c r="G29" s="52" t="str">
        <x:f>IF($A29="","",IFERROR(VLOOKUP($B29,Setup!$A$7:$H$23,5,FALSE),""))</x:f>
      </x:c>
      <x:c r="H29" s="60" t="str">
        <x:f>IF($A29="","",IFERROR(VLOOKUP($B29,Setup!$A$7:$H$23,6,FALSE),""))</x:f>
      </x:c>
      <x:c r="I29" s="60" t="str">
        <x:f>IF($A29="","",$C29*$H29)</x:f>
      </x:c>
      <x:c r="J29" s="60" t="str">
        <x:f>IF($A29="","",$E29-$I29)</x:f>
      </x:c>
      <x:c r="K29" s="66" t="str">
        <x:f>IF($A29="","",IFERROR(VLOOKUP($A29,Invoices!$A$7:$W$156,2,FALSE),""))</x:f>
      </x:c>
      <x:c r="L29" s="52" t="str">
        <x:f>IF($A29="","",IFERROR(VLOOKUP($A29,Invoices!$A$7:$W$156,3,FALSE),""))</x:f>
      </x:c>
      <x:c r="M29" s="52" t="str">
        <x:f>IF($A29="","",IFERROR(VLOOKUP($A29,Invoices!$A$7:$W$156,4,FALSE),""))</x:f>
      </x:c>
      <x:c r="N29" s="52" t="str">
        <x:f>IF($A29="","",IFERROR(VLOOKUP($A29,Invoices!$A$7:$W$156,5,FALSE),""))</x:f>
      </x:c>
      <x:c r="O29" s="52" t="str">
        <x:f>IF($A29="","",IF(OR($B29="",$C29&lt;=0,$D29&lt;0,$F29="",$K29="",COUNTIFS($A$7:$A$306,$A29,$B$7:$B$306,$B29)&gt;1),"REVIEW","OK"))</x:f>
      </x:c>
    </x:row>
    <x:row r="30">
      <x:c r="A30" s="46"/>
      <x:c r="B30" s="46"/>
      <x:c r="C30" s="68"/>
      <x:c r="D30" s="58"/>
      <x:c r="E30" s="60" t="str">
        <x:f>IF($A30="","",$C30*$D30)</x:f>
      </x:c>
      <x:c r="F30" s="104" t="str">
        <x:f>IF($A30="","",IFERROR(VLOOKUP($B30,Setup!$A$7:$H$23,2,FALSE),""))</x:f>
      </x:c>
      <x:c r="G30" s="52" t="str">
        <x:f>IF($A30="","",IFERROR(VLOOKUP($B30,Setup!$A$7:$H$23,5,FALSE),""))</x:f>
      </x:c>
      <x:c r="H30" s="60" t="str">
        <x:f>IF($A30="","",IFERROR(VLOOKUP($B30,Setup!$A$7:$H$23,6,FALSE),""))</x:f>
      </x:c>
      <x:c r="I30" s="60" t="str">
        <x:f>IF($A30="","",$C30*$H30)</x:f>
      </x:c>
      <x:c r="J30" s="60" t="str">
        <x:f>IF($A30="","",$E30-$I30)</x:f>
      </x:c>
      <x:c r="K30" s="66" t="str">
        <x:f>IF($A30="","",IFERROR(VLOOKUP($A30,Invoices!$A$7:$W$156,2,FALSE),""))</x:f>
      </x:c>
      <x:c r="L30" s="52" t="str">
        <x:f>IF($A30="","",IFERROR(VLOOKUP($A30,Invoices!$A$7:$W$156,3,FALSE),""))</x:f>
      </x:c>
      <x:c r="M30" s="52" t="str">
        <x:f>IF($A30="","",IFERROR(VLOOKUP($A30,Invoices!$A$7:$W$156,4,FALSE),""))</x:f>
      </x:c>
      <x:c r="N30" s="52" t="str">
        <x:f>IF($A30="","",IFERROR(VLOOKUP($A30,Invoices!$A$7:$W$156,5,FALSE),""))</x:f>
      </x:c>
      <x:c r="O30" s="52" t="str">
        <x:f>IF($A30="","",IF(OR($B30="",$C30&lt;=0,$D30&lt;0,$F30="",$K30="",COUNTIFS($A$7:$A$306,$A30,$B$7:$B$306,$B30)&gt;1),"REVIEW","OK"))</x:f>
      </x:c>
    </x:row>
    <x:row r="31">
      <x:c r="A31" s="46"/>
      <x:c r="B31" s="46"/>
      <x:c r="C31" s="68"/>
      <x:c r="D31" s="58"/>
      <x:c r="E31" s="60" t="str">
        <x:f>IF($A31="","",$C31*$D31)</x:f>
      </x:c>
      <x:c r="F31" s="104" t="str">
        <x:f>IF($A31="","",IFERROR(VLOOKUP($B31,Setup!$A$7:$H$23,2,FALSE),""))</x:f>
      </x:c>
      <x:c r="G31" s="52" t="str">
        <x:f>IF($A31="","",IFERROR(VLOOKUP($B31,Setup!$A$7:$H$23,5,FALSE),""))</x:f>
      </x:c>
      <x:c r="H31" s="60" t="str">
        <x:f>IF($A31="","",IFERROR(VLOOKUP($B31,Setup!$A$7:$H$23,6,FALSE),""))</x:f>
      </x:c>
      <x:c r="I31" s="60" t="str">
        <x:f>IF($A31="","",$C31*$H31)</x:f>
      </x:c>
      <x:c r="J31" s="60" t="str">
        <x:f>IF($A31="","",$E31-$I31)</x:f>
      </x:c>
      <x:c r="K31" s="66" t="str">
        <x:f>IF($A31="","",IFERROR(VLOOKUP($A31,Invoices!$A$7:$W$156,2,FALSE),""))</x:f>
      </x:c>
      <x:c r="L31" s="52" t="str">
        <x:f>IF($A31="","",IFERROR(VLOOKUP($A31,Invoices!$A$7:$W$156,3,FALSE),""))</x:f>
      </x:c>
      <x:c r="M31" s="52" t="str">
        <x:f>IF($A31="","",IFERROR(VLOOKUP($A31,Invoices!$A$7:$W$156,4,FALSE),""))</x:f>
      </x:c>
      <x:c r="N31" s="52" t="str">
        <x:f>IF($A31="","",IFERROR(VLOOKUP($A31,Invoices!$A$7:$W$156,5,FALSE),""))</x:f>
      </x:c>
      <x:c r="O31" s="52" t="str">
        <x:f>IF($A31="","",IF(OR($B31="",$C31&lt;=0,$D31&lt;0,$F31="",$K31="",COUNTIFS($A$7:$A$306,$A31,$B$7:$B$306,$B31)&gt;1),"REVIEW","OK"))</x:f>
      </x:c>
    </x:row>
    <x:row r="32">
      <x:c r="A32" s="46"/>
      <x:c r="B32" s="46"/>
      <x:c r="C32" s="68"/>
      <x:c r="D32" s="58"/>
      <x:c r="E32" s="60" t="str">
        <x:f>IF($A32="","",$C32*$D32)</x:f>
      </x:c>
      <x:c r="F32" s="104" t="str">
        <x:f>IF($A32="","",IFERROR(VLOOKUP($B32,Setup!$A$7:$H$23,2,FALSE),""))</x:f>
      </x:c>
      <x:c r="G32" s="52" t="str">
        <x:f>IF($A32="","",IFERROR(VLOOKUP($B32,Setup!$A$7:$H$23,5,FALSE),""))</x:f>
      </x:c>
      <x:c r="H32" s="60" t="str">
        <x:f>IF($A32="","",IFERROR(VLOOKUP($B32,Setup!$A$7:$H$23,6,FALSE),""))</x:f>
      </x:c>
      <x:c r="I32" s="60" t="str">
        <x:f>IF($A32="","",$C32*$H32)</x:f>
      </x:c>
      <x:c r="J32" s="60" t="str">
        <x:f>IF($A32="","",$E32-$I32)</x:f>
      </x:c>
      <x:c r="K32" s="66" t="str">
        <x:f>IF($A32="","",IFERROR(VLOOKUP($A32,Invoices!$A$7:$W$156,2,FALSE),""))</x:f>
      </x:c>
      <x:c r="L32" s="52" t="str">
        <x:f>IF($A32="","",IFERROR(VLOOKUP($A32,Invoices!$A$7:$W$156,3,FALSE),""))</x:f>
      </x:c>
      <x:c r="M32" s="52" t="str">
        <x:f>IF($A32="","",IFERROR(VLOOKUP($A32,Invoices!$A$7:$W$156,4,FALSE),""))</x:f>
      </x:c>
      <x:c r="N32" s="52" t="str">
        <x:f>IF($A32="","",IFERROR(VLOOKUP($A32,Invoices!$A$7:$W$156,5,FALSE),""))</x:f>
      </x:c>
      <x:c r="O32" s="52" t="str">
        <x:f>IF($A32="","",IF(OR($B32="",$C32&lt;=0,$D32&lt;0,$F32="",$K32="",COUNTIFS($A$7:$A$306,$A32,$B$7:$B$306,$B32)&gt;1),"REVIEW","OK"))</x:f>
      </x:c>
    </x:row>
    <x:row r="33">
      <x:c r="A33" s="46"/>
      <x:c r="B33" s="46"/>
      <x:c r="C33" s="68"/>
      <x:c r="D33" s="58"/>
      <x:c r="E33" s="60" t="str">
        <x:f>IF($A33="","",$C33*$D33)</x:f>
      </x:c>
      <x:c r="F33" s="104" t="str">
        <x:f>IF($A33="","",IFERROR(VLOOKUP($B33,Setup!$A$7:$H$23,2,FALSE),""))</x:f>
      </x:c>
      <x:c r="G33" s="52" t="str">
        <x:f>IF($A33="","",IFERROR(VLOOKUP($B33,Setup!$A$7:$H$23,5,FALSE),""))</x:f>
      </x:c>
      <x:c r="H33" s="60" t="str">
        <x:f>IF($A33="","",IFERROR(VLOOKUP($B33,Setup!$A$7:$H$23,6,FALSE),""))</x:f>
      </x:c>
      <x:c r="I33" s="60" t="str">
        <x:f>IF($A33="","",$C33*$H33)</x:f>
      </x:c>
      <x:c r="J33" s="60" t="str">
        <x:f>IF($A33="","",$E33-$I33)</x:f>
      </x:c>
      <x:c r="K33" s="66" t="str">
        <x:f>IF($A33="","",IFERROR(VLOOKUP($A33,Invoices!$A$7:$W$156,2,FALSE),""))</x:f>
      </x:c>
      <x:c r="L33" s="52" t="str">
        <x:f>IF($A33="","",IFERROR(VLOOKUP($A33,Invoices!$A$7:$W$156,3,FALSE),""))</x:f>
      </x:c>
      <x:c r="M33" s="52" t="str">
        <x:f>IF($A33="","",IFERROR(VLOOKUP($A33,Invoices!$A$7:$W$156,4,FALSE),""))</x:f>
      </x:c>
      <x:c r="N33" s="52" t="str">
        <x:f>IF($A33="","",IFERROR(VLOOKUP($A33,Invoices!$A$7:$W$156,5,FALSE),""))</x:f>
      </x:c>
      <x:c r="O33" s="52" t="str">
        <x:f>IF($A33="","",IF(OR($B33="",$C33&lt;=0,$D33&lt;0,$F33="",$K33="",COUNTIFS($A$7:$A$306,$A33,$B$7:$B$306,$B33)&gt;1),"REVIEW","OK"))</x:f>
      </x:c>
    </x:row>
    <x:row r="34">
      <x:c r="A34" s="46"/>
      <x:c r="B34" s="46"/>
      <x:c r="C34" s="68"/>
      <x:c r="D34" s="58"/>
      <x:c r="E34" s="60" t="str">
        <x:f>IF($A34="","",$C34*$D34)</x:f>
      </x:c>
      <x:c r="F34" s="104" t="str">
        <x:f>IF($A34="","",IFERROR(VLOOKUP($B34,Setup!$A$7:$H$23,2,FALSE),""))</x:f>
      </x:c>
      <x:c r="G34" s="52" t="str">
        <x:f>IF($A34="","",IFERROR(VLOOKUP($B34,Setup!$A$7:$H$23,5,FALSE),""))</x:f>
      </x:c>
      <x:c r="H34" s="60" t="str">
        <x:f>IF($A34="","",IFERROR(VLOOKUP($B34,Setup!$A$7:$H$23,6,FALSE),""))</x:f>
      </x:c>
      <x:c r="I34" s="60" t="str">
        <x:f>IF($A34="","",$C34*$H34)</x:f>
      </x:c>
      <x:c r="J34" s="60" t="str">
        <x:f>IF($A34="","",$E34-$I34)</x:f>
      </x:c>
      <x:c r="K34" s="66" t="str">
        <x:f>IF($A34="","",IFERROR(VLOOKUP($A34,Invoices!$A$7:$W$156,2,FALSE),""))</x:f>
      </x:c>
      <x:c r="L34" s="52" t="str">
        <x:f>IF($A34="","",IFERROR(VLOOKUP($A34,Invoices!$A$7:$W$156,3,FALSE),""))</x:f>
      </x:c>
      <x:c r="M34" s="52" t="str">
        <x:f>IF($A34="","",IFERROR(VLOOKUP($A34,Invoices!$A$7:$W$156,4,FALSE),""))</x:f>
      </x:c>
      <x:c r="N34" s="52" t="str">
        <x:f>IF($A34="","",IFERROR(VLOOKUP($A34,Invoices!$A$7:$W$156,5,FALSE),""))</x:f>
      </x:c>
      <x:c r="O34" s="52" t="str">
        <x:f>IF($A34="","",IF(OR($B34="",$C34&lt;=0,$D34&lt;0,$F34="",$K34="",COUNTIFS($A$7:$A$306,$A34,$B$7:$B$306,$B34)&gt;1),"REVIEW","OK"))</x:f>
      </x:c>
    </x:row>
    <x:row r="35">
      <x:c r="A35" s="46"/>
      <x:c r="B35" s="46"/>
      <x:c r="C35" s="68"/>
      <x:c r="D35" s="58"/>
      <x:c r="E35" s="60" t="str">
        <x:f>IF($A35="","",$C35*$D35)</x:f>
      </x:c>
      <x:c r="F35" s="104" t="str">
        <x:f>IF($A35="","",IFERROR(VLOOKUP($B35,Setup!$A$7:$H$23,2,FALSE),""))</x:f>
      </x:c>
      <x:c r="G35" s="52" t="str">
        <x:f>IF($A35="","",IFERROR(VLOOKUP($B35,Setup!$A$7:$H$23,5,FALSE),""))</x:f>
      </x:c>
      <x:c r="H35" s="60" t="str">
        <x:f>IF($A35="","",IFERROR(VLOOKUP($B35,Setup!$A$7:$H$23,6,FALSE),""))</x:f>
      </x:c>
      <x:c r="I35" s="60" t="str">
        <x:f>IF($A35="","",$C35*$H35)</x:f>
      </x:c>
      <x:c r="J35" s="60" t="str">
        <x:f>IF($A35="","",$E35-$I35)</x:f>
      </x:c>
      <x:c r="K35" s="66" t="str">
        <x:f>IF($A35="","",IFERROR(VLOOKUP($A35,Invoices!$A$7:$W$156,2,FALSE),""))</x:f>
      </x:c>
      <x:c r="L35" s="52" t="str">
        <x:f>IF($A35="","",IFERROR(VLOOKUP($A35,Invoices!$A$7:$W$156,3,FALSE),""))</x:f>
      </x:c>
      <x:c r="M35" s="52" t="str">
        <x:f>IF($A35="","",IFERROR(VLOOKUP($A35,Invoices!$A$7:$W$156,4,FALSE),""))</x:f>
      </x:c>
      <x:c r="N35" s="52" t="str">
        <x:f>IF($A35="","",IFERROR(VLOOKUP($A35,Invoices!$A$7:$W$156,5,FALSE),""))</x:f>
      </x:c>
      <x:c r="O35" s="52" t="str">
        <x:f>IF($A35="","",IF(OR($B35="",$C35&lt;=0,$D35&lt;0,$F35="",$K35="",COUNTIFS($A$7:$A$306,$A35,$B$7:$B$306,$B35)&gt;1),"REVIEW","OK"))</x:f>
      </x:c>
    </x:row>
    <x:row r="36">
      <x:c r="A36" s="46"/>
      <x:c r="B36" s="46"/>
      <x:c r="C36" s="68"/>
      <x:c r="D36" s="58"/>
      <x:c r="E36" s="60" t="str">
        <x:f>IF($A36="","",$C36*$D36)</x:f>
      </x:c>
      <x:c r="F36" s="104" t="str">
        <x:f>IF($A36="","",IFERROR(VLOOKUP($B36,Setup!$A$7:$H$23,2,FALSE),""))</x:f>
      </x:c>
      <x:c r="G36" s="52" t="str">
        <x:f>IF($A36="","",IFERROR(VLOOKUP($B36,Setup!$A$7:$H$23,5,FALSE),""))</x:f>
      </x:c>
      <x:c r="H36" s="60" t="str">
        <x:f>IF($A36="","",IFERROR(VLOOKUP($B36,Setup!$A$7:$H$23,6,FALSE),""))</x:f>
      </x:c>
      <x:c r="I36" s="60" t="str">
        <x:f>IF($A36="","",$C36*$H36)</x:f>
      </x:c>
      <x:c r="J36" s="60" t="str">
        <x:f>IF($A36="","",$E36-$I36)</x:f>
      </x:c>
      <x:c r="K36" s="66" t="str">
        <x:f>IF($A36="","",IFERROR(VLOOKUP($A36,Invoices!$A$7:$W$156,2,FALSE),""))</x:f>
      </x:c>
      <x:c r="L36" s="52" t="str">
        <x:f>IF($A36="","",IFERROR(VLOOKUP($A36,Invoices!$A$7:$W$156,3,FALSE),""))</x:f>
      </x:c>
      <x:c r="M36" s="52" t="str">
        <x:f>IF($A36="","",IFERROR(VLOOKUP($A36,Invoices!$A$7:$W$156,4,FALSE),""))</x:f>
      </x:c>
      <x:c r="N36" s="52" t="str">
        <x:f>IF($A36="","",IFERROR(VLOOKUP($A36,Invoices!$A$7:$W$156,5,FALSE),""))</x:f>
      </x:c>
      <x:c r="O36" s="52" t="str">
        <x:f>IF($A36="","",IF(OR($B36="",$C36&lt;=0,$D36&lt;0,$F36="",$K36="",COUNTIFS($A$7:$A$306,$A36,$B$7:$B$306,$B36)&gt;1),"REVIEW","OK"))</x:f>
      </x:c>
    </x:row>
    <x:row r="37">
      <x:c r="A37" s="46"/>
      <x:c r="B37" s="46"/>
      <x:c r="C37" s="68"/>
      <x:c r="D37" s="58"/>
      <x:c r="E37" s="60" t="str">
        <x:f>IF($A37="","",$C37*$D37)</x:f>
      </x:c>
      <x:c r="F37" s="104" t="str">
        <x:f>IF($A37="","",IFERROR(VLOOKUP($B37,Setup!$A$7:$H$23,2,FALSE),""))</x:f>
      </x:c>
      <x:c r="G37" s="52" t="str">
        <x:f>IF($A37="","",IFERROR(VLOOKUP($B37,Setup!$A$7:$H$23,5,FALSE),""))</x:f>
      </x:c>
      <x:c r="H37" s="60" t="str">
        <x:f>IF($A37="","",IFERROR(VLOOKUP($B37,Setup!$A$7:$H$23,6,FALSE),""))</x:f>
      </x:c>
      <x:c r="I37" s="60" t="str">
        <x:f>IF($A37="","",$C37*$H37)</x:f>
      </x:c>
      <x:c r="J37" s="60" t="str">
        <x:f>IF($A37="","",$E37-$I37)</x:f>
      </x:c>
      <x:c r="K37" s="66" t="str">
        <x:f>IF($A37="","",IFERROR(VLOOKUP($A37,Invoices!$A$7:$W$156,2,FALSE),""))</x:f>
      </x:c>
      <x:c r="L37" s="52" t="str">
        <x:f>IF($A37="","",IFERROR(VLOOKUP($A37,Invoices!$A$7:$W$156,3,FALSE),""))</x:f>
      </x:c>
      <x:c r="M37" s="52" t="str">
        <x:f>IF($A37="","",IFERROR(VLOOKUP($A37,Invoices!$A$7:$W$156,4,FALSE),""))</x:f>
      </x:c>
      <x:c r="N37" s="52" t="str">
        <x:f>IF($A37="","",IFERROR(VLOOKUP($A37,Invoices!$A$7:$W$156,5,FALSE),""))</x:f>
      </x:c>
      <x:c r="O37" s="52" t="str">
        <x:f>IF($A37="","",IF(OR($B37="",$C37&lt;=0,$D37&lt;0,$F37="",$K37="",COUNTIFS($A$7:$A$306,$A37,$B$7:$B$306,$B37)&gt;1),"REVIEW","OK"))</x:f>
      </x:c>
    </x:row>
    <x:row r="38">
      <x:c r="A38" s="46"/>
      <x:c r="B38" s="46"/>
      <x:c r="C38" s="68"/>
      <x:c r="D38" s="58"/>
      <x:c r="E38" s="60" t="str">
        <x:f>IF($A38="","",$C38*$D38)</x:f>
      </x:c>
      <x:c r="F38" s="104" t="str">
        <x:f>IF($A38="","",IFERROR(VLOOKUP($B38,Setup!$A$7:$H$23,2,FALSE),""))</x:f>
      </x:c>
      <x:c r="G38" s="52" t="str">
        <x:f>IF($A38="","",IFERROR(VLOOKUP($B38,Setup!$A$7:$H$23,5,FALSE),""))</x:f>
      </x:c>
      <x:c r="H38" s="60" t="str">
        <x:f>IF($A38="","",IFERROR(VLOOKUP($B38,Setup!$A$7:$H$23,6,FALSE),""))</x:f>
      </x:c>
      <x:c r="I38" s="60" t="str">
        <x:f>IF($A38="","",$C38*$H38)</x:f>
      </x:c>
      <x:c r="J38" s="60" t="str">
        <x:f>IF($A38="","",$E38-$I38)</x:f>
      </x:c>
      <x:c r="K38" s="66" t="str">
        <x:f>IF($A38="","",IFERROR(VLOOKUP($A38,Invoices!$A$7:$W$156,2,FALSE),""))</x:f>
      </x:c>
      <x:c r="L38" s="52" t="str">
        <x:f>IF($A38="","",IFERROR(VLOOKUP($A38,Invoices!$A$7:$W$156,3,FALSE),""))</x:f>
      </x:c>
      <x:c r="M38" s="52" t="str">
        <x:f>IF($A38="","",IFERROR(VLOOKUP($A38,Invoices!$A$7:$W$156,4,FALSE),""))</x:f>
      </x:c>
      <x:c r="N38" s="52" t="str">
        <x:f>IF($A38="","",IFERROR(VLOOKUP($A38,Invoices!$A$7:$W$156,5,FALSE),""))</x:f>
      </x:c>
      <x:c r="O38" s="52" t="str">
        <x:f>IF($A38="","",IF(OR($B38="",$C38&lt;=0,$D38&lt;0,$F38="",$K38="",COUNTIFS($A$7:$A$306,$A38,$B$7:$B$306,$B38)&gt;1),"REVIEW","OK"))</x:f>
      </x:c>
    </x:row>
    <x:row r="39">
      <x:c r="A39" s="46"/>
      <x:c r="B39" s="46"/>
      <x:c r="C39" s="68"/>
      <x:c r="D39" s="58"/>
      <x:c r="E39" s="60" t="str">
        <x:f>IF($A39="","",$C39*$D39)</x:f>
      </x:c>
      <x:c r="F39" s="104" t="str">
        <x:f>IF($A39="","",IFERROR(VLOOKUP($B39,Setup!$A$7:$H$23,2,FALSE),""))</x:f>
      </x:c>
      <x:c r="G39" s="52" t="str">
        <x:f>IF($A39="","",IFERROR(VLOOKUP($B39,Setup!$A$7:$H$23,5,FALSE),""))</x:f>
      </x:c>
      <x:c r="H39" s="60" t="str">
        <x:f>IF($A39="","",IFERROR(VLOOKUP($B39,Setup!$A$7:$H$23,6,FALSE),""))</x:f>
      </x:c>
      <x:c r="I39" s="60" t="str">
        <x:f>IF($A39="","",$C39*$H39)</x:f>
      </x:c>
      <x:c r="J39" s="60" t="str">
        <x:f>IF($A39="","",$E39-$I39)</x:f>
      </x:c>
      <x:c r="K39" s="66" t="str">
        <x:f>IF($A39="","",IFERROR(VLOOKUP($A39,Invoices!$A$7:$W$156,2,FALSE),""))</x:f>
      </x:c>
      <x:c r="L39" s="52" t="str">
        <x:f>IF($A39="","",IFERROR(VLOOKUP($A39,Invoices!$A$7:$W$156,3,FALSE),""))</x:f>
      </x:c>
      <x:c r="M39" s="52" t="str">
        <x:f>IF($A39="","",IFERROR(VLOOKUP($A39,Invoices!$A$7:$W$156,4,FALSE),""))</x:f>
      </x:c>
      <x:c r="N39" s="52" t="str">
        <x:f>IF($A39="","",IFERROR(VLOOKUP($A39,Invoices!$A$7:$W$156,5,FALSE),""))</x:f>
      </x:c>
      <x:c r="O39" s="52" t="str">
        <x:f>IF($A39="","",IF(OR($B39="",$C39&lt;=0,$D39&lt;0,$F39="",$K39="",COUNTIFS($A$7:$A$306,$A39,$B$7:$B$306,$B39)&gt;1),"REVIEW","OK"))</x:f>
      </x:c>
    </x:row>
    <x:row r="40">
      <x:c r="A40" s="46"/>
      <x:c r="B40" s="46"/>
      <x:c r="C40" s="68"/>
      <x:c r="D40" s="58"/>
      <x:c r="E40" s="60" t="str">
        <x:f>IF($A40="","",$C40*$D40)</x:f>
      </x:c>
      <x:c r="F40" s="104" t="str">
        <x:f>IF($A40="","",IFERROR(VLOOKUP($B40,Setup!$A$7:$H$23,2,FALSE),""))</x:f>
      </x:c>
      <x:c r="G40" s="52" t="str">
        <x:f>IF($A40="","",IFERROR(VLOOKUP($B40,Setup!$A$7:$H$23,5,FALSE),""))</x:f>
      </x:c>
      <x:c r="H40" s="60" t="str">
        <x:f>IF($A40="","",IFERROR(VLOOKUP($B40,Setup!$A$7:$H$23,6,FALSE),""))</x:f>
      </x:c>
      <x:c r="I40" s="60" t="str">
        <x:f>IF($A40="","",$C40*$H40)</x:f>
      </x:c>
      <x:c r="J40" s="60" t="str">
        <x:f>IF($A40="","",$E40-$I40)</x:f>
      </x:c>
      <x:c r="K40" s="66" t="str">
        <x:f>IF($A40="","",IFERROR(VLOOKUP($A40,Invoices!$A$7:$W$156,2,FALSE),""))</x:f>
      </x:c>
      <x:c r="L40" s="52" t="str">
        <x:f>IF($A40="","",IFERROR(VLOOKUP($A40,Invoices!$A$7:$W$156,3,FALSE),""))</x:f>
      </x:c>
      <x:c r="M40" s="52" t="str">
        <x:f>IF($A40="","",IFERROR(VLOOKUP($A40,Invoices!$A$7:$W$156,4,FALSE),""))</x:f>
      </x:c>
      <x:c r="N40" s="52" t="str">
        <x:f>IF($A40="","",IFERROR(VLOOKUP($A40,Invoices!$A$7:$W$156,5,FALSE),""))</x:f>
      </x:c>
      <x:c r="O40" s="52" t="str">
        <x:f>IF($A40="","",IF(OR($B40="",$C40&lt;=0,$D40&lt;0,$F40="",$K40="",COUNTIFS($A$7:$A$306,$A40,$B$7:$B$306,$B40)&gt;1),"REVIEW","OK"))</x:f>
      </x:c>
    </x:row>
    <x:row r="41">
      <x:c r="A41" s="46"/>
      <x:c r="B41" s="46"/>
      <x:c r="C41" s="68"/>
      <x:c r="D41" s="58"/>
      <x:c r="E41" s="60" t="str">
        <x:f>IF($A41="","",$C41*$D41)</x:f>
      </x:c>
      <x:c r="F41" s="104" t="str">
        <x:f>IF($A41="","",IFERROR(VLOOKUP($B41,Setup!$A$7:$H$23,2,FALSE),""))</x:f>
      </x:c>
      <x:c r="G41" s="52" t="str">
        <x:f>IF($A41="","",IFERROR(VLOOKUP($B41,Setup!$A$7:$H$23,5,FALSE),""))</x:f>
      </x:c>
      <x:c r="H41" s="60" t="str">
        <x:f>IF($A41="","",IFERROR(VLOOKUP($B41,Setup!$A$7:$H$23,6,FALSE),""))</x:f>
      </x:c>
      <x:c r="I41" s="60" t="str">
        <x:f>IF($A41="","",$C41*$H41)</x:f>
      </x:c>
      <x:c r="J41" s="60" t="str">
        <x:f>IF($A41="","",$E41-$I41)</x:f>
      </x:c>
      <x:c r="K41" s="66" t="str">
        <x:f>IF($A41="","",IFERROR(VLOOKUP($A41,Invoices!$A$7:$W$156,2,FALSE),""))</x:f>
      </x:c>
      <x:c r="L41" s="52" t="str">
        <x:f>IF($A41="","",IFERROR(VLOOKUP($A41,Invoices!$A$7:$W$156,3,FALSE),""))</x:f>
      </x:c>
      <x:c r="M41" s="52" t="str">
        <x:f>IF($A41="","",IFERROR(VLOOKUP($A41,Invoices!$A$7:$W$156,4,FALSE),""))</x:f>
      </x:c>
      <x:c r="N41" s="52" t="str">
        <x:f>IF($A41="","",IFERROR(VLOOKUP($A41,Invoices!$A$7:$W$156,5,FALSE),""))</x:f>
      </x:c>
      <x:c r="O41" s="52" t="str">
        <x:f>IF($A41="","",IF(OR($B41="",$C41&lt;=0,$D41&lt;0,$F41="",$K41="",COUNTIFS($A$7:$A$306,$A41,$B$7:$B$306,$B41)&gt;1),"REVIEW","OK"))</x:f>
      </x:c>
    </x:row>
    <x:row r="42">
      <x:c r="A42" s="46"/>
      <x:c r="B42" s="46"/>
      <x:c r="C42" s="68"/>
      <x:c r="D42" s="58"/>
      <x:c r="E42" s="60" t="str">
        <x:f>IF($A42="","",$C42*$D42)</x:f>
      </x:c>
      <x:c r="F42" s="104" t="str">
        <x:f>IF($A42="","",IFERROR(VLOOKUP($B42,Setup!$A$7:$H$23,2,FALSE),""))</x:f>
      </x:c>
      <x:c r="G42" s="52" t="str">
        <x:f>IF($A42="","",IFERROR(VLOOKUP($B42,Setup!$A$7:$H$23,5,FALSE),""))</x:f>
      </x:c>
      <x:c r="H42" s="60" t="str">
        <x:f>IF($A42="","",IFERROR(VLOOKUP($B42,Setup!$A$7:$H$23,6,FALSE),""))</x:f>
      </x:c>
      <x:c r="I42" s="60" t="str">
        <x:f>IF($A42="","",$C42*$H42)</x:f>
      </x:c>
      <x:c r="J42" s="60" t="str">
        <x:f>IF($A42="","",$E42-$I42)</x:f>
      </x:c>
      <x:c r="K42" s="66" t="str">
        <x:f>IF($A42="","",IFERROR(VLOOKUP($A42,Invoices!$A$7:$W$156,2,FALSE),""))</x:f>
      </x:c>
      <x:c r="L42" s="52" t="str">
        <x:f>IF($A42="","",IFERROR(VLOOKUP($A42,Invoices!$A$7:$W$156,3,FALSE),""))</x:f>
      </x:c>
      <x:c r="M42" s="52" t="str">
        <x:f>IF($A42="","",IFERROR(VLOOKUP($A42,Invoices!$A$7:$W$156,4,FALSE),""))</x:f>
      </x:c>
      <x:c r="N42" s="52" t="str">
        <x:f>IF($A42="","",IFERROR(VLOOKUP($A42,Invoices!$A$7:$W$156,5,FALSE),""))</x:f>
      </x:c>
      <x:c r="O42" s="52" t="str">
        <x:f>IF($A42="","",IF(OR($B42="",$C42&lt;=0,$D42&lt;0,$F42="",$K42="",COUNTIFS($A$7:$A$306,$A42,$B$7:$B$306,$B42)&gt;1),"REVIEW","OK"))</x:f>
      </x:c>
    </x:row>
    <x:row r="43">
      <x:c r="A43" s="46"/>
      <x:c r="B43" s="46"/>
      <x:c r="C43" s="68"/>
      <x:c r="D43" s="58"/>
      <x:c r="E43" s="60" t="str">
        <x:f>IF($A43="","",$C43*$D43)</x:f>
      </x:c>
      <x:c r="F43" s="104" t="str">
        <x:f>IF($A43="","",IFERROR(VLOOKUP($B43,Setup!$A$7:$H$23,2,FALSE),""))</x:f>
      </x:c>
      <x:c r="G43" s="52" t="str">
        <x:f>IF($A43="","",IFERROR(VLOOKUP($B43,Setup!$A$7:$H$23,5,FALSE),""))</x:f>
      </x:c>
      <x:c r="H43" s="60" t="str">
        <x:f>IF($A43="","",IFERROR(VLOOKUP($B43,Setup!$A$7:$H$23,6,FALSE),""))</x:f>
      </x:c>
      <x:c r="I43" s="60" t="str">
        <x:f>IF($A43="","",$C43*$H43)</x:f>
      </x:c>
      <x:c r="J43" s="60" t="str">
        <x:f>IF($A43="","",$E43-$I43)</x:f>
      </x:c>
      <x:c r="K43" s="66" t="str">
        <x:f>IF($A43="","",IFERROR(VLOOKUP($A43,Invoices!$A$7:$W$156,2,FALSE),""))</x:f>
      </x:c>
      <x:c r="L43" s="52" t="str">
        <x:f>IF($A43="","",IFERROR(VLOOKUP($A43,Invoices!$A$7:$W$156,3,FALSE),""))</x:f>
      </x:c>
      <x:c r="M43" s="52" t="str">
        <x:f>IF($A43="","",IFERROR(VLOOKUP($A43,Invoices!$A$7:$W$156,4,FALSE),""))</x:f>
      </x:c>
      <x:c r="N43" s="52" t="str">
        <x:f>IF($A43="","",IFERROR(VLOOKUP($A43,Invoices!$A$7:$W$156,5,FALSE),""))</x:f>
      </x:c>
      <x:c r="O43" s="52" t="str">
        <x:f>IF($A43="","",IF(OR($B43="",$C43&lt;=0,$D43&lt;0,$F43="",$K43="",COUNTIFS($A$7:$A$306,$A43,$B$7:$B$306,$B43)&gt;1),"REVIEW","OK"))</x:f>
      </x:c>
    </x:row>
    <x:row r="44">
      <x:c r="A44" s="46"/>
      <x:c r="B44" s="46"/>
      <x:c r="C44" s="68"/>
      <x:c r="D44" s="58"/>
      <x:c r="E44" s="60" t="str">
        <x:f>IF($A44="","",$C44*$D44)</x:f>
      </x:c>
      <x:c r="F44" s="104" t="str">
        <x:f>IF($A44="","",IFERROR(VLOOKUP($B44,Setup!$A$7:$H$23,2,FALSE),""))</x:f>
      </x:c>
      <x:c r="G44" s="52" t="str">
        <x:f>IF($A44="","",IFERROR(VLOOKUP($B44,Setup!$A$7:$H$23,5,FALSE),""))</x:f>
      </x:c>
      <x:c r="H44" s="60" t="str">
        <x:f>IF($A44="","",IFERROR(VLOOKUP($B44,Setup!$A$7:$H$23,6,FALSE),""))</x:f>
      </x:c>
      <x:c r="I44" s="60" t="str">
        <x:f>IF($A44="","",$C44*$H44)</x:f>
      </x:c>
      <x:c r="J44" s="60" t="str">
        <x:f>IF($A44="","",$E44-$I44)</x:f>
      </x:c>
      <x:c r="K44" s="66" t="str">
        <x:f>IF($A44="","",IFERROR(VLOOKUP($A44,Invoices!$A$7:$W$156,2,FALSE),""))</x:f>
      </x:c>
      <x:c r="L44" s="52" t="str">
        <x:f>IF($A44="","",IFERROR(VLOOKUP($A44,Invoices!$A$7:$W$156,3,FALSE),""))</x:f>
      </x:c>
      <x:c r="M44" s="52" t="str">
        <x:f>IF($A44="","",IFERROR(VLOOKUP($A44,Invoices!$A$7:$W$156,4,FALSE),""))</x:f>
      </x:c>
      <x:c r="N44" s="52" t="str">
        <x:f>IF($A44="","",IFERROR(VLOOKUP($A44,Invoices!$A$7:$W$156,5,FALSE),""))</x:f>
      </x:c>
      <x:c r="O44" s="52" t="str">
        <x:f>IF($A44="","",IF(OR($B44="",$C44&lt;=0,$D44&lt;0,$F44="",$K44="",COUNTIFS($A$7:$A$306,$A44,$B$7:$B$306,$B44)&gt;1),"REVIEW","OK"))</x:f>
      </x:c>
    </x:row>
    <x:row r="45">
      <x:c r="A45" s="46"/>
      <x:c r="B45" s="46"/>
      <x:c r="C45" s="68"/>
      <x:c r="D45" s="58"/>
      <x:c r="E45" s="60" t="str">
        <x:f>IF($A45="","",$C45*$D45)</x:f>
      </x:c>
      <x:c r="F45" s="104" t="str">
        <x:f>IF($A45="","",IFERROR(VLOOKUP($B45,Setup!$A$7:$H$23,2,FALSE),""))</x:f>
      </x:c>
      <x:c r="G45" s="52" t="str">
        <x:f>IF($A45="","",IFERROR(VLOOKUP($B45,Setup!$A$7:$H$23,5,FALSE),""))</x:f>
      </x:c>
      <x:c r="H45" s="60" t="str">
        <x:f>IF($A45="","",IFERROR(VLOOKUP($B45,Setup!$A$7:$H$23,6,FALSE),""))</x:f>
      </x:c>
      <x:c r="I45" s="60" t="str">
        <x:f>IF($A45="","",$C45*$H45)</x:f>
      </x:c>
      <x:c r="J45" s="60" t="str">
        <x:f>IF($A45="","",$E45-$I45)</x:f>
      </x:c>
      <x:c r="K45" s="66" t="str">
        <x:f>IF($A45="","",IFERROR(VLOOKUP($A45,Invoices!$A$7:$W$156,2,FALSE),""))</x:f>
      </x:c>
      <x:c r="L45" s="52" t="str">
        <x:f>IF($A45="","",IFERROR(VLOOKUP($A45,Invoices!$A$7:$W$156,3,FALSE),""))</x:f>
      </x:c>
      <x:c r="M45" s="52" t="str">
        <x:f>IF($A45="","",IFERROR(VLOOKUP($A45,Invoices!$A$7:$W$156,4,FALSE),""))</x:f>
      </x:c>
      <x:c r="N45" s="52" t="str">
        <x:f>IF($A45="","",IFERROR(VLOOKUP($A45,Invoices!$A$7:$W$156,5,FALSE),""))</x:f>
      </x:c>
      <x:c r="O45" s="52" t="str">
        <x:f>IF($A45="","",IF(OR($B45="",$C45&lt;=0,$D45&lt;0,$F45="",$K45="",COUNTIFS($A$7:$A$306,$A45,$B$7:$B$306,$B45)&gt;1),"REVIEW","OK"))</x:f>
      </x:c>
    </x:row>
    <x:row r="46">
      <x:c r="A46" s="46"/>
      <x:c r="B46" s="46"/>
      <x:c r="C46" s="68"/>
      <x:c r="D46" s="58"/>
      <x:c r="E46" s="60" t="str">
        <x:f>IF($A46="","",$C46*$D46)</x:f>
      </x:c>
      <x:c r="F46" s="104" t="str">
        <x:f>IF($A46="","",IFERROR(VLOOKUP($B46,Setup!$A$7:$H$23,2,FALSE),""))</x:f>
      </x:c>
      <x:c r="G46" s="52" t="str">
        <x:f>IF($A46="","",IFERROR(VLOOKUP($B46,Setup!$A$7:$H$23,5,FALSE),""))</x:f>
      </x:c>
      <x:c r="H46" s="60" t="str">
        <x:f>IF($A46="","",IFERROR(VLOOKUP($B46,Setup!$A$7:$H$23,6,FALSE),""))</x:f>
      </x:c>
      <x:c r="I46" s="60" t="str">
        <x:f>IF($A46="","",$C46*$H46)</x:f>
      </x:c>
      <x:c r="J46" s="60" t="str">
        <x:f>IF($A46="","",$E46-$I46)</x:f>
      </x:c>
      <x:c r="K46" s="66" t="str">
        <x:f>IF($A46="","",IFERROR(VLOOKUP($A46,Invoices!$A$7:$W$156,2,FALSE),""))</x:f>
      </x:c>
      <x:c r="L46" s="52" t="str">
        <x:f>IF($A46="","",IFERROR(VLOOKUP($A46,Invoices!$A$7:$W$156,3,FALSE),""))</x:f>
      </x:c>
      <x:c r="M46" s="52" t="str">
        <x:f>IF($A46="","",IFERROR(VLOOKUP($A46,Invoices!$A$7:$W$156,4,FALSE),""))</x:f>
      </x:c>
      <x:c r="N46" s="52" t="str">
        <x:f>IF($A46="","",IFERROR(VLOOKUP($A46,Invoices!$A$7:$W$156,5,FALSE),""))</x:f>
      </x:c>
      <x:c r="O46" s="52" t="str">
        <x:f>IF($A46="","",IF(OR($B46="",$C46&lt;=0,$D46&lt;0,$F46="",$K46="",COUNTIFS($A$7:$A$306,$A46,$B$7:$B$306,$B46)&gt;1),"REVIEW","OK"))</x:f>
      </x:c>
    </x:row>
    <x:row r="47">
      <x:c r="A47" s="46"/>
      <x:c r="B47" s="46"/>
      <x:c r="C47" s="68"/>
      <x:c r="D47" s="58"/>
      <x:c r="E47" s="60" t="str">
        <x:f>IF($A47="","",$C47*$D47)</x:f>
      </x:c>
      <x:c r="F47" s="104" t="str">
        <x:f>IF($A47="","",IFERROR(VLOOKUP($B47,Setup!$A$7:$H$23,2,FALSE),""))</x:f>
      </x:c>
      <x:c r="G47" s="52" t="str">
        <x:f>IF($A47="","",IFERROR(VLOOKUP($B47,Setup!$A$7:$H$23,5,FALSE),""))</x:f>
      </x:c>
      <x:c r="H47" s="60" t="str">
        <x:f>IF($A47="","",IFERROR(VLOOKUP($B47,Setup!$A$7:$H$23,6,FALSE),""))</x:f>
      </x:c>
      <x:c r="I47" s="60" t="str">
        <x:f>IF($A47="","",$C47*$H47)</x:f>
      </x:c>
      <x:c r="J47" s="60" t="str">
        <x:f>IF($A47="","",$E47-$I47)</x:f>
      </x:c>
      <x:c r="K47" s="66" t="str">
        <x:f>IF($A47="","",IFERROR(VLOOKUP($A47,Invoices!$A$7:$W$156,2,FALSE),""))</x:f>
      </x:c>
      <x:c r="L47" s="52" t="str">
        <x:f>IF($A47="","",IFERROR(VLOOKUP($A47,Invoices!$A$7:$W$156,3,FALSE),""))</x:f>
      </x:c>
      <x:c r="M47" s="52" t="str">
        <x:f>IF($A47="","",IFERROR(VLOOKUP($A47,Invoices!$A$7:$W$156,4,FALSE),""))</x:f>
      </x:c>
      <x:c r="N47" s="52" t="str">
        <x:f>IF($A47="","",IFERROR(VLOOKUP($A47,Invoices!$A$7:$W$156,5,FALSE),""))</x:f>
      </x:c>
      <x:c r="O47" s="52" t="str">
        <x:f>IF($A47="","",IF(OR($B47="",$C47&lt;=0,$D47&lt;0,$F47="",$K47="",COUNTIFS($A$7:$A$306,$A47,$B$7:$B$306,$B47)&gt;1),"REVIEW","OK"))</x:f>
      </x:c>
    </x:row>
    <x:row r="48">
      <x:c r="A48" s="46"/>
      <x:c r="B48" s="46"/>
      <x:c r="C48" s="68"/>
      <x:c r="D48" s="58"/>
      <x:c r="E48" s="60" t="str">
        <x:f>IF($A48="","",$C48*$D48)</x:f>
      </x:c>
      <x:c r="F48" s="104" t="str">
        <x:f>IF($A48="","",IFERROR(VLOOKUP($B48,Setup!$A$7:$H$23,2,FALSE),""))</x:f>
      </x:c>
      <x:c r="G48" s="52" t="str">
        <x:f>IF($A48="","",IFERROR(VLOOKUP($B48,Setup!$A$7:$H$23,5,FALSE),""))</x:f>
      </x:c>
      <x:c r="H48" s="60" t="str">
        <x:f>IF($A48="","",IFERROR(VLOOKUP($B48,Setup!$A$7:$H$23,6,FALSE),""))</x:f>
      </x:c>
      <x:c r="I48" s="60" t="str">
        <x:f>IF($A48="","",$C48*$H48)</x:f>
      </x:c>
      <x:c r="J48" s="60" t="str">
        <x:f>IF($A48="","",$E48-$I48)</x:f>
      </x:c>
      <x:c r="K48" s="66" t="str">
        <x:f>IF($A48="","",IFERROR(VLOOKUP($A48,Invoices!$A$7:$W$156,2,FALSE),""))</x:f>
      </x:c>
      <x:c r="L48" s="52" t="str">
        <x:f>IF($A48="","",IFERROR(VLOOKUP($A48,Invoices!$A$7:$W$156,3,FALSE),""))</x:f>
      </x:c>
      <x:c r="M48" s="52" t="str">
        <x:f>IF($A48="","",IFERROR(VLOOKUP($A48,Invoices!$A$7:$W$156,4,FALSE),""))</x:f>
      </x:c>
      <x:c r="N48" s="52" t="str">
        <x:f>IF($A48="","",IFERROR(VLOOKUP($A48,Invoices!$A$7:$W$156,5,FALSE),""))</x:f>
      </x:c>
      <x:c r="O48" s="52" t="str">
        <x:f>IF($A48="","",IF(OR($B48="",$C48&lt;=0,$D48&lt;0,$F48="",$K48="",COUNTIFS($A$7:$A$306,$A48,$B$7:$B$306,$B48)&gt;1),"REVIEW","OK"))</x:f>
      </x:c>
    </x:row>
    <x:row r="49">
      <x:c r="A49" s="46"/>
      <x:c r="B49" s="46"/>
      <x:c r="C49" s="68"/>
      <x:c r="D49" s="58"/>
      <x:c r="E49" s="60" t="str">
        <x:f>IF($A49="","",$C49*$D49)</x:f>
      </x:c>
      <x:c r="F49" s="104" t="str">
        <x:f>IF($A49="","",IFERROR(VLOOKUP($B49,Setup!$A$7:$H$23,2,FALSE),""))</x:f>
      </x:c>
      <x:c r="G49" s="52" t="str">
        <x:f>IF($A49="","",IFERROR(VLOOKUP($B49,Setup!$A$7:$H$23,5,FALSE),""))</x:f>
      </x:c>
      <x:c r="H49" s="60" t="str">
        <x:f>IF($A49="","",IFERROR(VLOOKUP($B49,Setup!$A$7:$H$23,6,FALSE),""))</x:f>
      </x:c>
      <x:c r="I49" s="60" t="str">
        <x:f>IF($A49="","",$C49*$H49)</x:f>
      </x:c>
      <x:c r="J49" s="60" t="str">
        <x:f>IF($A49="","",$E49-$I49)</x:f>
      </x:c>
      <x:c r="K49" s="66" t="str">
        <x:f>IF($A49="","",IFERROR(VLOOKUP($A49,Invoices!$A$7:$W$156,2,FALSE),""))</x:f>
      </x:c>
      <x:c r="L49" s="52" t="str">
        <x:f>IF($A49="","",IFERROR(VLOOKUP($A49,Invoices!$A$7:$W$156,3,FALSE),""))</x:f>
      </x:c>
      <x:c r="M49" s="52" t="str">
        <x:f>IF($A49="","",IFERROR(VLOOKUP($A49,Invoices!$A$7:$W$156,4,FALSE),""))</x:f>
      </x:c>
      <x:c r="N49" s="52" t="str">
        <x:f>IF($A49="","",IFERROR(VLOOKUP($A49,Invoices!$A$7:$W$156,5,FALSE),""))</x:f>
      </x:c>
      <x:c r="O49" s="52" t="str">
        <x:f>IF($A49="","",IF(OR($B49="",$C49&lt;=0,$D49&lt;0,$F49="",$K49="",COUNTIFS($A$7:$A$306,$A49,$B$7:$B$306,$B49)&gt;1),"REVIEW","OK"))</x:f>
      </x:c>
    </x:row>
    <x:row r="50">
      <x:c r="A50" s="46"/>
      <x:c r="B50" s="46"/>
      <x:c r="C50" s="68"/>
      <x:c r="D50" s="58"/>
      <x:c r="E50" s="60" t="str">
        <x:f>IF($A50="","",$C50*$D50)</x:f>
      </x:c>
      <x:c r="F50" s="104" t="str">
        <x:f>IF($A50="","",IFERROR(VLOOKUP($B50,Setup!$A$7:$H$23,2,FALSE),""))</x:f>
      </x:c>
      <x:c r="G50" s="52" t="str">
        <x:f>IF($A50="","",IFERROR(VLOOKUP($B50,Setup!$A$7:$H$23,5,FALSE),""))</x:f>
      </x:c>
      <x:c r="H50" s="60" t="str">
        <x:f>IF($A50="","",IFERROR(VLOOKUP($B50,Setup!$A$7:$H$23,6,FALSE),""))</x:f>
      </x:c>
      <x:c r="I50" s="60" t="str">
        <x:f>IF($A50="","",$C50*$H50)</x:f>
      </x:c>
      <x:c r="J50" s="60" t="str">
        <x:f>IF($A50="","",$E50-$I50)</x:f>
      </x:c>
      <x:c r="K50" s="66" t="str">
        <x:f>IF($A50="","",IFERROR(VLOOKUP($A50,Invoices!$A$7:$W$156,2,FALSE),""))</x:f>
      </x:c>
      <x:c r="L50" s="52" t="str">
        <x:f>IF($A50="","",IFERROR(VLOOKUP($A50,Invoices!$A$7:$W$156,3,FALSE),""))</x:f>
      </x:c>
      <x:c r="M50" s="52" t="str">
        <x:f>IF($A50="","",IFERROR(VLOOKUP($A50,Invoices!$A$7:$W$156,4,FALSE),""))</x:f>
      </x:c>
      <x:c r="N50" s="52" t="str">
        <x:f>IF($A50="","",IFERROR(VLOOKUP($A50,Invoices!$A$7:$W$156,5,FALSE),""))</x:f>
      </x:c>
      <x:c r="O50" s="52" t="str">
        <x:f>IF($A50="","",IF(OR($B50="",$C50&lt;=0,$D50&lt;0,$F50="",$K50="",COUNTIFS($A$7:$A$306,$A50,$B$7:$B$306,$B50)&gt;1),"REVIEW","OK"))</x:f>
      </x:c>
    </x:row>
    <x:row r="51">
      <x:c r="A51" s="46"/>
      <x:c r="B51" s="46"/>
      <x:c r="C51" s="68"/>
      <x:c r="D51" s="58"/>
      <x:c r="E51" s="60" t="str">
        <x:f>IF($A51="","",$C51*$D51)</x:f>
      </x:c>
      <x:c r="F51" s="104" t="str">
        <x:f>IF($A51="","",IFERROR(VLOOKUP($B51,Setup!$A$7:$H$23,2,FALSE),""))</x:f>
      </x:c>
      <x:c r="G51" s="52" t="str">
        <x:f>IF($A51="","",IFERROR(VLOOKUP($B51,Setup!$A$7:$H$23,5,FALSE),""))</x:f>
      </x:c>
      <x:c r="H51" s="60" t="str">
        <x:f>IF($A51="","",IFERROR(VLOOKUP($B51,Setup!$A$7:$H$23,6,FALSE),""))</x:f>
      </x:c>
      <x:c r="I51" s="60" t="str">
        <x:f>IF($A51="","",$C51*$H51)</x:f>
      </x:c>
      <x:c r="J51" s="60" t="str">
        <x:f>IF($A51="","",$E51-$I51)</x:f>
      </x:c>
      <x:c r="K51" s="66" t="str">
        <x:f>IF($A51="","",IFERROR(VLOOKUP($A51,Invoices!$A$7:$W$156,2,FALSE),""))</x:f>
      </x:c>
      <x:c r="L51" s="52" t="str">
        <x:f>IF($A51="","",IFERROR(VLOOKUP($A51,Invoices!$A$7:$W$156,3,FALSE),""))</x:f>
      </x:c>
      <x:c r="M51" s="52" t="str">
        <x:f>IF($A51="","",IFERROR(VLOOKUP($A51,Invoices!$A$7:$W$156,4,FALSE),""))</x:f>
      </x:c>
      <x:c r="N51" s="52" t="str">
        <x:f>IF($A51="","",IFERROR(VLOOKUP($A51,Invoices!$A$7:$W$156,5,FALSE),""))</x:f>
      </x:c>
      <x:c r="O51" s="52" t="str">
        <x:f>IF($A51="","",IF(OR($B51="",$C51&lt;=0,$D51&lt;0,$F51="",$K51="",COUNTIFS($A$7:$A$306,$A51,$B$7:$B$306,$B51)&gt;1),"REVIEW","OK"))</x:f>
      </x:c>
    </x:row>
    <x:row r="52">
      <x:c r="A52" s="46"/>
      <x:c r="B52" s="46"/>
      <x:c r="C52" s="68"/>
      <x:c r="D52" s="58"/>
      <x:c r="E52" s="60" t="str">
        <x:f>IF($A52="","",$C52*$D52)</x:f>
      </x:c>
      <x:c r="F52" s="104" t="str">
        <x:f>IF($A52="","",IFERROR(VLOOKUP($B52,Setup!$A$7:$H$23,2,FALSE),""))</x:f>
      </x:c>
      <x:c r="G52" s="52" t="str">
        <x:f>IF($A52="","",IFERROR(VLOOKUP($B52,Setup!$A$7:$H$23,5,FALSE),""))</x:f>
      </x:c>
      <x:c r="H52" s="60" t="str">
        <x:f>IF($A52="","",IFERROR(VLOOKUP($B52,Setup!$A$7:$H$23,6,FALSE),""))</x:f>
      </x:c>
      <x:c r="I52" s="60" t="str">
        <x:f>IF($A52="","",$C52*$H52)</x:f>
      </x:c>
      <x:c r="J52" s="60" t="str">
        <x:f>IF($A52="","",$E52-$I52)</x:f>
      </x:c>
      <x:c r="K52" s="66" t="str">
        <x:f>IF($A52="","",IFERROR(VLOOKUP($A52,Invoices!$A$7:$W$156,2,FALSE),""))</x:f>
      </x:c>
      <x:c r="L52" s="52" t="str">
        <x:f>IF($A52="","",IFERROR(VLOOKUP($A52,Invoices!$A$7:$W$156,3,FALSE),""))</x:f>
      </x:c>
      <x:c r="M52" s="52" t="str">
        <x:f>IF($A52="","",IFERROR(VLOOKUP($A52,Invoices!$A$7:$W$156,4,FALSE),""))</x:f>
      </x:c>
      <x:c r="N52" s="52" t="str">
        <x:f>IF($A52="","",IFERROR(VLOOKUP($A52,Invoices!$A$7:$W$156,5,FALSE),""))</x:f>
      </x:c>
      <x:c r="O52" s="52" t="str">
        <x:f>IF($A52="","",IF(OR($B52="",$C52&lt;=0,$D52&lt;0,$F52="",$K52="",COUNTIFS($A$7:$A$306,$A52,$B$7:$B$306,$B52)&gt;1),"REVIEW","OK"))</x:f>
      </x:c>
    </x:row>
    <x:row r="53">
      <x:c r="A53" s="46"/>
      <x:c r="B53" s="46"/>
      <x:c r="C53" s="68"/>
      <x:c r="D53" s="58"/>
      <x:c r="E53" s="60" t="str">
        <x:f>IF($A53="","",$C53*$D53)</x:f>
      </x:c>
      <x:c r="F53" s="104" t="str">
        <x:f>IF($A53="","",IFERROR(VLOOKUP($B53,Setup!$A$7:$H$23,2,FALSE),""))</x:f>
      </x:c>
      <x:c r="G53" s="52" t="str">
        <x:f>IF($A53="","",IFERROR(VLOOKUP($B53,Setup!$A$7:$H$23,5,FALSE),""))</x:f>
      </x:c>
      <x:c r="H53" s="60" t="str">
        <x:f>IF($A53="","",IFERROR(VLOOKUP($B53,Setup!$A$7:$H$23,6,FALSE),""))</x:f>
      </x:c>
      <x:c r="I53" s="60" t="str">
        <x:f>IF($A53="","",$C53*$H53)</x:f>
      </x:c>
      <x:c r="J53" s="60" t="str">
        <x:f>IF($A53="","",$E53-$I53)</x:f>
      </x:c>
      <x:c r="K53" s="66" t="str">
        <x:f>IF($A53="","",IFERROR(VLOOKUP($A53,Invoices!$A$7:$W$156,2,FALSE),""))</x:f>
      </x:c>
      <x:c r="L53" s="52" t="str">
        <x:f>IF($A53="","",IFERROR(VLOOKUP($A53,Invoices!$A$7:$W$156,3,FALSE),""))</x:f>
      </x:c>
      <x:c r="M53" s="52" t="str">
        <x:f>IF($A53="","",IFERROR(VLOOKUP($A53,Invoices!$A$7:$W$156,4,FALSE),""))</x:f>
      </x:c>
      <x:c r="N53" s="52" t="str">
        <x:f>IF($A53="","",IFERROR(VLOOKUP($A53,Invoices!$A$7:$W$156,5,FALSE),""))</x:f>
      </x:c>
      <x:c r="O53" s="52" t="str">
        <x:f>IF($A53="","",IF(OR($B53="",$C53&lt;=0,$D53&lt;0,$F53="",$K53="",COUNTIFS($A$7:$A$306,$A53,$B$7:$B$306,$B53)&gt;1),"REVIEW","OK"))</x:f>
      </x:c>
    </x:row>
    <x:row r="54">
      <x:c r="A54" s="46"/>
      <x:c r="B54" s="46"/>
      <x:c r="C54" s="68"/>
      <x:c r="D54" s="58"/>
      <x:c r="E54" s="60" t="str">
        <x:f>IF($A54="","",$C54*$D54)</x:f>
      </x:c>
      <x:c r="F54" s="104" t="str">
        <x:f>IF($A54="","",IFERROR(VLOOKUP($B54,Setup!$A$7:$H$23,2,FALSE),""))</x:f>
      </x:c>
      <x:c r="G54" s="52" t="str">
        <x:f>IF($A54="","",IFERROR(VLOOKUP($B54,Setup!$A$7:$H$23,5,FALSE),""))</x:f>
      </x:c>
      <x:c r="H54" s="60" t="str">
        <x:f>IF($A54="","",IFERROR(VLOOKUP($B54,Setup!$A$7:$H$23,6,FALSE),""))</x:f>
      </x:c>
      <x:c r="I54" s="60" t="str">
        <x:f>IF($A54="","",$C54*$H54)</x:f>
      </x:c>
      <x:c r="J54" s="60" t="str">
        <x:f>IF($A54="","",$E54-$I54)</x:f>
      </x:c>
      <x:c r="K54" s="66" t="str">
        <x:f>IF($A54="","",IFERROR(VLOOKUP($A54,Invoices!$A$7:$W$156,2,FALSE),""))</x:f>
      </x:c>
      <x:c r="L54" s="52" t="str">
        <x:f>IF($A54="","",IFERROR(VLOOKUP($A54,Invoices!$A$7:$W$156,3,FALSE),""))</x:f>
      </x:c>
      <x:c r="M54" s="52" t="str">
        <x:f>IF($A54="","",IFERROR(VLOOKUP($A54,Invoices!$A$7:$W$156,4,FALSE),""))</x:f>
      </x:c>
      <x:c r="N54" s="52" t="str">
        <x:f>IF($A54="","",IFERROR(VLOOKUP($A54,Invoices!$A$7:$W$156,5,FALSE),""))</x:f>
      </x:c>
      <x:c r="O54" s="52" t="str">
        <x:f>IF($A54="","",IF(OR($B54="",$C54&lt;=0,$D54&lt;0,$F54="",$K54="",COUNTIFS($A$7:$A$306,$A54,$B$7:$B$306,$B54)&gt;1),"REVIEW","OK"))</x:f>
      </x:c>
    </x:row>
    <x:row r="55">
      <x:c r="A55" s="46"/>
      <x:c r="B55" s="46"/>
      <x:c r="C55" s="68"/>
      <x:c r="D55" s="58"/>
      <x:c r="E55" s="60" t="str">
        <x:f>IF($A55="","",$C55*$D55)</x:f>
      </x:c>
      <x:c r="F55" s="104" t="str">
        <x:f>IF($A55="","",IFERROR(VLOOKUP($B55,Setup!$A$7:$H$23,2,FALSE),""))</x:f>
      </x:c>
      <x:c r="G55" s="52" t="str">
        <x:f>IF($A55="","",IFERROR(VLOOKUP($B55,Setup!$A$7:$H$23,5,FALSE),""))</x:f>
      </x:c>
      <x:c r="H55" s="60" t="str">
        <x:f>IF($A55="","",IFERROR(VLOOKUP($B55,Setup!$A$7:$H$23,6,FALSE),""))</x:f>
      </x:c>
      <x:c r="I55" s="60" t="str">
        <x:f>IF($A55="","",$C55*$H55)</x:f>
      </x:c>
      <x:c r="J55" s="60" t="str">
        <x:f>IF($A55="","",$E55-$I55)</x:f>
      </x:c>
      <x:c r="K55" s="66" t="str">
        <x:f>IF($A55="","",IFERROR(VLOOKUP($A55,Invoices!$A$7:$W$156,2,FALSE),""))</x:f>
      </x:c>
      <x:c r="L55" s="52" t="str">
        <x:f>IF($A55="","",IFERROR(VLOOKUP($A55,Invoices!$A$7:$W$156,3,FALSE),""))</x:f>
      </x:c>
      <x:c r="M55" s="52" t="str">
        <x:f>IF($A55="","",IFERROR(VLOOKUP($A55,Invoices!$A$7:$W$156,4,FALSE),""))</x:f>
      </x:c>
      <x:c r="N55" s="52" t="str">
        <x:f>IF($A55="","",IFERROR(VLOOKUP($A55,Invoices!$A$7:$W$156,5,FALSE),""))</x:f>
      </x:c>
      <x:c r="O55" s="52" t="str">
        <x:f>IF($A55="","",IF(OR($B55="",$C55&lt;=0,$D55&lt;0,$F55="",$K55="",COUNTIFS($A$7:$A$306,$A55,$B$7:$B$306,$B55)&gt;1),"REVIEW","OK"))</x:f>
      </x:c>
    </x:row>
    <x:row r="56">
      <x:c r="A56" s="46"/>
      <x:c r="B56" s="46"/>
      <x:c r="C56" s="68"/>
      <x:c r="D56" s="58"/>
      <x:c r="E56" s="60" t="str">
        <x:f>IF($A56="","",$C56*$D56)</x:f>
      </x:c>
      <x:c r="F56" s="104" t="str">
        <x:f>IF($A56="","",IFERROR(VLOOKUP($B56,Setup!$A$7:$H$23,2,FALSE),""))</x:f>
      </x:c>
      <x:c r="G56" s="52" t="str">
        <x:f>IF($A56="","",IFERROR(VLOOKUP($B56,Setup!$A$7:$H$23,5,FALSE),""))</x:f>
      </x:c>
      <x:c r="H56" s="60" t="str">
        <x:f>IF($A56="","",IFERROR(VLOOKUP($B56,Setup!$A$7:$H$23,6,FALSE),""))</x:f>
      </x:c>
      <x:c r="I56" s="60" t="str">
        <x:f>IF($A56="","",$C56*$H56)</x:f>
      </x:c>
      <x:c r="J56" s="60" t="str">
        <x:f>IF($A56="","",$E56-$I56)</x:f>
      </x:c>
      <x:c r="K56" s="66" t="str">
        <x:f>IF($A56="","",IFERROR(VLOOKUP($A56,Invoices!$A$7:$W$156,2,FALSE),""))</x:f>
      </x:c>
      <x:c r="L56" s="52" t="str">
        <x:f>IF($A56="","",IFERROR(VLOOKUP($A56,Invoices!$A$7:$W$156,3,FALSE),""))</x:f>
      </x:c>
      <x:c r="M56" s="52" t="str">
        <x:f>IF($A56="","",IFERROR(VLOOKUP($A56,Invoices!$A$7:$W$156,4,FALSE),""))</x:f>
      </x:c>
      <x:c r="N56" s="52" t="str">
        <x:f>IF($A56="","",IFERROR(VLOOKUP($A56,Invoices!$A$7:$W$156,5,FALSE),""))</x:f>
      </x:c>
      <x:c r="O56" s="52" t="str">
        <x:f>IF($A56="","",IF(OR($B56="",$C56&lt;=0,$D56&lt;0,$F56="",$K56="",COUNTIFS($A$7:$A$306,$A56,$B$7:$B$306,$B56)&gt;1),"REVIEW","OK"))</x:f>
      </x:c>
    </x:row>
    <x:row r="57">
      <x:c r="A57" s="46"/>
      <x:c r="B57" s="46"/>
      <x:c r="C57" s="68"/>
      <x:c r="D57" s="58"/>
      <x:c r="E57" s="60" t="str">
        <x:f>IF($A57="","",$C57*$D57)</x:f>
      </x:c>
      <x:c r="F57" s="104" t="str">
        <x:f>IF($A57="","",IFERROR(VLOOKUP($B57,Setup!$A$7:$H$23,2,FALSE),""))</x:f>
      </x:c>
      <x:c r="G57" s="52" t="str">
        <x:f>IF($A57="","",IFERROR(VLOOKUP($B57,Setup!$A$7:$H$23,5,FALSE),""))</x:f>
      </x:c>
      <x:c r="H57" s="60" t="str">
        <x:f>IF($A57="","",IFERROR(VLOOKUP($B57,Setup!$A$7:$H$23,6,FALSE),""))</x:f>
      </x:c>
      <x:c r="I57" s="60" t="str">
        <x:f>IF($A57="","",$C57*$H57)</x:f>
      </x:c>
      <x:c r="J57" s="60" t="str">
        <x:f>IF($A57="","",$E57-$I57)</x:f>
      </x:c>
      <x:c r="K57" s="66" t="str">
        <x:f>IF($A57="","",IFERROR(VLOOKUP($A57,Invoices!$A$7:$W$156,2,FALSE),""))</x:f>
      </x:c>
      <x:c r="L57" s="52" t="str">
        <x:f>IF($A57="","",IFERROR(VLOOKUP($A57,Invoices!$A$7:$W$156,3,FALSE),""))</x:f>
      </x:c>
      <x:c r="M57" s="52" t="str">
        <x:f>IF($A57="","",IFERROR(VLOOKUP($A57,Invoices!$A$7:$W$156,4,FALSE),""))</x:f>
      </x:c>
      <x:c r="N57" s="52" t="str">
        <x:f>IF($A57="","",IFERROR(VLOOKUP($A57,Invoices!$A$7:$W$156,5,FALSE),""))</x:f>
      </x:c>
      <x:c r="O57" s="52" t="str">
        <x:f>IF($A57="","",IF(OR($B57="",$C57&lt;=0,$D57&lt;0,$F57="",$K57="",COUNTIFS($A$7:$A$306,$A57,$B$7:$B$306,$B57)&gt;1),"REVIEW","OK"))</x:f>
      </x:c>
    </x:row>
    <x:row r="58">
      <x:c r="A58" s="46"/>
      <x:c r="B58" s="46"/>
      <x:c r="C58" s="68"/>
      <x:c r="D58" s="58"/>
      <x:c r="E58" s="60" t="str">
        <x:f>IF($A58="","",$C58*$D58)</x:f>
      </x:c>
      <x:c r="F58" s="104" t="str">
        <x:f>IF($A58="","",IFERROR(VLOOKUP($B58,Setup!$A$7:$H$23,2,FALSE),""))</x:f>
      </x:c>
      <x:c r="G58" s="52" t="str">
        <x:f>IF($A58="","",IFERROR(VLOOKUP($B58,Setup!$A$7:$H$23,5,FALSE),""))</x:f>
      </x:c>
      <x:c r="H58" s="60" t="str">
        <x:f>IF($A58="","",IFERROR(VLOOKUP($B58,Setup!$A$7:$H$23,6,FALSE),""))</x:f>
      </x:c>
      <x:c r="I58" s="60" t="str">
        <x:f>IF($A58="","",$C58*$H58)</x:f>
      </x:c>
      <x:c r="J58" s="60" t="str">
        <x:f>IF($A58="","",$E58-$I58)</x:f>
      </x:c>
      <x:c r="K58" s="66" t="str">
        <x:f>IF($A58="","",IFERROR(VLOOKUP($A58,Invoices!$A$7:$W$156,2,FALSE),""))</x:f>
      </x:c>
      <x:c r="L58" s="52" t="str">
        <x:f>IF($A58="","",IFERROR(VLOOKUP($A58,Invoices!$A$7:$W$156,3,FALSE),""))</x:f>
      </x:c>
      <x:c r="M58" s="52" t="str">
        <x:f>IF($A58="","",IFERROR(VLOOKUP($A58,Invoices!$A$7:$W$156,4,FALSE),""))</x:f>
      </x:c>
      <x:c r="N58" s="52" t="str">
        <x:f>IF($A58="","",IFERROR(VLOOKUP($A58,Invoices!$A$7:$W$156,5,FALSE),""))</x:f>
      </x:c>
      <x:c r="O58" s="52" t="str">
        <x:f>IF($A58="","",IF(OR($B58="",$C58&lt;=0,$D58&lt;0,$F58="",$K58="",COUNTIFS($A$7:$A$306,$A58,$B$7:$B$306,$B58)&gt;1),"REVIEW","OK"))</x:f>
      </x:c>
    </x:row>
    <x:row r="59">
      <x:c r="A59" s="46"/>
      <x:c r="B59" s="46"/>
      <x:c r="C59" s="68"/>
      <x:c r="D59" s="58"/>
      <x:c r="E59" s="60" t="str">
        <x:f>IF($A59="","",$C59*$D59)</x:f>
      </x:c>
      <x:c r="F59" s="104" t="str">
        <x:f>IF($A59="","",IFERROR(VLOOKUP($B59,Setup!$A$7:$H$23,2,FALSE),""))</x:f>
      </x:c>
      <x:c r="G59" s="52" t="str">
        <x:f>IF($A59="","",IFERROR(VLOOKUP($B59,Setup!$A$7:$H$23,5,FALSE),""))</x:f>
      </x:c>
      <x:c r="H59" s="60" t="str">
        <x:f>IF($A59="","",IFERROR(VLOOKUP($B59,Setup!$A$7:$H$23,6,FALSE),""))</x:f>
      </x:c>
      <x:c r="I59" s="60" t="str">
        <x:f>IF($A59="","",$C59*$H59)</x:f>
      </x:c>
      <x:c r="J59" s="60" t="str">
        <x:f>IF($A59="","",$E59-$I59)</x:f>
      </x:c>
      <x:c r="K59" s="66" t="str">
        <x:f>IF($A59="","",IFERROR(VLOOKUP($A59,Invoices!$A$7:$W$156,2,FALSE),""))</x:f>
      </x:c>
      <x:c r="L59" s="52" t="str">
        <x:f>IF($A59="","",IFERROR(VLOOKUP($A59,Invoices!$A$7:$W$156,3,FALSE),""))</x:f>
      </x:c>
      <x:c r="M59" s="52" t="str">
        <x:f>IF($A59="","",IFERROR(VLOOKUP($A59,Invoices!$A$7:$W$156,4,FALSE),""))</x:f>
      </x:c>
      <x:c r="N59" s="52" t="str">
        <x:f>IF($A59="","",IFERROR(VLOOKUP($A59,Invoices!$A$7:$W$156,5,FALSE),""))</x:f>
      </x:c>
      <x:c r="O59" s="52" t="str">
        <x:f>IF($A59="","",IF(OR($B59="",$C59&lt;=0,$D59&lt;0,$F59="",$K59="",COUNTIFS($A$7:$A$306,$A59,$B$7:$B$306,$B59)&gt;1),"REVIEW","OK"))</x:f>
      </x:c>
    </x:row>
    <x:row r="60">
      <x:c r="A60" s="46"/>
      <x:c r="B60" s="46"/>
      <x:c r="C60" s="68"/>
      <x:c r="D60" s="58"/>
      <x:c r="E60" s="60" t="str">
        <x:f>IF($A60="","",$C60*$D60)</x:f>
      </x:c>
      <x:c r="F60" s="104" t="str">
        <x:f>IF($A60="","",IFERROR(VLOOKUP($B60,Setup!$A$7:$H$23,2,FALSE),""))</x:f>
      </x:c>
      <x:c r="G60" s="52" t="str">
        <x:f>IF($A60="","",IFERROR(VLOOKUP($B60,Setup!$A$7:$H$23,5,FALSE),""))</x:f>
      </x:c>
      <x:c r="H60" s="60" t="str">
        <x:f>IF($A60="","",IFERROR(VLOOKUP($B60,Setup!$A$7:$H$23,6,FALSE),""))</x:f>
      </x:c>
      <x:c r="I60" s="60" t="str">
        <x:f>IF($A60="","",$C60*$H60)</x:f>
      </x:c>
      <x:c r="J60" s="60" t="str">
        <x:f>IF($A60="","",$E60-$I60)</x:f>
      </x:c>
      <x:c r="K60" s="66" t="str">
        <x:f>IF($A60="","",IFERROR(VLOOKUP($A60,Invoices!$A$7:$W$156,2,FALSE),""))</x:f>
      </x:c>
      <x:c r="L60" s="52" t="str">
        <x:f>IF($A60="","",IFERROR(VLOOKUP($A60,Invoices!$A$7:$W$156,3,FALSE),""))</x:f>
      </x:c>
      <x:c r="M60" s="52" t="str">
        <x:f>IF($A60="","",IFERROR(VLOOKUP($A60,Invoices!$A$7:$W$156,4,FALSE),""))</x:f>
      </x:c>
      <x:c r="N60" s="52" t="str">
        <x:f>IF($A60="","",IFERROR(VLOOKUP($A60,Invoices!$A$7:$W$156,5,FALSE),""))</x:f>
      </x:c>
      <x:c r="O60" s="52" t="str">
        <x:f>IF($A60="","",IF(OR($B60="",$C60&lt;=0,$D60&lt;0,$F60="",$K60="",COUNTIFS($A$7:$A$306,$A60,$B$7:$B$306,$B60)&gt;1),"REVIEW","OK"))</x:f>
      </x:c>
    </x:row>
    <x:row r="61">
      <x:c r="A61" s="46"/>
      <x:c r="B61" s="46"/>
      <x:c r="C61" s="68"/>
      <x:c r="D61" s="58"/>
      <x:c r="E61" s="60" t="str">
        <x:f>IF($A61="","",$C61*$D61)</x:f>
      </x:c>
      <x:c r="F61" s="104" t="str">
        <x:f>IF($A61="","",IFERROR(VLOOKUP($B61,Setup!$A$7:$H$23,2,FALSE),""))</x:f>
      </x:c>
      <x:c r="G61" s="52" t="str">
        <x:f>IF($A61="","",IFERROR(VLOOKUP($B61,Setup!$A$7:$H$23,5,FALSE),""))</x:f>
      </x:c>
      <x:c r="H61" s="60" t="str">
        <x:f>IF($A61="","",IFERROR(VLOOKUP($B61,Setup!$A$7:$H$23,6,FALSE),""))</x:f>
      </x:c>
      <x:c r="I61" s="60" t="str">
        <x:f>IF($A61="","",$C61*$H61)</x:f>
      </x:c>
      <x:c r="J61" s="60" t="str">
        <x:f>IF($A61="","",$E61-$I61)</x:f>
      </x:c>
      <x:c r="K61" s="66" t="str">
        <x:f>IF($A61="","",IFERROR(VLOOKUP($A61,Invoices!$A$7:$W$156,2,FALSE),""))</x:f>
      </x:c>
      <x:c r="L61" s="52" t="str">
        <x:f>IF($A61="","",IFERROR(VLOOKUP($A61,Invoices!$A$7:$W$156,3,FALSE),""))</x:f>
      </x:c>
      <x:c r="M61" s="52" t="str">
        <x:f>IF($A61="","",IFERROR(VLOOKUP($A61,Invoices!$A$7:$W$156,4,FALSE),""))</x:f>
      </x:c>
      <x:c r="N61" s="52" t="str">
        <x:f>IF($A61="","",IFERROR(VLOOKUP($A61,Invoices!$A$7:$W$156,5,FALSE),""))</x:f>
      </x:c>
      <x:c r="O61" s="52" t="str">
        <x:f>IF($A61="","",IF(OR($B61="",$C61&lt;=0,$D61&lt;0,$F61="",$K61="",COUNTIFS($A$7:$A$306,$A61,$B$7:$B$306,$B61)&gt;1),"REVIEW","OK"))</x:f>
      </x:c>
    </x:row>
    <x:row r="62">
      <x:c r="A62" s="46"/>
      <x:c r="B62" s="46"/>
      <x:c r="C62" s="68"/>
      <x:c r="D62" s="58"/>
      <x:c r="E62" s="60" t="str">
        <x:f>IF($A62="","",$C62*$D62)</x:f>
      </x:c>
      <x:c r="F62" s="104" t="str">
        <x:f>IF($A62="","",IFERROR(VLOOKUP($B62,Setup!$A$7:$H$23,2,FALSE),""))</x:f>
      </x:c>
      <x:c r="G62" s="52" t="str">
        <x:f>IF($A62="","",IFERROR(VLOOKUP($B62,Setup!$A$7:$H$23,5,FALSE),""))</x:f>
      </x:c>
      <x:c r="H62" s="60" t="str">
        <x:f>IF($A62="","",IFERROR(VLOOKUP($B62,Setup!$A$7:$H$23,6,FALSE),""))</x:f>
      </x:c>
      <x:c r="I62" s="60" t="str">
        <x:f>IF($A62="","",$C62*$H62)</x:f>
      </x:c>
      <x:c r="J62" s="60" t="str">
        <x:f>IF($A62="","",$E62-$I62)</x:f>
      </x:c>
      <x:c r="K62" s="66" t="str">
        <x:f>IF($A62="","",IFERROR(VLOOKUP($A62,Invoices!$A$7:$W$156,2,FALSE),""))</x:f>
      </x:c>
      <x:c r="L62" s="52" t="str">
        <x:f>IF($A62="","",IFERROR(VLOOKUP($A62,Invoices!$A$7:$W$156,3,FALSE),""))</x:f>
      </x:c>
      <x:c r="M62" s="52" t="str">
        <x:f>IF($A62="","",IFERROR(VLOOKUP($A62,Invoices!$A$7:$W$156,4,FALSE),""))</x:f>
      </x:c>
      <x:c r="N62" s="52" t="str">
        <x:f>IF($A62="","",IFERROR(VLOOKUP($A62,Invoices!$A$7:$W$156,5,FALSE),""))</x:f>
      </x:c>
      <x:c r="O62" s="52" t="str">
        <x:f>IF($A62="","",IF(OR($B62="",$C62&lt;=0,$D62&lt;0,$F62="",$K62="",COUNTIFS($A$7:$A$306,$A62,$B$7:$B$306,$B62)&gt;1),"REVIEW","OK"))</x:f>
      </x:c>
    </x:row>
    <x:row r="63">
      <x:c r="A63" s="46"/>
      <x:c r="B63" s="46"/>
      <x:c r="C63" s="68"/>
      <x:c r="D63" s="58"/>
      <x:c r="E63" s="60" t="str">
        <x:f>IF($A63="","",$C63*$D63)</x:f>
      </x:c>
      <x:c r="F63" s="104" t="str">
        <x:f>IF($A63="","",IFERROR(VLOOKUP($B63,Setup!$A$7:$H$23,2,FALSE),""))</x:f>
      </x:c>
      <x:c r="G63" s="52" t="str">
        <x:f>IF($A63="","",IFERROR(VLOOKUP($B63,Setup!$A$7:$H$23,5,FALSE),""))</x:f>
      </x:c>
      <x:c r="H63" s="60" t="str">
        <x:f>IF($A63="","",IFERROR(VLOOKUP($B63,Setup!$A$7:$H$23,6,FALSE),""))</x:f>
      </x:c>
      <x:c r="I63" s="60" t="str">
        <x:f>IF($A63="","",$C63*$H63)</x:f>
      </x:c>
      <x:c r="J63" s="60" t="str">
        <x:f>IF($A63="","",$E63-$I63)</x:f>
      </x:c>
      <x:c r="K63" s="66" t="str">
        <x:f>IF($A63="","",IFERROR(VLOOKUP($A63,Invoices!$A$7:$W$156,2,FALSE),""))</x:f>
      </x:c>
      <x:c r="L63" s="52" t="str">
        <x:f>IF($A63="","",IFERROR(VLOOKUP($A63,Invoices!$A$7:$W$156,3,FALSE),""))</x:f>
      </x:c>
      <x:c r="M63" s="52" t="str">
        <x:f>IF($A63="","",IFERROR(VLOOKUP($A63,Invoices!$A$7:$W$156,4,FALSE),""))</x:f>
      </x:c>
      <x:c r="N63" s="52" t="str">
        <x:f>IF($A63="","",IFERROR(VLOOKUP($A63,Invoices!$A$7:$W$156,5,FALSE),""))</x:f>
      </x:c>
      <x:c r="O63" s="52" t="str">
        <x:f>IF($A63="","",IF(OR($B63="",$C63&lt;=0,$D63&lt;0,$F63="",$K63="",COUNTIFS($A$7:$A$306,$A63,$B$7:$B$306,$B63)&gt;1),"REVIEW","OK"))</x:f>
      </x:c>
    </x:row>
    <x:row r="64">
      <x:c r="A64" s="46"/>
      <x:c r="B64" s="46"/>
      <x:c r="C64" s="68"/>
      <x:c r="D64" s="58"/>
      <x:c r="E64" s="60" t="str">
        <x:f>IF($A64="","",$C64*$D64)</x:f>
      </x:c>
      <x:c r="F64" s="104" t="str">
        <x:f>IF($A64="","",IFERROR(VLOOKUP($B64,Setup!$A$7:$H$23,2,FALSE),""))</x:f>
      </x:c>
      <x:c r="G64" s="52" t="str">
        <x:f>IF($A64="","",IFERROR(VLOOKUP($B64,Setup!$A$7:$H$23,5,FALSE),""))</x:f>
      </x:c>
      <x:c r="H64" s="60" t="str">
        <x:f>IF($A64="","",IFERROR(VLOOKUP($B64,Setup!$A$7:$H$23,6,FALSE),""))</x:f>
      </x:c>
      <x:c r="I64" s="60" t="str">
        <x:f>IF($A64="","",$C64*$H64)</x:f>
      </x:c>
      <x:c r="J64" s="60" t="str">
        <x:f>IF($A64="","",$E64-$I64)</x:f>
      </x:c>
      <x:c r="K64" s="66" t="str">
        <x:f>IF($A64="","",IFERROR(VLOOKUP($A64,Invoices!$A$7:$W$156,2,FALSE),""))</x:f>
      </x:c>
      <x:c r="L64" s="52" t="str">
        <x:f>IF($A64="","",IFERROR(VLOOKUP($A64,Invoices!$A$7:$W$156,3,FALSE),""))</x:f>
      </x:c>
      <x:c r="M64" s="52" t="str">
        <x:f>IF($A64="","",IFERROR(VLOOKUP($A64,Invoices!$A$7:$W$156,4,FALSE),""))</x:f>
      </x:c>
      <x:c r="N64" s="52" t="str">
        <x:f>IF($A64="","",IFERROR(VLOOKUP($A64,Invoices!$A$7:$W$156,5,FALSE),""))</x:f>
      </x:c>
      <x:c r="O64" s="52" t="str">
        <x:f>IF($A64="","",IF(OR($B64="",$C64&lt;=0,$D64&lt;0,$F64="",$K64="",COUNTIFS($A$7:$A$306,$A64,$B$7:$B$306,$B64)&gt;1),"REVIEW","OK"))</x:f>
      </x:c>
    </x:row>
    <x:row r="65">
      <x:c r="A65" s="46"/>
      <x:c r="B65" s="46"/>
      <x:c r="C65" s="68"/>
      <x:c r="D65" s="58"/>
      <x:c r="E65" s="60" t="str">
        <x:f>IF($A65="","",$C65*$D65)</x:f>
      </x:c>
      <x:c r="F65" s="104" t="str">
        <x:f>IF($A65="","",IFERROR(VLOOKUP($B65,Setup!$A$7:$H$23,2,FALSE),""))</x:f>
      </x:c>
      <x:c r="G65" s="52" t="str">
        <x:f>IF($A65="","",IFERROR(VLOOKUP($B65,Setup!$A$7:$H$23,5,FALSE),""))</x:f>
      </x:c>
      <x:c r="H65" s="60" t="str">
        <x:f>IF($A65="","",IFERROR(VLOOKUP($B65,Setup!$A$7:$H$23,6,FALSE),""))</x:f>
      </x:c>
      <x:c r="I65" s="60" t="str">
        <x:f>IF($A65="","",$C65*$H65)</x:f>
      </x:c>
      <x:c r="J65" s="60" t="str">
        <x:f>IF($A65="","",$E65-$I65)</x:f>
      </x:c>
      <x:c r="K65" s="66" t="str">
        <x:f>IF($A65="","",IFERROR(VLOOKUP($A65,Invoices!$A$7:$W$156,2,FALSE),""))</x:f>
      </x:c>
      <x:c r="L65" s="52" t="str">
        <x:f>IF($A65="","",IFERROR(VLOOKUP($A65,Invoices!$A$7:$W$156,3,FALSE),""))</x:f>
      </x:c>
      <x:c r="M65" s="52" t="str">
        <x:f>IF($A65="","",IFERROR(VLOOKUP($A65,Invoices!$A$7:$W$156,4,FALSE),""))</x:f>
      </x:c>
      <x:c r="N65" s="52" t="str">
        <x:f>IF($A65="","",IFERROR(VLOOKUP($A65,Invoices!$A$7:$W$156,5,FALSE),""))</x:f>
      </x:c>
      <x:c r="O65" s="52" t="str">
        <x:f>IF($A65="","",IF(OR($B65="",$C65&lt;=0,$D65&lt;0,$F65="",$K65="",COUNTIFS($A$7:$A$306,$A65,$B$7:$B$306,$B65)&gt;1),"REVIEW","OK"))</x:f>
      </x:c>
    </x:row>
    <x:row r="66">
      <x:c r="A66" s="46"/>
      <x:c r="B66" s="46"/>
      <x:c r="C66" s="68"/>
      <x:c r="D66" s="58"/>
      <x:c r="E66" s="60" t="str">
        <x:f>IF($A66="","",$C66*$D66)</x:f>
      </x:c>
      <x:c r="F66" s="104" t="str">
        <x:f>IF($A66="","",IFERROR(VLOOKUP($B66,Setup!$A$7:$H$23,2,FALSE),""))</x:f>
      </x:c>
      <x:c r="G66" s="52" t="str">
        <x:f>IF($A66="","",IFERROR(VLOOKUP($B66,Setup!$A$7:$H$23,5,FALSE),""))</x:f>
      </x:c>
      <x:c r="H66" s="60" t="str">
        <x:f>IF($A66="","",IFERROR(VLOOKUP($B66,Setup!$A$7:$H$23,6,FALSE),""))</x:f>
      </x:c>
      <x:c r="I66" s="60" t="str">
        <x:f>IF($A66="","",$C66*$H66)</x:f>
      </x:c>
      <x:c r="J66" s="60" t="str">
        <x:f>IF($A66="","",$E66-$I66)</x:f>
      </x:c>
      <x:c r="K66" s="66" t="str">
        <x:f>IF($A66="","",IFERROR(VLOOKUP($A66,Invoices!$A$7:$W$156,2,FALSE),""))</x:f>
      </x:c>
      <x:c r="L66" s="52" t="str">
        <x:f>IF($A66="","",IFERROR(VLOOKUP($A66,Invoices!$A$7:$W$156,3,FALSE),""))</x:f>
      </x:c>
      <x:c r="M66" s="52" t="str">
        <x:f>IF($A66="","",IFERROR(VLOOKUP($A66,Invoices!$A$7:$W$156,4,FALSE),""))</x:f>
      </x:c>
      <x:c r="N66" s="52" t="str">
        <x:f>IF($A66="","",IFERROR(VLOOKUP($A66,Invoices!$A$7:$W$156,5,FALSE),""))</x:f>
      </x:c>
      <x:c r="O66" s="52" t="str">
        <x:f>IF($A66="","",IF(OR($B66="",$C66&lt;=0,$D66&lt;0,$F66="",$K66="",COUNTIFS($A$7:$A$306,$A66,$B$7:$B$306,$B66)&gt;1),"REVIEW","OK"))</x:f>
      </x:c>
    </x:row>
    <x:row r="67">
      <x:c r="A67" s="46"/>
      <x:c r="B67" s="46"/>
      <x:c r="C67" s="68"/>
      <x:c r="D67" s="58"/>
      <x:c r="E67" s="60" t="str">
        <x:f>IF($A67="","",$C67*$D67)</x:f>
      </x:c>
      <x:c r="F67" s="104" t="str">
        <x:f>IF($A67="","",IFERROR(VLOOKUP($B67,Setup!$A$7:$H$23,2,FALSE),""))</x:f>
      </x:c>
      <x:c r="G67" s="52" t="str">
        <x:f>IF($A67="","",IFERROR(VLOOKUP($B67,Setup!$A$7:$H$23,5,FALSE),""))</x:f>
      </x:c>
      <x:c r="H67" s="60" t="str">
        <x:f>IF($A67="","",IFERROR(VLOOKUP($B67,Setup!$A$7:$H$23,6,FALSE),""))</x:f>
      </x:c>
      <x:c r="I67" s="60" t="str">
        <x:f>IF($A67="","",$C67*$H67)</x:f>
      </x:c>
      <x:c r="J67" s="60" t="str">
        <x:f>IF($A67="","",$E67-$I67)</x:f>
      </x:c>
      <x:c r="K67" s="66" t="str">
        <x:f>IF($A67="","",IFERROR(VLOOKUP($A67,Invoices!$A$7:$W$156,2,FALSE),""))</x:f>
      </x:c>
      <x:c r="L67" s="52" t="str">
        <x:f>IF($A67="","",IFERROR(VLOOKUP($A67,Invoices!$A$7:$W$156,3,FALSE),""))</x:f>
      </x:c>
      <x:c r="M67" s="52" t="str">
        <x:f>IF($A67="","",IFERROR(VLOOKUP($A67,Invoices!$A$7:$W$156,4,FALSE),""))</x:f>
      </x:c>
      <x:c r="N67" s="52" t="str">
        <x:f>IF($A67="","",IFERROR(VLOOKUP($A67,Invoices!$A$7:$W$156,5,FALSE),""))</x:f>
      </x:c>
      <x:c r="O67" s="52" t="str">
        <x:f>IF($A67="","",IF(OR($B67="",$C67&lt;=0,$D67&lt;0,$F67="",$K67="",COUNTIFS($A$7:$A$306,$A67,$B$7:$B$306,$B67)&gt;1),"REVIEW","OK"))</x:f>
      </x:c>
    </x:row>
    <x:row r="68">
      <x:c r="A68" s="46"/>
      <x:c r="B68" s="46"/>
      <x:c r="C68" s="68"/>
      <x:c r="D68" s="58"/>
      <x:c r="E68" s="60" t="str">
        <x:f>IF($A68="","",$C68*$D68)</x:f>
      </x:c>
      <x:c r="F68" s="104" t="str">
        <x:f>IF($A68="","",IFERROR(VLOOKUP($B68,Setup!$A$7:$H$23,2,FALSE),""))</x:f>
      </x:c>
      <x:c r="G68" s="52" t="str">
        <x:f>IF($A68="","",IFERROR(VLOOKUP($B68,Setup!$A$7:$H$23,5,FALSE),""))</x:f>
      </x:c>
      <x:c r="H68" s="60" t="str">
        <x:f>IF($A68="","",IFERROR(VLOOKUP($B68,Setup!$A$7:$H$23,6,FALSE),""))</x:f>
      </x:c>
      <x:c r="I68" s="60" t="str">
        <x:f>IF($A68="","",$C68*$H68)</x:f>
      </x:c>
      <x:c r="J68" s="60" t="str">
        <x:f>IF($A68="","",$E68-$I68)</x:f>
      </x:c>
      <x:c r="K68" s="66" t="str">
        <x:f>IF($A68="","",IFERROR(VLOOKUP($A68,Invoices!$A$7:$W$156,2,FALSE),""))</x:f>
      </x:c>
      <x:c r="L68" s="52" t="str">
        <x:f>IF($A68="","",IFERROR(VLOOKUP($A68,Invoices!$A$7:$W$156,3,FALSE),""))</x:f>
      </x:c>
      <x:c r="M68" s="52" t="str">
        <x:f>IF($A68="","",IFERROR(VLOOKUP($A68,Invoices!$A$7:$W$156,4,FALSE),""))</x:f>
      </x:c>
      <x:c r="N68" s="52" t="str">
        <x:f>IF($A68="","",IFERROR(VLOOKUP($A68,Invoices!$A$7:$W$156,5,FALSE),""))</x:f>
      </x:c>
      <x:c r="O68" s="52" t="str">
        <x:f>IF($A68="","",IF(OR($B68="",$C68&lt;=0,$D68&lt;0,$F68="",$K68="",COUNTIFS($A$7:$A$306,$A68,$B$7:$B$306,$B68)&gt;1),"REVIEW","OK"))</x:f>
      </x:c>
    </x:row>
    <x:row r="69">
      <x:c r="A69" s="46"/>
      <x:c r="B69" s="46"/>
      <x:c r="C69" s="68"/>
      <x:c r="D69" s="58"/>
      <x:c r="E69" s="60" t="str">
        <x:f>IF($A69="","",$C69*$D69)</x:f>
      </x:c>
      <x:c r="F69" s="104" t="str">
        <x:f>IF($A69="","",IFERROR(VLOOKUP($B69,Setup!$A$7:$H$23,2,FALSE),""))</x:f>
      </x:c>
      <x:c r="G69" s="52" t="str">
        <x:f>IF($A69="","",IFERROR(VLOOKUP($B69,Setup!$A$7:$H$23,5,FALSE),""))</x:f>
      </x:c>
      <x:c r="H69" s="60" t="str">
        <x:f>IF($A69="","",IFERROR(VLOOKUP($B69,Setup!$A$7:$H$23,6,FALSE),""))</x:f>
      </x:c>
      <x:c r="I69" s="60" t="str">
        <x:f>IF($A69="","",$C69*$H69)</x:f>
      </x:c>
      <x:c r="J69" s="60" t="str">
        <x:f>IF($A69="","",$E69-$I69)</x:f>
      </x:c>
      <x:c r="K69" s="66" t="str">
        <x:f>IF($A69="","",IFERROR(VLOOKUP($A69,Invoices!$A$7:$W$156,2,FALSE),""))</x:f>
      </x:c>
      <x:c r="L69" s="52" t="str">
        <x:f>IF($A69="","",IFERROR(VLOOKUP($A69,Invoices!$A$7:$W$156,3,FALSE),""))</x:f>
      </x:c>
      <x:c r="M69" s="52" t="str">
        <x:f>IF($A69="","",IFERROR(VLOOKUP($A69,Invoices!$A$7:$W$156,4,FALSE),""))</x:f>
      </x:c>
      <x:c r="N69" s="52" t="str">
        <x:f>IF($A69="","",IFERROR(VLOOKUP($A69,Invoices!$A$7:$W$156,5,FALSE),""))</x:f>
      </x:c>
      <x:c r="O69" s="52" t="str">
        <x:f>IF($A69="","",IF(OR($B69="",$C69&lt;=0,$D69&lt;0,$F69="",$K69="",COUNTIFS($A$7:$A$306,$A69,$B$7:$B$306,$B69)&gt;1),"REVIEW","OK"))</x:f>
      </x:c>
    </x:row>
    <x:row r="70">
      <x:c r="A70" s="46"/>
      <x:c r="B70" s="46"/>
      <x:c r="C70" s="68"/>
      <x:c r="D70" s="58"/>
      <x:c r="E70" s="60" t="str">
        <x:f>IF($A70="","",$C70*$D70)</x:f>
      </x:c>
      <x:c r="F70" s="104" t="str">
        <x:f>IF($A70="","",IFERROR(VLOOKUP($B70,Setup!$A$7:$H$23,2,FALSE),""))</x:f>
      </x:c>
      <x:c r="G70" s="52" t="str">
        <x:f>IF($A70="","",IFERROR(VLOOKUP($B70,Setup!$A$7:$H$23,5,FALSE),""))</x:f>
      </x:c>
      <x:c r="H70" s="60" t="str">
        <x:f>IF($A70="","",IFERROR(VLOOKUP($B70,Setup!$A$7:$H$23,6,FALSE),""))</x:f>
      </x:c>
      <x:c r="I70" s="60" t="str">
        <x:f>IF($A70="","",$C70*$H70)</x:f>
      </x:c>
      <x:c r="J70" s="60" t="str">
        <x:f>IF($A70="","",$E70-$I70)</x:f>
      </x:c>
      <x:c r="K70" s="66" t="str">
        <x:f>IF($A70="","",IFERROR(VLOOKUP($A70,Invoices!$A$7:$W$156,2,FALSE),""))</x:f>
      </x:c>
      <x:c r="L70" s="52" t="str">
        <x:f>IF($A70="","",IFERROR(VLOOKUP($A70,Invoices!$A$7:$W$156,3,FALSE),""))</x:f>
      </x:c>
      <x:c r="M70" s="52" t="str">
        <x:f>IF($A70="","",IFERROR(VLOOKUP($A70,Invoices!$A$7:$W$156,4,FALSE),""))</x:f>
      </x:c>
      <x:c r="N70" s="52" t="str">
        <x:f>IF($A70="","",IFERROR(VLOOKUP($A70,Invoices!$A$7:$W$156,5,FALSE),""))</x:f>
      </x:c>
      <x:c r="O70" s="52" t="str">
        <x:f>IF($A70="","",IF(OR($B70="",$C70&lt;=0,$D70&lt;0,$F70="",$K70="",COUNTIFS($A$7:$A$306,$A70,$B$7:$B$306,$B70)&gt;1),"REVIEW","OK"))</x:f>
      </x:c>
    </x:row>
    <x:row r="71">
      <x:c r="A71" s="46"/>
      <x:c r="B71" s="46"/>
      <x:c r="C71" s="68"/>
      <x:c r="D71" s="58"/>
      <x:c r="E71" s="60" t="str">
        <x:f>IF($A71="","",$C71*$D71)</x:f>
      </x:c>
      <x:c r="F71" s="104" t="str">
        <x:f>IF($A71="","",IFERROR(VLOOKUP($B71,Setup!$A$7:$H$23,2,FALSE),""))</x:f>
      </x:c>
      <x:c r="G71" s="52" t="str">
        <x:f>IF($A71="","",IFERROR(VLOOKUP($B71,Setup!$A$7:$H$23,5,FALSE),""))</x:f>
      </x:c>
      <x:c r="H71" s="60" t="str">
        <x:f>IF($A71="","",IFERROR(VLOOKUP($B71,Setup!$A$7:$H$23,6,FALSE),""))</x:f>
      </x:c>
      <x:c r="I71" s="60" t="str">
        <x:f>IF($A71="","",$C71*$H71)</x:f>
      </x:c>
      <x:c r="J71" s="60" t="str">
        <x:f>IF($A71="","",$E71-$I71)</x:f>
      </x:c>
      <x:c r="K71" s="66" t="str">
        <x:f>IF($A71="","",IFERROR(VLOOKUP($A71,Invoices!$A$7:$W$156,2,FALSE),""))</x:f>
      </x:c>
      <x:c r="L71" s="52" t="str">
        <x:f>IF($A71="","",IFERROR(VLOOKUP($A71,Invoices!$A$7:$W$156,3,FALSE),""))</x:f>
      </x:c>
      <x:c r="M71" s="52" t="str">
        <x:f>IF($A71="","",IFERROR(VLOOKUP($A71,Invoices!$A$7:$W$156,4,FALSE),""))</x:f>
      </x:c>
      <x:c r="N71" s="52" t="str">
        <x:f>IF($A71="","",IFERROR(VLOOKUP($A71,Invoices!$A$7:$W$156,5,FALSE),""))</x:f>
      </x:c>
      <x:c r="O71" s="52" t="str">
        <x:f>IF($A71="","",IF(OR($B71="",$C71&lt;=0,$D71&lt;0,$F71="",$K71="",COUNTIFS($A$7:$A$306,$A71,$B$7:$B$306,$B71)&gt;1),"REVIEW","OK"))</x:f>
      </x:c>
    </x:row>
    <x:row r="72">
      <x:c r="A72" s="46"/>
      <x:c r="B72" s="46"/>
      <x:c r="C72" s="68"/>
      <x:c r="D72" s="58"/>
      <x:c r="E72" s="60" t="str">
        <x:f>IF($A72="","",$C72*$D72)</x:f>
      </x:c>
      <x:c r="F72" s="104" t="str">
        <x:f>IF($A72="","",IFERROR(VLOOKUP($B72,Setup!$A$7:$H$23,2,FALSE),""))</x:f>
      </x:c>
      <x:c r="G72" s="52" t="str">
        <x:f>IF($A72="","",IFERROR(VLOOKUP($B72,Setup!$A$7:$H$23,5,FALSE),""))</x:f>
      </x:c>
      <x:c r="H72" s="60" t="str">
        <x:f>IF($A72="","",IFERROR(VLOOKUP($B72,Setup!$A$7:$H$23,6,FALSE),""))</x:f>
      </x:c>
      <x:c r="I72" s="60" t="str">
        <x:f>IF($A72="","",$C72*$H72)</x:f>
      </x:c>
      <x:c r="J72" s="60" t="str">
        <x:f>IF($A72="","",$E72-$I72)</x:f>
      </x:c>
      <x:c r="K72" s="66" t="str">
        <x:f>IF($A72="","",IFERROR(VLOOKUP($A72,Invoices!$A$7:$W$156,2,FALSE),""))</x:f>
      </x:c>
      <x:c r="L72" s="52" t="str">
        <x:f>IF($A72="","",IFERROR(VLOOKUP($A72,Invoices!$A$7:$W$156,3,FALSE),""))</x:f>
      </x:c>
      <x:c r="M72" s="52" t="str">
        <x:f>IF($A72="","",IFERROR(VLOOKUP($A72,Invoices!$A$7:$W$156,4,FALSE),""))</x:f>
      </x:c>
      <x:c r="N72" s="52" t="str">
        <x:f>IF($A72="","",IFERROR(VLOOKUP($A72,Invoices!$A$7:$W$156,5,FALSE),""))</x:f>
      </x:c>
      <x:c r="O72" s="52" t="str">
        <x:f>IF($A72="","",IF(OR($B72="",$C72&lt;=0,$D72&lt;0,$F72="",$K72="",COUNTIFS($A$7:$A$306,$A72,$B$7:$B$306,$B72)&gt;1),"REVIEW","OK"))</x:f>
      </x:c>
    </x:row>
    <x:row r="73">
      <x:c r="A73" s="46"/>
      <x:c r="B73" s="46"/>
      <x:c r="C73" s="68"/>
      <x:c r="D73" s="58"/>
      <x:c r="E73" s="60" t="str">
        <x:f>IF($A73="","",$C73*$D73)</x:f>
      </x:c>
      <x:c r="F73" s="104" t="str">
        <x:f>IF($A73="","",IFERROR(VLOOKUP($B73,Setup!$A$7:$H$23,2,FALSE),""))</x:f>
      </x:c>
      <x:c r="G73" s="52" t="str">
        <x:f>IF($A73="","",IFERROR(VLOOKUP($B73,Setup!$A$7:$H$23,5,FALSE),""))</x:f>
      </x:c>
      <x:c r="H73" s="60" t="str">
        <x:f>IF($A73="","",IFERROR(VLOOKUP($B73,Setup!$A$7:$H$23,6,FALSE),""))</x:f>
      </x:c>
      <x:c r="I73" s="60" t="str">
        <x:f>IF($A73="","",$C73*$H73)</x:f>
      </x:c>
      <x:c r="J73" s="60" t="str">
        <x:f>IF($A73="","",$E73-$I73)</x:f>
      </x:c>
      <x:c r="K73" s="66" t="str">
        <x:f>IF($A73="","",IFERROR(VLOOKUP($A73,Invoices!$A$7:$W$156,2,FALSE),""))</x:f>
      </x:c>
      <x:c r="L73" s="52" t="str">
        <x:f>IF($A73="","",IFERROR(VLOOKUP($A73,Invoices!$A$7:$W$156,3,FALSE),""))</x:f>
      </x:c>
      <x:c r="M73" s="52" t="str">
        <x:f>IF($A73="","",IFERROR(VLOOKUP($A73,Invoices!$A$7:$W$156,4,FALSE),""))</x:f>
      </x:c>
      <x:c r="N73" s="52" t="str">
        <x:f>IF($A73="","",IFERROR(VLOOKUP($A73,Invoices!$A$7:$W$156,5,FALSE),""))</x:f>
      </x:c>
      <x:c r="O73" s="52" t="str">
        <x:f>IF($A73="","",IF(OR($B73="",$C73&lt;=0,$D73&lt;0,$F73="",$K73="",COUNTIFS($A$7:$A$306,$A73,$B$7:$B$306,$B73)&gt;1),"REVIEW","OK"))</x:f>
      </x:c>
    </x:row>
    <x:row r="74">
      <x:c r="A74" s="46"/>
      <x:c r="B74" s="46"/>
      <x:c r="C74" s="68"/>
      <x:c r="D74" s="58"/>
      <x:c r="E74" s="60" t="str">
        <x:f>IF($A74="","",$C74*$D74)</x:f>
      </x:c>
      <x:c r="F74" s="104" t="str">
        <x:f>IF($A74="","",IFERROR(VLOOKUP($B74,Setup!$A$7:$H$23,2,FALSE),""))</x:f>
      </x:c>
      <x:c r="G74" s="52" t="str">
        <x:f>IF($A74="","",IFERROR(VLOOKUP($B74,Setup!$A$7:$H$23,5,FALSE),""))</x:f>
      </x:c>
      <x:c r="H74" s="60" t="str">
        <x:f>IF($A74="","",IFERROR(VLOOKUP($B74,Setup!$A$7:$H$23,6,FALSE),""))</x:f>
      </x:c>
      <x:c r="I74" s="60" t="str">
        <x:f>IF($A74="","",$C74*$H74)</x:f>
      </x:c>
      <x:c r="J74" s="60" t="str">
        <x:f>IF($A74="","",$E74-$I74)</x:f>
      </x:c>
      <x:c r="K74" s="66" t="str">
        <x:f>IF($A74="","",IFERROR(VLOOKUP($A74,Invoices!$A$7:$W$156,2,FALSE),""))</x:f>
      </x:c>
      <x:c r="L74" s="52" t="str">
        <x:f>IF($A74="","",IFERROR(VLOOKUP($A74,Invoices!$A$7:$W$156,3,FALSE),""))</x:f>
      </x:c>
      <x:c r="M74" s="52" t="str">
        <x:f>IF($A74="","",IFERROR(VLOOKUP($A74,Invoices!$A$7:$W$156,4,FALSE),""))</x:f>
      </x:c>
      <x:c r="N74" s="52" t="str">
        <x:f>IF($A74="","",IFERROR(VLOOKUP($A74,Invoices!$A$7:$W$156,5,FALSE),""))</x:f>
      </x:c>
      <x:c r="O74" s="52" t="str">
        <x:f>IF($A74="","",IF(OR($B74="",$C74&lt;=0,$D74&lt;0,$F74="",$K74="",COUNTIFS($A$7:$A$306,$A74,$B$7:$B$306,$B74)&gt;1),"REVIEW","OK"))</x:f>
      </x:c>
    </x:row>
    <x:row r="75">
      <x:c r="A75" s="46"/>
      <x:c r="B75" s="46"/>
      <x:c r="C75" s="68"/>
      <x:c r="D75" s="58"/>
      <x:c r="E75" s="60" t="str">
        <x:f>IF($A75="","",$C75*$D75)</x:f>
      </x:c>
      <x:c r="F75" s="104" t="str">
        <x:f>IF($A75="","",IFERROR(VLOOKUP($B75,Setup!$A$7:$H$23,2,FALSE),""))</x:f>
      </x:c>
      <x:c r="G75" s="52" t="str">
        <x:f>IF($A75="","",IFERROR(VLOOKUP($B75,Setup!$A$7:$H$23,5,FALSE),""))</x:f>
      </x:c>
      <x:c r="H75" s="60" t="str">
        <x:f>IF($A75="","",IFERROR(VLOOKUP($B75,Setup!$A$7:$H$23,6,FALSE),""))</x:f>
      </x:c>
      <x:c r="I75" s="60" t="str">
        <x:f>IF($A75="","",$C75*$H75)</x:f>
      </x:c>
      <x:c r="J75" s="60" t="str">
        <x:f>IF($A75="","",$E75-$I75)</x:f>
      </x:c>
      <x:c r="K75" s="66" t="str">
        <x:f>IF($A75="","",IFERROR(VLOOKUP($A75,Invoices!$A$7:$W$156,2,FALSE),""))</x:f>
      </x:c>
      <x:c r="L75" s="52" t="str">
        <x:f>IF($A75="","",IFERROR(VLOOKUP($A75,Invoices!$A$7:$W$156,3,FALSE),""))</x:f>
      </x:c>
      <x:c r="M75" s="52" t="str">
        <x:f>IF($A75="","",IFERROR(VLOOKUP($A75,Invoices!$A$7:$W$156,4,FALSE),""))</x:f>
      </x:c>
      <x:c r="N75" s="52" t="str">
        <x:f>IF($A75="","",IFERROR(VLOOKUP($A75,Invoices!$A$7:$W$156,5,FALSE),""))</x:f>
      </x:c>
      <x:c r="O75" s="52" t="str">
        <x:f>IF($A75="","",IF(OR($B75="",$C75&lt;=0,$D75&lt;0,$F75="",$K75="",COUNTIFS($A$7:$A$306,$A75,$B$7:$B$306,$B75)&gt;1),"REVIEW","OK"))</x:f>
      </x:c>
    </x:row>
    <x:row r="76">
      <x:c r="A76" s="46"/>
      <x:c r="B76" s="46"/>
      <x:c r="C76" s="68"/>
      <x:c r="D76" s="58"/>
      <x:c r="E76" s="60" t="str">
        <x:f>IF($A76="","",$C76*$D76)</x:f>
      </x:c>
      <x:c r="F76" s="104" t="str">
        <x:f>IF($A76="","",IFERROR(VLOOKUP($B76,Setup!$A$7:$H$23,2,FALSE),""))</x:f>
      </x:c>
      <x:c r="G76" s="52" t="str">
        <x:f>IF($A76="","",IFERROR(VLOOKUP($B76,Setup!$A$7:$H$23,5,FALSE),""))</x:f>
      </x:c>
      <x:c r="H76" s="60" t="str">
        <x:f>IF($A76="","",IFERROR(VLOOKUP($B76,Setup!$A$7:$H$23,6,FALSE),""))</x:f>
      </x:c>
      <x:c r="I76" s="60" t="str">
        <x:f>IF($A76="","",$C76*$H76)</x:f>
      </x:c>
      <x:c r="J76" s="60" t="str">
        <x:f>IF($A76="","",$E76-$I76)</x:f>
      </x:c>
      <x:c r="K76" s="66" t="str">
        <x:f>IF($A76="","",IFERROR(VLOOKUP($A76,Invoices!$A$7:$W$156,2,FALSE),""))</x:f>
      </x:c>
      <x:c r="L76" s="52" t="str">
        <x:f>IF($A76="","",IFERROR(VLOOKUP($A76,Invoices!$A$7:$W$156,3,FALSE),""))</x:f>
      </x:c>
      <x:c r="M76" s="52" t="str">
        <x:f>IF($A76="","",IFERROR(VLOOKUP($A76,Invoices!$A$7:$W$156,4,FALSE),""))</x:f>
      </x:c>
      <x:c r="N76" s="52" t="str">
        <x:f>IF($A76="","",IFERROR(VLOOKUP($A76,Invoices!$A$7:$W$156,5,FALSE),""))</x:f>
      </x:c>
      <x:c r="O76" s="52" t="str">
        <x:f>IF($A76="","",IF(OR($B76="",$C76&lt;=0,$D76&lt;0,$F76="",$K76="",COUNTIFS($A$7:$A$306,$A76,$B$7:$B$306,$B76)&gt;1),"REVIEW","OK"))</x:f>
      </x:c>
    </x:row>
    <x:row r="77">
      <x:c r="A77" s="46"/>
      <x:c r="B77" s="46"/>
      <x:c r="C77" s="68"/>
      <x:c r="D77" s="58"/>
      <x:c r="E77" s="60" t="str">
        <x:f>IF($A77="","",$C77*$D77)</x:f>
      </x:c>
      <x:c r="F77" s="104" t="str">
        <x:f>IF($A77="","",IFERROR(VLOOKUP($B77,Setup!$A$7:$H$23,2,FALSE),""))</x:f>
      </x:c>
      <x:c r="G77" s="52" t="str">
        <x:f>IF($A77="","",IFERROR(VLOOKUP($B77,Setup!$A$7:$H$23,5,FALSE),""))</x:f>
      </x:c>
      <x:c r="H77" s="60" t="str">
        <x:f>IF($A77="","",IFERROR(VLOOKUP($B77,Setup!$A$7:$H$23,6,FALSE),""))</x:f>
      </x:c>
      <x:c r="I77" s="60" t="str">
        <x:f>IF($A77="","",$C77*$H77)</x:f>
      </x:c>
      <x:c r="J77" s="60" t="str">
        <x:f>IF($A77="","",$E77-$I77)</x:f>
      </x:c>
      <x:c r="K77" s="66" t="str">
        <x:f>IF($A77="","",IFERROR(VLOOKUP($A77,Invoices!$A$7:$W$156,2,FALSE),""))</x:f>
      </x:c>
      <x:c r="L77" s="52" t="str">
        <x:f>IF($A77="","",IFERROR(VLOOKUP($A77,Invoices!$A$7:$W$156,3,FALSE),""))</x:f>
      </x:c>
      <x:c r="M77" s="52" t="str">
        <x:f>IF($A77="","",IFERROR(VLOOKUP($A77,Invoices!$A$7:$W$156,4,FALSE),""))</x:f>
      </x:c>
      <x:c r="N77" s="52" t="str">
        <x:f>IF($A77="","",IFERROR(VLOOKUP($A77,Invoices!$A$7:$W$156,5,FALSE),""))</x:f>
      </x:c>
      <x:c r="O77" s="52" t="str">
        <x:f>IF($A77="","",IF(OR($B77="",$C77&lt;=0,$D77&lt;0,$F77="",$K77="",COUNTIFS($A$7:$A$306,$A77,$B$7:$B$306,$B77)&gt;1),"REVIEW","OK"))</x:f>
      </x:c>
    </x:row>
    <x:row r="78">
      <x:c r="A78" s="46"/>
      <x:c r="B78" s="46"/>
      <x:c r="C78" s="68"/>
      <x:c r="D78" s="58"/>
      <x:c r="E78" s="60" t="str">
        <x:f>IF($A78="","",$C78*$D78)</x:f>
      </x:c>
      <x:c r="F78" s="104" t="str">
        <x:f>IF($A78="","",IFERROR(VLOOKUP($B78,Setup!$A$7:$H$23,2,FALSE),""))</x:f>
      </x:c>
      <x:c r="G78" s="52" t="str">
        <x:f>IF($A78="","",IFERROR(VLOOKUP($B78,Setup!$A$7:$H$23,5,FALSE),""))</x:f>
      </x:c>
      <x:c r="H78" s="60" t="str">
        <x:f>IF($A78="","",IFERROR(VLOOKUP($B78,Setup!$A$7:$H$23,6,FALSE),""))</x:f>
      </x:c>
      <x:c r="I78" s="60" t="str">
        <x:f>IF($A78="","",$C78*$H78)</x:f>
      </x:c>
      <x:c r="J78" s="60" t="str">
        <x:f>IF($A78="","",$E78-$I78)</x:f>
      </x:c>
      <x:c r="K78" s="66" t="str">
        <x:f>IF($A78="","",IFERROR(VLOOKUP($A78,Invoices!$A$7:$W$156,2,FALSE),""))</x:f>
      </x:c>
      <x:c r="L78" s="52" t="str">
        <x:f>IF($A78="","",IFERROR(VLOOKUP($A78,Invoices!$A$7:$W$156,3,FALSE),""))</x:f>
      </x:c>
      <x:c r="M78" s="52" t="str">
        <x:f>IF($A78="","",IFERROR(VLOOKUP($A78,Invoices!$A$7:$W$156,4,FALSE),""))</x:f>
      </x:c>
      <x:c r="N78" s="52" t="str">
        <x:f>IF($A78="","",IFERROR(VLOOKUP($A78,Invoices!$A$7:$W$156,5,FALSE),""))</x:f>
      </x:c>
      <x:c r="O78" s="52" t="str">
        <x:f>IF($A78="","",IF(OR($B78="",$C78&lt;=0,$D78&lt;0,$F78="",$K78="",COUNTIFS($A$7:$A$306,$A78,$B$7:$B$306,$B78)&gt;1),"REVIEW","OK"))</x:f>
      </x:c>
    </x:row>
    <x:row r="79">
      <x:c r="A79" s="46"/>
      <x:c r="B79" s="46"/>
      <x:c r="C79" s="68"/>
      <x:c r="D79" s="58"/>
      <x:c r="E79" s="60" t="str">
        <x:f>IF($A79="","",$C79*$D79)</x:f>
      </x:c>
      <x:c r="F79" s="104" t="str">
        <x:f>IF($A79="","",IFERROR(VLOOKUP($B79,Setup!$A$7:$H$23,2,FALSE),""))</x:f>
      </x:c>
      <x:c r="G79" s="52" t="str">
        <x:f>IF($A79="","",IFERROR(VLOOKUP($B79,Setup!$A$7:$H$23,5,FALSE),""))</x:f>
      </x:c>
      <x:c r="H79" s="60" t="str">
        <x:f>IF($A79="","",IFERROR(VLOOKUP($B79,Setup!$A$7:$H$23,6,FALSE),""))</x:f>
      </x:c>
      <x:c r="I79" s="60" t="str">
        <x:f>IF($A79="","",$C79*$H79)</x:f>
      </x:c>
      <x:c r="J79" s="60" t="str">
        <x:f>IF($A79="","",$E79-$I79)</x:f>
      </x:c>
      <x:c r="K79" s="66" t="str">
        <x:f>IF($A79="","",IFERROR(VLOOKUP($A79,Invoices!$A$7:$W$156,2,FALSE),""))</x:f>
      </x:c>
      <x:c r="L79" s="52" t="str">
        <x:f>IF($A79="","",IFERROR(VLOOKUP($A79,Invoices!$A$7:$W$156,3,FALSE),""))</x:f>
      </x:c>
      <x:c r="M79" s="52" t="str">
        <x:f>IF($A79="","",IFERROR(VLOOKUP($A79,Invoices!$A$7:$W$156,4,FALSE),""))</x:f>
      </x:c>
      <x:c r="N79" s="52" t="str">
        <x:f>IF($A79="","",IFERROR(VLOOKUP($A79,Invoices!$A$7:$W$156,5,FALSE),""))</x:f>
      </x:c>
      <x:c r="O79" s="52" t="str">
        <x:f>IF($A79="","",IF(OR($B79="",$C79&lt;=0,$D79&lt;0,$F79="",$K79="",COUNTIFS($A$7:$A$306,$A79,$B$7:$B$306,$B79)&gt;1),"REVIEW","OK"))</x:f>
      </x:c>
    </x:row>
    <x:row r="80">
      <x:c r="A80" s="46"/>
      <x:c r="B80" s="46"/>
      <x:c r="C80" s="68"/>
      <x:c r="D80" s="58"/>
      <x:c r="E80" s="60" t="str">
        <x:f>IF($A80="","",$C80*$D80)</x:f>
      </x:c>
      <x:c r="F80" s="104" t="str">
        <x:f>IF($A80="","",IFERROR(VLOOKUP($B80,Setup!$A$7:$H$23,2,FALSE),""))</x:f>
      </x:c>
      <x:c r="G80" s="52" t="str">
        <x:f>IF($A80="","",IFERROR(VLOOKUP($B80,Setup!$A$7:$H$23,5,FALSE),""))</x:f>
      </x:c>
      <x:c r="H80" s="60" t="str">
        <x:f>IF($A80="","",IFERROR(VLOOKUP($B80,Setup!$A$7:$H$23,6,FALSE),""))</x:f>
      </x:c>
      <x:c r="I80" s="60" t="str">
        <x:f>IF($A80="","",$C80*$H80)</x:f>
      </x:c>
      <x:c r="J80" s="60" t="str">
        <x:f>IF($A80="","",$E80-$I80)</x:f>
      </x:c>
      <x:c r="K80" s="66" t="str">
        <x:f>IF($A80="","",IFERROR(VLOOKUP($A80,Invoices!$A$7:$W$156,2,FALSE),""))</x:f>
      </x:c>
      <x:c r="L80" s="52" t="str">
        <x:f>IF($A80="","",IFERROR(VLOOKUP($A80,Invoices!$A$7:$W$156,3,FALSE),""))</x:f>
      </x:c>
      <x:c r="M80" s="52" t="str">
        <x:f>IF($A80="","",IFERROR(VLOOKUP($A80,Invoices!$A$7:$W$156,4,FALSE),""))</x:f>
      </x:c>
      <x:c r="N80" s="52" t="str">
        <x:f>IF($A80="","",IFERROR(VLOOKUP($A80,Invoices!$A$7:$W$156,5,FALSE),""))</x:f>
      </x:c>
      <x:c r="O80" s="52" t="str">
        <x:f>IF($A80="","",IF(OR($B80="",$C80&lt;=0,$D80&lt;0,$F80="",$K80="",COUNTIFS($A$7:$A$306,$A80,$B$7:$B$306,$B80)&gt;1),"REVIEW","OK"))</x:f>
      </x:c>
    </x:row>
    <x:row r="81">
      <x:c r="A81" s="46"/>
      <x:c r="B81" s="46"/>
      <x:c r="C81" s="68"/>
      <x:c r="D81" s="58"/>
      <x:c r="E81" s="60" t="str">
        <x:f>IF($A81="","",$C81*$D81)</x:f>
      </x:c>
      <x:c r="F81" s="104" t="str">
        <x:f>IF($A81="","",IFERROR(VLOOKUP($B81,Setup!$A$7:$H$23,2,FALSE),""))</x:f>
      </x:c>
      <x:c r="G81" s="52" t="str">
        <x:f>IF($A81="","",IFERROR(VLOOKUP($B81,Setup!$A$7:$H$23,5,FALSE),""))</x:f>
      </x:c>
      <x:c r="H81" s="60" t="str">
        <x:f>IF($A81="","",IFERROR(VLOOKUP($B81,Setup!$A$7:$H$23,6,FALSE),""))</x:f>
      </x:c>
      <x:c r="I81" s="60" t="str">
        <x:f>IF($A81="","",$C81*$H81)</x:f>
      </x:c>
      <x:c r="J81" s="60" t="str">
        <x:f>IF($A81="","",$E81-$I81)</x:f>
      </x:c>
      <x:c r="K81" s="66" t="str">
        <x:f>IF($A81="","",IFERROR(VLOOKUP($A81,Invoices!$A$7:$W$156,2,FALSE),""))</x:f>
      </x:c>
      <x:c r="L81" s="52" t="str">
        <x:f>IF($A81="","",IFERROR(VLOOKUP($A81,Invoices!$A$7:$W$156,3,FALSE),""))</x:f>
      </x:c>
      <x:c r="M81" s="52" t="str">
        <x:f>IF($A81="","",IFERROR(VLOOKUP($A81,Invoices!$A$7:$W$156,4,FALSE),""))</x:f>
      </x:c>
      <x:c r="N81" s="52" t="str">
        <x:f>IF($A81="","",IFERROR(VLOOKUP($A81,Invoices!$A$7:$W$156,5,FALSE),""))</x:f>
      </x:c>
      <x:c r="O81" s="52" t="str">
        <x:f>IF($A81="","",IF(OR($B81="",$C81&lt;=0,$D81&lt;0,$F81="",$K81="",COUNTIFS($A$7:$A$306,$A81,$B$7:$B$306,$B81)&gt;1),"REVIEW","OK"))</x:f>
      </x:c>
    </x:row>
    <x:row r="82">
      <x:c r="A82" s="46"/>
      <x:c r="B82" s="46"/>
      <x:c r="C82" s="68"/>
      <x:c r="D82" s="58"/>
      <x:c r="E82" s="60" t="str">
        <x:f>IF($A82="","",$C82*$D82)</x:f>
      </x:c>
      <x:c r="F82" s="104" t="str">
        <x:f>IF($A82="","",IFERROR(VLOOKUP($B82,Setup!$A$7:$H$23,2,FALSE),""))</x:f>
      </x:c>
      <x:c r="G82" s="52" t="str">
        <x:f>IF($A82="","",IFERROR(VLOOKUP($B82,Setup!$A$7:$H$23,5,FALSE),""))</x:f>
      </x:c>
      <x:c r="H82" s="60" t="str">
        <x:f>IF($A82="","",IFERROR(VLOOKUP($B82,Setup!$A$7:$H$23,6,FALSE),""))</x:f>
      </x:c>
      <x:c r="I82" s="60" t="str">
        <x:f>IF($A82="","",$C82*$H82)</x:f>
      </x:c>
      <x:c r="J82" s="60" t="str">
        <x:f>IF($A82="","",$E82-$I82)</x:f>
      </x:c>
      <x:c r="K82" s="66" t="str">
        <x:f>IF($A82="","",IFERROR(VLOOKUP($A82,Invoices!$A$7:$W$156,2,FALSE),""))</x:f>
      </x:c>
      <x:c r="L82" s="52" t="str">
        <x:f>IF($A82="","",IFERROR(VLOOKUP($A82,Invoices!$A$7:$W$156,3,FALSE),""))</x:f>
      </x:c>
      <x:c r="M82" s="52" t="str">
        <x:f>IF($A82="","",IFERROR(VLOOKUP($A82,Invoices!$A$7:$W$156,4,FALSE),""))</x:f>
      </x:c>
      <x:c r="N82" s="52" t="str">
        <x:f>IF($A82="","",IFERROR(VLOOKUP($A82,Invoices!$A$7:$W$156,5,FALSE),""))</x:f>
      </x:c>
      <x:c r="O82" s="52" t="str">
        <x:f>IF($A82="","",IF(OR($B82="",$C82&lt;=0,$D82&lt;0,$F82="",$K82="",COUNTIFS($A$7:$A$306,$A82,$B$7:$B$306,$B82)&gt;1),"REVIEW","OK"))</x:f>
      </x:c>
    </x:row>
    <x:row r="83">
      <x:c r="A83" s="46"/>
      <x:c r="B83" s="46"/>
      <x:c r="C83" s="68"/>
      <x:c r="D83" s="58"/>
      <x:c r="E83" s="60" t="str">
        <x:f>IF($A83="","",$C83*$D83)</x:f>
      </x:c>
      <x:c r="F83" s="104" t="str">
        <x:f>IF($A83="","",IFERROR(VLOOKUP($B83,Setup!$A$7:$H$23,2,FALSE),""))</x:f>
      </x:c>
      <x:c r="G83" s="52" t="str">
        <x:f>IF($A83="","",IFERROR(VLOOKUP($B83,Setup!$A$7:$H$23,5,FALSE),""))</x:f>
      </x:c>
      <x:c r="H83" s="60" t="str">
        <x:f>IF($A83="","",IFERROR(VLOOKUP($B83,Setup!$A$7:$H$23,6,FALSE),""))</x:f>
      </x:c>
      <x:c r="I83" s="60" t="str">
        <x:f>IF($A83="","",$C83*$H83)</x:f>
      </x:c>
      <x:c r="J83" s="60" t="str">
        <x:f>IF($A83="","",$E83-$I83)</x:f>
      </x:c>
      <x:c r="K83" s="66" t="str">
        <x:f>IF($A83="","",IFERROR(VLOOKUP($A83,Invoices!$A$7:$W$156,2,FALSE),""))</x:f>
      </x:c>
      <x:c r="L83" s="52" t="str">
        <x:f>IF($A83="","",IFERROR(VLOOKUP($A83,Invoices!$A$7:$W$156,3,FALSE),""))</x:f>
      </x:c>
      <x:c r="M83" s="52" t="str">
        <x:f>IF($A83="","",IFERROR(VLOOKUP($A83,Invoices!$A$7:$W$156,4,FALSE),""))</x:f>
      </x:c>
      <x:c r="N83" s="52" t="str">
        <x:f>IF($A83="","",IFERROR(VLOOKUP($A83,Invoices!$A$7:$W$156,5,FALSE),""))</x:f>
      </x:c>
      <x:c r="O83" s="52" t="str">
        <x:f>IF($A83="","",IF(OR($B83="",$C83&lt;=0,$D83&lt;0,$F83="",$K83="",COUNTIFS($A$7:$A$306,$A83,$B$7:$B$306,$B83)&gt;1),"REVIEW","OK"))</x:f>
      </x:c>
    </x:row>
    <x:row r="84">
      <x:c r="A84" s="46"/>
      <x:c r="B84" s="46"/>
      <x:c r="C84" s="68"/>
      <x:c r="D84" s="58"/>
      <x:c r="E84" s="60" t="str">
        <x:f>IF($A84="","",$C84*$D84)</x:f>
      </x:c>
      <x:c r="F84" s="104" t="str">
        <x:f>IF($A84="","",IFERROR(VLOOKUP($B84,Setup!$A$7:$H$23,2,FALSE),""))</x:f>
      </x:c>
      <x:c r="G84" s="52" t="str">
        <x:f>IF($A84="","",IFERROR(VLOOKUP($B84,Setup!$A$7:$H$23,5,FALSE),""))</x:f>
      </x:c>
      <x:c r="H84" s="60" t="str">
        <x:f>IF($A84="","",IFERROR(VLOOKUP($B84,Setup!$A$7:$H$23,6,FALSE),""))</x:f>
      </x:c>
      <x:c r="I84" s="60" t="str">
        <x:f>IF($A84="","",$C84*$H84)</x:f>
      </x:c>
      <x:c r="J84" s="60" t="str">
        <x:f>IF($A84="","",$E84-$I84)</x:f>
      </x:c>
      <x:c r="K84" s="66" t="str">
        <x:f>IF($A84="","",IFERROR(VLOOKUP($A84,Invoices!$A$7:$W$156,2,FALSE),""))</x:f>
      </x:c>
      <x:c r="L84" s="52" t="str">
        <x:f>IF($A84="","",IFERROR(VLOOKUP($A84,Invoices!$A$7:$W$156,3,FALSE),""))</x:f>
      </x:c>
      <x:c r="M84" s="52" t="str">
        <x:f>IF($A84="","",IFERROR(VLOOKUP($A84,Invoices!$A$7:$W$156,4,FALSE),""))</x:f>
      </x:c>
      <x:c r="N84" s="52" t="str">
        <x:f>IF($A84="","",IFERROR(VLOOKUP($A84,Invoices!$A$7:$W$156,5,FALSE),""))</x:f>
      </x:c>
      <x:c r="O84" s="52" t="str">
        <x:f>IF($A84="","",IF(OR($B84="",$C84&lt;=0,$D84&lt;0,$F84="",$K84="",COUNTIFS($A$7:$A$306,$A84,$B$7:$B$306,$B84)&gt;1),"REVIEW","OK"))</x:f>
      </x:c>
    </x:row>
    <x:row r="85">
      <x:c r="A85" s="46"/>
      <x:c r="B85" s="46"/>
      <x:c r="C85" s="68"/>
      <x:c r="D85" s="58"/>
      <x:c r="E85" s="60" t="str">
        <x:f>IF($A85="","",$C85*$D85)</x:f>
      </x:c>
      <x:c r="F85" s="104" t="str">
        <x:f>IF($A85="","",IFERROR(VLOOKUP($B85,Setup!$A$7:$H$23,2,FALSE),""))</x:f>
      </x:c>
      <x:c r="G85" s="52" t="str">
        <x:f>IF($A85="","",IFERROR(VLOOKUP($B85,Setup!$A$7:$H$23,5,FALSE),""))</x:f>
      </x:c>
      <x:c r="H85" s="60" t="str">
        <x:f>IF($A85="","",IFERROR(VLOOKUP($B85,Setup!$A$7:$H$23,6,FALSE),""))</x:f>
      </x:c>
      <x:c r="I85" s="60" t="str">
        <x:f>IF($A85="","",$C85*$H85)</x:f>
      </x:c>
      <x:c r="J85" s="60" t="str">
        <x:f>IF($A85="","",$E85-$I85)</x:f>
      </x:c>
      <x:c r="K85" s="66" t="str">
        <x:f>IF($A85="","",IFERROR(VLOOKUP($A85,Invoices!$A$7:$W$156,2,FALSE),""))</x:f>
      </x:c>
      <x:c r="L85" s="52" t="str">
        <x:f>IF($A85="","",IFERROR(VLOOKUP($A85,Invoices!$A$7:$W$156,3,FALSE),""))</x:f>
      </x:c>
      <x:c r="M85" s="52" t="str">
        <x:f>IF($A85="","",IFERROR(VLOOKUP($A85,Invoices!$A$7:$W$156,4,FALSE),""))</x:f>
      </x:c>
      <x:c r="N85" s="52" t="str">
        <x:f>IF($A85="","",IFERROR(VLOOKUP($A85,Invoices!$A$7:$W$156,5,FALSE),""))</x:f>
      </x:c>
      <x:c r="O85" s="52" t="str">
        <x:f>IF($A85="","",IF(OR($B85="",$C85&lt;=0,$D85&lt;0,$F85="",$K85="",COUNTIFS($A$7:$A$306,$A85,$B$7:$B$306,$B85)&gt;1),"REVIEW","OK"))</x:f>
      </x:c>
    </x:row>
    <x:row r="86">
      <x:c r="A86" s="46"/>
      <x:c r="B86" s="46"/>
      <x:c r="C86" s="68"/>
      <x:c r="D86" s="58"/>
      <x:c r="E86" s="60" t="str">
        <x:f>IF($A86="","",$C86*$D86)</x:f>
      </x:c>
      <x:c r="F86" s="104" t="str">
        <x:f>IF($A86="","",IFERROR(VLOOKUP($B86,Setup!$A$7:$H$23,2,FALSE),""))</x:f>
      </x:c>
      <x:c r="G86" s="52" t="str">
        <x:f>IF($A86="","",IFERROR(VLOOKUP($B86,Setup!$A$7:$H$23,5,FALSE),""))</x:f>
      </x:c>
      <x:c r="H86" s="60" t="str">
        <x:f>IF($A86="","",IFERROR(VLOOKUP($B86,Setup!$A$7:$H$23,6,FALSE),""))</x:f>
      </x:c>
      <x:c r="I86" s="60" t="str">
        <x:f>IF($A86="","",$C86*$H86)</x:f>
      </x:c>
      <x:c r="J86" s="60" t="str">
        <x:f>IF($A86="","",$E86-$I86)</x:f>
      </x:c>
      <x:c r="K86" s="66" t="str">
        <x:f>IF($A86="","",IFERROR(VLOOKUP($A86,Invoices!$A$7:$W$156,2,FALSE),""))</x:f>
      </x:c>
      <x:c r="L86" s="52" t="str">
        <x:f>IF($A86="","",IFERROR(VLOOKUP($A86,Invoices!$A$7:$W$156,3,FALSE),""))</x:f>
      </x:c>
      <x:c r="M86" s="52" t="str">
        <x:f>IF($A86="","",IFERROR(VLOOKUP($A86,Invoices!$A$7:$W$156,4,FALSE),""))</x:f>
      </x:c>
      <x:c r="N86" s="52" t="str">
        <x:f>IF($A86="","",IFERROR(VLOOKUP($A86,Invoices!$A$7:$W$156,5,FALSE),""))</x:f>
      </x:c>
      <x:c r="O86" s="52" t="str">
        <x:f>IF($A86="","",IF(OR($B86="",$C86&lt;=0,$D86&lt;0,$F86="",$K86="",COUNTIFS($A$7:$A$306,$A86,$B$7:$B$306,$B86)&gt;1),"REVIEW","OK"))</x:f>
      </x:c>
    </x:row>
    <x:row r="87">
      <x:c r="A87" s="46"/>
      <x:c r="B87" s="46"/>
      <x:c r="C87" s="68"/>
      <x:c r="D87" s="58"/>
      <x:c r="E87" s="60" t="str">
        <x:f>IF($A87="","",$C87*$D87)</x:f>
      </x:c>
      <x:c r="F87" s="104" t="str">
        <x:f>IF($A87="","",IFERROR(VLOOKUP($B87,Setup!$A$7:$H$23,2,FALSE),""))</x:f>
      </x:c>
      <x:c r="G87" s="52" t="str">
        <x:f>IF($A87="","",IFERROR(VLOOKUP($B87,Setup!$A$7:$H$23,5,FALSE),""))</x:f>
      </x:c>
      <x:c r="H87" s="60" t="str">
        <x:f>IF($A87="","",IFERROR(VLOOKUP($B87,Setup!$A$7:$H$23,6,FALSE),""))</x:f>
      </x:c>
      <x:c r="I87" s="60" t="str">
        <x:f>IF($A87="","",$C87*$H87)</x:f>
      </x:c>
      <x:c r="J87" s="60" t="str">
        <x:f>IF($A87="","",$E87-$I87)</x:f>
      </x:c>
      <x:c r="K87" s="66" t="str">
        <x:f>IF($A87="","",IFERROR(VLOOKUP($A87,Invoices!$A$7:$W$156,2,FALSE),""))</x:f>
      </x:c>
      <x:c r="L87" s="52" t="str">
        <x:f>IF($A87="","",IFERROR(VLOOKUP($A87,Invoices!$A$7:$W$156,3,FALSE),""))</x:f>
      </x:c>
      <x:c r="M87" s="52" t="str">
        <x:f>IF($A87="","",IFERROR(VLOOKUP($A87,Invoices!$A$7:$W$156,4,FALSE),""))</x:f>
      </x:c>
      <x:c r="N87" s="52" t="str">
        <x:f>IF($A87="","",IFERROR(VLOOKUP($A87,Invoices!$A$7:$W$156,5,FALSE),""))</x:f>
      </x:c>
      <x:c r="O87" s="52" t="str">
        <x:f>IF($A87="","",IF(OR($B87="",$C87&lt;=0,$D87&lt;0,$F87="",$K87="",COUNTIFS($A$7:$A$306,$A87,$B$7:$B$306,$B87)&gt;1),"REVIEW","OK"))</x:f>
      </x:c>
    </x:row>
    <x:row r="88">
      <x:c r="A88" s="46"/>
      <x:c r="B88" s="46"/>
      <x:c r="C88" s="68"/>
      <x:c r="D88" s="58"/>
      <x:c r="E88" s="60" t="str">
        <x:f>IF($A88="","",$C88*$D88)</x:f>
      </x:c>
      <x:c r="F88" s="104" t="str">
        <x:f>IF($A88="","",IFERROR(VLOOKUP($B88,Setup!$A$7:$H$23,2,FALSE),""))</x:f>
      </x:c>
      <x:c r="G88" s="52" t="str">
        <x:f>IF($A88="","",IFERROR(VLOOKUP($B88,Setup!$A$7:$H$23,5,FALSE),""))</x:f>
      </x:c>
      <x:c r="H88" s="60" t="str">
        <x:f>IF($A88="","",IFERROR(VLOOKUP($B88,Setup!$A$7:$H$23,6,FALSE),""))</x:f>
      </x:c>
      <x:c r="I88" s="60" t="str">
        <x:f>IF($A88="","",$C88*$H88)</x:f>
      </x:c>
      <x:c r="J88" s="60" t="str">
        <x:f>IF($A88="","",$E88-$I88)</x:f>
      </x:c>
      <x:c r="K88" s="66" t="str">
        <x:f>IF($A88="","",IFERROR(VLOOKUP($A88,Invoices!$A$7:$W$156,2,FALSE),""))</x:f>
      </x:c>
      <x:c r="L88" s="52" t="str">
        <x:f>IF($A88="","",IFERROR(VLOOKUP($A88,Invoices!$A$7:$W$156,3,FALSE),""))</x:f>
      </x:c>
      <x:c r="M88" s="52" t="str">
        <x:f>IF($A88="","",IFERROR(VLOOKUP($A88,Invoices!$A$7:$W$156,4,FALSE),""))</x:f>
      </x:c>
      <x:c r="N88" s="52" t="str">
        <x:f>IF($A88="","",IFERROR(VLOOKUP($A88,Invoices!$A$7:$W$156,5,FALSE),""))</x:f>
      </x:c>
      <x:c r="O88" s="52" t="str">
        <x:f>IF($A88="","",IF(OR($B88="",$C88&lt;=0,$D88&lt;0,$F88="",$K88="",COUNTIFS($A$7:$A$306,$A88,$B$7:$B$306,$B88)&gt;1),"REVIEW","OK"))</x:f>
      </x:c>
    </x:row>
    <x:row r="89">
      <x:c r="A89" s="46"/>
      <x:c r="B89" s="46"/>
      <x:c r="C89" s="68"/>
      <x:c r="D89" s="58"/>
      <x:c r="E89" s="60" t="str">
        <x:f>IF($A89="","",$C89*$D89)</x:f>
      </x:c>
      <x:c r="F89" s="104" t="str">
        <x:f>IF($A89="","",IFERROR(VLOOKUP($B89,Setup!$A$7:$H$23,2,FALSE),""))</x:f>
      </x:c>
      <x:c r="G89" s="52" t="str">
        <x:f>IF($A89="","",IFERROR(VLOOKUP($B89,Setup!$A$7:$H$23,5,FALSE),""))</x:f>
      </x:c>
      <x:c r="H89" s="60" t="str">
        <x:f>IF($A89="","",IFERROR(VLOOKUP($B89,Setup!$A$7:$H$23,6,FALSE),""))</x:f>
      </x:c>
      <x:c r="I89" s="60" t="str">
        <x:f>IF($A89="","",$C89*$H89)</x:f>
      </x:c>
      <x:c r="J89" s="60" t="str">
        <x:f>IF($A89="","",$E89-$I89)</x:f>
      </x:c>
      <x:c r="K89" s="66" t="str">
        <x:f>IF($A89="","",IFERROR(VLOOKUP($A89,Invoices!$A$7:$W$156,2,FALSE),""))</x:f>
      </x:c>
      <x:c r="L89" s="52" t="str">
        <x:f>IF($A89="","",IFERROR(VLOOKUP($A89,Invoices!$A$7:$W$156,3,FALSE),""))</x:f>
      </x:c>
      <x:c r="M89" s="52" t="str">
        <x:f>IF($A89="","",IFERROR(VLOOKUP($A89,Invoices!$A$7:$W$156,4,FALSE),""))</x:f>
      </x:c>
      <x:c r="N89" s="52" t="str">
        <x:f>IF($A89="","",IFERROR(VLOOKUP($A89,Invoices!$A$7:$W$156,5,FALSE),""))</x:f>
      </x:c>
      <x:c r="O89" s="52" t="str">
        <x:f>IF($A89="","",IF(OR($B89="",$C89&lt;=0,$D89&lt;0,$F89="",$K89="",COUNTIFS($A$7:$A$306,$A89,$B$7:$B$306,$B89)&gt;1),"REVIEW","OK"))</x:f>
      </x:c>
    </x:row>
    <x:row r="90">
      <x:c r="A90" s="46"/>
      <x:c r="B90" s="46"/>
      <x:c r="C90" s="68"/>
      <x:c r="D90" s="58"/>
      <x:c r="E90" s="60" t="str">
        <x:f>IF($A90="","",$C90*$D90)</x:f>
      </x:c>
      <x:c r="F90" s="104" t="str">
        <x:f>IF($A90="","",IFERROR(VLOOKUP($B90,Setup!$A$7:$H$23,2,FALSE),""))</x:f>
      </x:c>
      <x:c r="G90" s="52" t="str">
        <x:f>IF($A90="","",IFERROR(VLOOKUP($B90,Setup!$A$7:$H$23,5,FALSE),""))</x:f>
      </x:c>
      <x:c r="H90" s="60" t="str">
        <x:f>IF($A90="","",IFERROR(VLOOKUP($B90,Setup!$A$7:$H$23,6,FALSE),""))</x:f>
      </x:c>
      <x:c r="I90" s="60" t="str">
        <x:f>IF($A90="","",$C90*$H90)</x:f>
      </x:c>
      <x:c r="J90" s="60" t="str">
        <x:f>IF($A90="","",$E90-$I90)</x:f>
      </x:c>
      <x:c r="K90" s="66" t="str">
        <x:f>IF($A90="","",IFERROR(VLOOKUP($A90,Invoices!$A$7:$W$156,2,FALSE),""))</x:f>
      </x:c>
      <x:c r="L90" s="52" t="str">
        <x:f>IF($A90="","",IFERROR(VLOOKUP($A90,Invoices!$A$7:$W$156,3,FALSE),""))</x:f>
      </x:c>
      <x:c r="M90" s="52" t="str">
        <x:f>IF($A90="","",IFERROR(VLOOKUP($A90,Invoices!$A$7:$W$156,4,FALSE),""))</x:f>
      </x:c>
      <x:c r="N90" s="52" t="str">
        <x:f>IF($A90="","",IFERROR(VLOOKUP($A90,Invoices!$A$7:$W$156,5,FALSE),""))</x:f>
      </x:c>
      <x:c r="O90" s="52" t="str">
        <x:f>IF($A90="","",IF(OR($B90="",$C90&lt;=0,$D90&lt;0,$F90="",$K90="",COUNTIFS($A$7:$A$306,$A90,$B$7:$B$306,$B90)&gt;1),"REVIEW","OK"))</x:f>
      </x:c>
    </x:row>
    <x:row r="91">
      <x:c r="A91" s="46"/>
      <x:c r="B91" s="46"/>
      <x:c r="C91" s="68"/>
      <x:c r="D91" s="58"/>
      <x:c r="E91" s="60" t="str">
        <x:f>IF($A91="","",$C91*$D91)</x:f>
      </x:c>
      <x:c r="F91" s="104" t="str">
        <x:f>IF($A91="","",IFERROR(VLOOKUP($B91,Setup!$A$7:$H$23,2,FALSE),""))</x:f>
      </x:c>
      <x:c r="G91" s="52" t="str">
        <x:f>IF($A91="","",IFERROR(VLOOKUP($B91,Setup!$A$7:$H$23,5,FALSE),""))</x:f>
      </x:c>
      <x:c r="H91" s="60" t="str">
        <x:f>IF($A91="","",IFERROR(VLOOKUP($B91,Setup!$A$7:$H$23,6,FALSE),""))</x:f>
      </x:c>
      <x:c r="I91" s="60" t="str">
        <x:f>IF($A91="","",$C91*$H91)</x:f>
      </x:c>
      <x:c r="J91" s="60" t="str">
        <x:f>IF($A91="","",$E91-$I91)</x:f>
      </x:c>
      <x:c r="K91" s="66" t="str">
        <x:f>IF($A91="","",IFERROR(VLOOKUP($A91,Invoices!$A$7:$W$156,2,FALSE),""))</x:f>
      </x:c>
      <x:c r="L91" s="52" t="str">
        <x:f>IF($A91="","",IFERROR(VLOOKUP($A91,Invoices!$A$7:$W$156,3,FALSE),""))</x:f>
      </x:c>
      <x:c r="M91" s="52" t="str">
        <x:f>IF($A91="","",IFERROR(VLOOKUP($A91,Invoices!$A$7:$W$156,4,FALSE),""))</x:f>
      </x:c>
      <x:c r="N91" s="52" t="str">
        <x:f>IF($A91="","",IFERROR(VLOOKUP($A91,Invoices!$A$7:$W$156,5,FALSE),""))</x:f>
      </x:c>
      <x:c r="O91" s="52" t="str">
        <x:f>IF($A91="","",IF(OR($B91="",$C91&lt;=0,$D91&lt;0,$F91="",$K91="",COUNTIFS($A$7:$A$306,$A91,$B$7:$B$306,$B91)&gt;1),"REVIEW","OK"))</x:f>
      </x:c>
    </x:row>
    <x:row r="92">
      <x:c r="A92" s="46"/>
      <x:c r="B92" s="46"/>
      <x:c r="C92" s="68"/>
      <x:c r="D92" s="58"/>
      <x:c r="E92" s="60" t="str">
        <x:f>IF($A92="","",$C92*$D92)</x:f>
      </x:c>
      <x:c r="F92" s="104" t="str">
        <x:f>IF($A92="","",IFERROR(VLOOKUP($B92,Setup!$A$7:$H$23,2,FALSE),""))</x:f>
      </x:c>
      <x:c r="G92" s="52" t="str">
        <x:f>IF($A92="","",IFERROR(VLOOKUP($B92,Setup!$A$7:$H$23,5,FALSE),""))</x:f>
      </x:c>
      <x:c r="H92" s="60" t="str">
        <x:f>IF($A92="","",IFERROR(VLOOKUP($B92,Setup!$A$7:$H$23,6,FALSE),""))</x:f>
      </x:c>
      <x:c r="I92" s="60" t="str">
        <x:f>IF($A92="","",$C92*$H92)</x:f>
      </x:c>
      <x:c r="J92" s="60" t="str">
        <x:f>IF($A92="","",$E92-$I92)</x:f>
      </x:c>
      <x:c r="K92" s="66" t="str">
        <x:f>IF($A92="","",IFERROR(VLOOKUP($A92,Invoices!$A$7:$W$156,2,FALSE),""))</x:f>
      </x:c>
      <x:c r="L92" s="52" t="str">
        <x:f>IF($A92="","",IFERROR(VLOOKUP($A92,Invoices!$A$7:$W$156,3,FALSE),""))</x:f>
      </x:c>
      <x:c r="M92" s="52" t="str">
        <x:f>IF($A92="","",IFERROR(VLOOKUP($A92,Invoices!$A$7:$W$156,4,FALSE),""))</x:f>
      </x:c>
      <x:c r="N92" s="52" t="str">
        <x:f>IF($A92="","",IFERROR(VLOOKUP($A92,Invoices!$A$7:$W$156,5,FALSE),""))</x:f>
      </x:c>
      <x:c r="O92" s="52" t="str">
        <x:f>IF($A92="","",IF(OR($B92="",$C92&lt;=0,$D92&lt;0,$F92="",$K92="",COUNTIFS($A$7:$A$306,$A92,$B$7:$B$306,$B92)&gt;1),"REVIEW","OK"))</x:f>
      </x:c>
    </x:row>
    <x:row r="93">
      <x:c r="A93" s="46"/>
      <x:c r="B93" s="46"/>
      <x:c r="C93" s="68"/>
      <x:c r="D93" s="58"/>
      <x:c r="E93" s="60" t="str">
        <x:f>IF($A93="","",$C93*$D93)</x:f>
      </x:c>
      <x:c r="F93" s="104" t="str">
        <x:f>IF($A93="","",IFERROR(VLOOKUP($B93,Setup!$A$7:$H$23,2,FALSE),""))</x:f>
      </x:c>
      <x:c r="G93" s="52" t="str">
        <x:f>IF($A93="","",IFERROR(VLOOKUP($B93,Setup!$A$7:$H$23,5,FALSE),""))</x:f>
      </x:c>
      <x:c r="H93" s="60" t="str">
        <x:f>IF($A93="","",IFERROR(VLOOKUP($B93,Setup!$A$7:$H$23,6,FALSE),""))</x:f>
      </x:c>
      <x:c r="I93" s="60" t="str">
        <x:f>IF($A93="","",$C93*$H93)</x:f>
      </x:c>
      <x:c r="J93" s="60" t="str">
        <x:f>IF($A93="","",$E93-$I93)</x:f>
      </x:c>
      <x:c r="K93" s="66" t="str">
        <x:f>IF($A93="","",IFERROR(VLOOKUP($A93,Invoices!$A$7:$W$156,2,FALSE),""))</x:f>
      </x:c>
      <x:c r="L93" s="52" t="str">
        <x:f>IF($A93="","",IFERROR(VLOOKUP($A93,Invoices!$A$7:$W$156,3,FALSE),""))</x:f>
      </x:c>
      <x:c r="M93" s="52" t="str">
        <x:f>IF($A93="","",IFERROR(VLOOKUP($A93,Invoices!$A$7:$W$156,4,FALSE),""))</x:f>
      </x:c>
      <x:c r="N93" s="52" t="str">
        <x:f>IF($A93="","",IFERROR(VLOOKUP($A93,Invoices!$A$7:$W$156,5,FALSE),""))</x:f>
      </x:c>
      <x:c r="O93" s="52" t="str">
        <x:f>IF($A93="","",IF(OR($B93="",$C93&lt;=0,$D93&lt;0,$F93="",$K93="",COUNTIFS($A$7:$A$306,$A93,$B$7:$B$306,$B93)&gt;1),"REVIEW","OK"))</x:f>
      </x:c>
    </x:row>
    <x:row r="94">
      <x:c r="A94" s="46"/>
      <x:c r="B94" s="46"/>
      <x:c r="C94" s="68"/>
      <x:c r="D94" s="58"/>
      <x:c r="E94" s="60" t="str">
        <x:f>IF($A94="","",$C94*$D94)</x:f>
      </x:c>
      <x:c r="F94" s="104" t="str">
        <x:f>IF($A94="","",IFERROR(VLOOKUP($B94,Setup!$A$7:$H$23,2,FALSE),""))</x:f>
      </x:c>
      <x:c r="G94" s="52" t="str">
        <x:f>IF($A94="","",IFERROR(VLOOKUP($B94,Setup!$A$7:$H$23,5,FALSE),""))</x:f>
      </x:c>
      <x:c r="H94" s="60" t="str">
        <x:f>IF($A94="","",IFERROR(VLOOKUP($B94,Setup!$A$7:$H$23,6,FALSE),""))</x:f>
      </x:c>
      <x:c r="I94" s="60" t="str">
        <x:f>IF($A94="","",$C94*$H94)</x:f>
      </x:c>
      <x:c r="J94" s="60" t="str">
        <x:f>IF($A94="","",$E94-$I94)</x:f>
      </x:c>
      <x:c r="K94" s="66" t="str">
        <x:f>IF($A94="","",IFERROR(VLOOKUP($A94,Invoices!$A$7:$W$156,2,FALSE),""))</x:f>
      </x:c>
      <x:c r="L94" s="52" t="str">
        <x:f>IF($A94="","",IFERROR(VLOOKUP($A94,Invoices!$A$7:$W$156,3,FALSE),""))</x:f>
      </x:c>
      <x:c r="M94" s="52" t="str">
        <x:f>IF($A94="","",IFERROR(VLOOKUP($A94,Invoices!$A$7:$W$156,4,FALSE),""))</x:f>
      </x:c>
      <x:c r="N94" s="52" t="str">
        <x:f>IF($A94="","",IFERROR(VLOOKUP($A94,Invoices!$A$7:$W$156,5,FALSE),""))</x:f>
      </x:c>
      <x:c r="O94" s="52" t="str">
        <x:f>IF($A94="","",IF(OR($B94="",$C94&lt;=0,$D94&lt;0,$F94="",$K94="",COUNTIFS($A$7:$A$306,$A94,$B$7:$B$306,$B94)&gt;1),"REVIEW","OK"))</x:f>
      </x:c>
    </x:row>
    <x:row r="95">
      <x:c r="A95" s="46"/>
      <x:c r="B95" s="46"/>
      <x:c r="C95" s="68"/>
      <x:c r="D95" s="58"/>
      <x:c r="E95" s="60" t="str">
        <x:f>IF($A95="","",$C95*$D95)</x:f>
      </x:c>
      <x:c r="F95" s="104" t="str">
        <x:f>IF($A95="","",IFERROR(VLOOKUP($B95,Setup!$A$7:$H$23,2,FALSE),""))</x:f>
      </x:c>
      <x:c r="G95" s="52" t="str">
        <x:f>IF($A95="","",IFERROR(VLOOKUP($B95,Setup!$A$7:$H$23,5,FALSE),""))</x:f>
      </x:c>
      <x:c r="H95" s="60" t="str">
        <x:f>IF($A95="","",IFERROR(VLOOKUP($B95,Setup!$A$7:$H$23,6,FALSE),""))</x:f>
      </x:c>
      <x:c r="I95" s="60" t="str">
        <x:f>IF($A95="","",$C95*$H95)</x:f>
      </x:c>
      <x:c r="J95" s="60" t="str">
        <x:f>IF($A95="","",$E95-$I95)</x:f>
      </x:c>
      <x:c r="K95" s="66" t="str">
        <x:f>IF($A95="","",IFERROR(VLOOKUP($A95,Invoices!$A$7:$W$156,2,FALSE),""))</x:f>
      </x:c>
      <x:c r="L95" s="52" t="str">
        <x:f>IF($A95="","",IFERROR(VLOOKUP($A95,Invoices!$A$7:$W$156,3,FALSE),""))</x:f>
      </x:c>
      <x:c r="M95" s="52" t="str">
        <x:f>IF($A95="","",IFERROR(VLOOKUP($A95,Invoices!$A$7:$W$156,4,FALSE),""))</x:f>
      </x:c>
      <x:c r="N95" s="52" t="str">
        <x:f>IF($A95="","",IFERROR(VLOOKUP($A95,Invoices!$A$7:$W$156,5,FALSE),""))</x:f>
      </x:c>
      <x:c r="O95" s="52" t="str">
        <x:f>IF($A95="","",IF(OR($B95="",$C95&lt;=0,$D95&lt;0,$F95="",$K95="",COUNTIFS($A$7:$A$306,$A95,$B$7:$B$306,$B95)&gt;1),"REVIEW","OK"))</x:f>
      </x:c>
    </x:row>
    <x:row r="96">
      <x:c r="A96" s="46"/>
      <x:c r="B96" s="46"/>
      <x:c r="C96" s="68"/>
      <x:c r="D96" s="58"/>
      <x:c r="E96" s="60" t="str">
        <x:f>IF($A96="","",$C96*$D96)</x:f>
      </x:c>
      <x:c r="F96" s="104" t="str">
        <x:f>IF($A96="","",IFERROR(VLOOKUP($B96,Setup!$A$7:$H$23,2,FALSE),""))</x:f>
      </x:c>
      <x:c r="G96" s="52" t="str">
        <x:f>IF($A96="","",IFERROR(VLOOKUP($B96,Setup!$A$7:$H$23,5,FALSE),""))</x:f>
      </x:c>
      <x:c r="H96" s="60" t="str">
        <x:f>IF($A96="","",IFERROR(VLOOKUP($B96,Setup!$A$7:$H$23,6,FALSE),""))</x:f>
      </x:c>
      <x:c r="I96" s="60" t="str">
        <x:f>IF($A96="","",$C96*$H96)</x:f>
      </x:c>
      <x:c r="J96" s="60" t="str">
        <x:f>IF($A96="","",$E96-$I96)</x:f>
      </x:c>
      <x:c r="K96" s="66" t="str">
        <x:f>IF($A96="","",IFERROR(VLOOKUP($A96,Invoices!$A$7:$W$156,2,FALSE),""))</x:f>
      </x:c>
      <x:c r="L96" s="52" t="str">
        <x:f>IF($A96="","",IFERROR(VLOOKUP($A96,Invoices!$A$7:$W$156,3,FALSE),""))</x:f>
      </x:c>
      <x:c r="M96" s="52" t="str">
        <x:f>IF($A96="","",IFERROR(VLOOKUP($A96,Invoices!$A$7:$W$156,4,FALSE),""))</x:f>
      </x:c>
      <x:c r="N96" s="52" t="str">
        <x:f>IF($A96="","",IFERROR(VLOOKUP($A96,Invoices!$A$7:$W$156,5,FALSE),""))</x:f>
      </x:c>
      <x:c r="O96" s="52" t="str">
        <x:f>IF($A96="","",IF(OR($B96="",$C96&lt;=0,$D96&lt;0,$F96="",$K96="",COUNTIFS($A$7:$A$306,$A96,$B$7:$B$306,$B96)&gt;1),"REVIEW","OK"))</x:f>
      </x:c>
    </x:row>
    <x:row r="97">
      <x:c r="A97" s="46"/>
      <x:c r="B97" s="46"/>
      <x:c r="C97" s="68"/>
      <x:c r="D97" s="58"/>
      <x:c r="E97" s="60" t="str">
        <x:f>IF($A97="","",$C97*$D97)</x:f>
      </x:c>
      <x:c r="F97" s="104" t="str">
        <x:f>IF($A97="","",IFERROR(VLOOKUP($B97,Setup!$A$7:$H$23,2,FALSE),""))</x:f>
      </x:c>
      <x:c r="G97" s="52" t="str">
        <x:f>IF($A97="","",IFERROR(VLOOKUP($B97,Setup!$A$7:$H$23,5,FALSE),""))</x:f>
      </x:c>
      <x:c r="H97" s="60" t="str">
        <x:f>IF($A97="","",IFERROR(VLOOKUP($B97,Setup!$A$7:$H$23,6,FALSE),""))</x:f>
      </x:c>
      <x:c r="I97" s="60" t="str">
        <x:f>IF($A97="","",$C97*$H97)</x:f>
      </x:c>
      <x:c r="J97" s="60" t="str">
        <x:f>IF($A97="","",$E97-$I97)</x:f>
      </x:c>
      <x:c r="K97" s="66" t="str">
        <x:f>IF($A97="","",IFERROR(VLOOKUP($A97,Invoices!$A$7:$W$156,2,FALSE),""))</x:f>
      </x:c>
      <x:c r="L97" s="52" t="str">
        <x:f>IF($A97="","",IFERROR(VLOOKUP($A97,Invoices!$A$7:$W$156,3,FALSE),""))</x:f>
      </x:c>
      <x:c r="M97" s="52" t="str">
        <x:f>IF($A97="","",IFERROR(VLOOKUP($A97,Invoices!$A$7:$W$156,4,FALSE),""))</x:f>
      </x:c>
      <x:c r="N97" s="52" t="str">
        <x:f>IF($A97="","",IFERROR(VLOOKUP($A97,Invoices!$A$7:$W$156,5,FALSE),""))</x:f>
      </x:c>
      <x:c r="O97" s="52" t="str">
        <x:f>IF($A97="","",IF(OR($B97="",$C97&lt;=0,$D97&lt;0,$F97="",$K97="",COUNTIFS($A$7:$A$306,$A97,$B$7:$B$306,$B97)&gt;1),"REVIEW","OK"))</x:f>
      </x:c>
    </x:row>
    <x:row r="98">
      <x:c r="A98" s="46"/>
      <x:c r="B98" s="46"/>
      <x:c r="C98" s="68"/>
      <x:c r="D98" s="58"/>
      <x:c r="E98" s="60" t="str">
        <x:f>IF($A98="","",$C98*$D98)</x:f>
      </x:c>
      <x:c r="F98" s="104" t="str">
        <x:f>IF($A98="","",IFERROR(VLOOKUP($B98,Setup!$A$7:$H$23,2,FALSE),""))</x:f>
      </x:c>
      <x:c r="G98" s="52" t="str">
        <x:f>IF($A98="","",IFERROR(VLOOKUP($B98,Setup!$A$7:$H$23,5,FALSE),""))</x:f>
      </x:c>
      <x:c r="H98" s="60" t="str">
        <x:f>IF($A98="","",IFERROR(VLOOKUP($B98,Setup!$A$7:$H$23,6,FALSE),""))</x:f>
      </x:c>
      <x:c r="I98" s="60" t="str">
        <x:f>IF($A98="","",$C98*$H98)</x:f>
      </x:c>
      <x:c r="J98" s="60" t="str">
        <x:f>IF($A98="","",$E98-$I98)</x:f>
      </x:c>
      <x:c r="K98" s="66" t="str">
        <x:f>IF($A98="","",IFERROR(VLOOKUP($A98,Invoices!$A$7:$W$156,2,FALSE),""))</x:f>
      </x:c>
      <x:c r="L98" s="52" t="str">
        <x:f>IF($A98="","",IFERROR(VLOOKUP($A98,Invoices!$A$7:$W$156,3,FALSE),""))</x:f>
      </x:c>
      <x:c r="M98" s="52" t="str">
        <x:f>IF($A98="","",IFERROR(VLOOKUP($A98,Invoices!$A$7:$W$156,4,FALSE),""))</x:f>
      </x:c>
      <x:c r="N98" s="52" t="str">
        <x:f>IF($A98="","",IFERROR(VLOOKUP($A98,Invoices!$A$7:$W$156,5,FALSE),""))</x:f>
      </x:c>
      <x:c r="O98" s="52" t="str">
        <x:f>IF($A98="","",IF(OR($B98="",$C98&lt;=0,$D98&lt;0,$F98="",$K98="",COUNTIFS($A$7:$A$306,$A98,$B$7:$B$306,$B98)&gt;1),"REVIEW","OK"))</x:f>
      </x:c>
    </x:row>
    <x:row r="99">
      <x:c r="A99" s="46"/>
      <x:c r="B99" s="46"/>
      <x:c r="C99" s="68"/>
      <x:c r="D99" s="58"/>
      <x:c r="E99" s="60" t="str">
        <x:f>IF($A99="","",$C99*$D99)</x:f>
      </x:c>
      <x:c r="F99" s="104" t="str">
        <x:f>IF($A99="","",IFERROR(VLOOKUP($B99,Setup!$A$7:$H$23,2,FALSE),""))</x:f>
      </x:c>
      <x:c r="G99" s="52" t="str">
        <x:f>IF($A99="","",IFERROR(VLOOKUP($B99,Setup!$A$7:$H$23,5,FALSE),""))</x:f>
      </x:c>
      <x:c r="H99" s="60" t="str">
        <x:f>IF($A99="","",IFERROR(VLOOKUP($B99,Setup!$A$7:$H$23,6,FALSE),""))</x:f>
      </x:c>
      <x:c r="I99" s="60" t="str">
        <x:f>IF($A99="","",$C99*$H99)</x:f>
      </x:c>
      <x:c r="J99" s="60" t="str">
        <x:f>IF($A99="","",$E99-$I99)</x:f>
      </x:c>
      <x:c r="K99" s="66" t="str">
        <x:f>IF($A99="","",IFERROR(VLOOKUP($A99,Invoices!$A$7:$W$156,2,FALSE),""))</x:f>
      </x:c>
      <x:c r="L99" s="52" t="str">
        <x:f>IF($A99="","",IFERROR(VLOOKUP($A99,Invoices!$A$7:$W$156,3,FALSE),""))</x:f>
      </x:c>
      <x:c r="M99" s="52" t="str">
        <x:f>IF($A99="","",IFERROR(VLOOKUP($A99,Invoices!$A$7:$W$156,4,FALSE),""))</x:f>
      </x:c>
      <x:c r="N99" s="52" t="str">
        <x:f>IF($A99="","",IFERROR(VLOOKUP($A99,Invoices!$A$7:$W$156,5,FALSE),""))</x:f>
      </x:c>
      <x:c r="O99" s="52" t="str">
        <x:f>IF($A99="","",IF(OR($B99="",$C99&lt;=0,$D99&lt;0,$F99="",$K99="",COUNTIFS($A$7:$A$306,$A99,$B$7:$B$306,$B99)&gt;1),"REVIEW","OK"))</x:f>
      </x:c>
    </x:row>
    <x:row r="100">
      <x:c r="A100" s="46"/>
      <x:c r="B100" s="46"/>
      <x:c r="C100" s="68"/>
      <x:c r="D100" s="58"/>
      <x:c r="E100" s="60" t="str">
        <x:f>IF($A100="","",$C100*$D100)</x:f>
      </x:c>
      <x:c r="F100" s="104" t="str">
        <x:f>IF($A100="","",IFERROR(VLOOKUP($B100,Setup!$A$7:$H$23,2,FALSE),""))</x:f>
      </x:c>
      <x:c r="G100" s="52" t="str">
        <x:f>IF($A100="","",IFERROR(VLOOKUP($B100,Setup!$A$7:$H$23,5,FALSE),""))</x:f>
      </x:c>
      <x:c r="H100" s="60" t="str">
        <x:f>IF($A100="","",IFERROR(VLOOKUP($B100,Setup!$A$7:$H$23,6,FALSE),""))</x:f>
      </x:c>
      <x:c r="I100" s="60" t="str">
        <x:f>IF($A100="","",$C100*$H100)</x:f>
      </x:c>
      <x:c r="J100" s="60" t="str">
        <x:f>IF($A100="","",$E100-$I100)</x:f>
      </x:c>
      <x:c r="K100" s="66" t="str">
        <x:f>IF($A100="","",IFERROR(VLOOKUP($A100,Invoices!$A$7:$W$156,2,FALSE),""))</x:f>
      </x:c>
      <x:c r="L100" s="52" t="str">
        <x:f>IF($A100="","",IFERROR(VLOOKUP($A100,Invoices!$A$7:$W$156,3,FALSE),""))</x:f>
      </x:c>
      <x:c r="M100" s="52" t="str">
        <x:f>IF($A100="","",IFERROR(VLOOKUP($A100,Invoices!$A$7:$W$156,4,FALSE),""))</x:f>
      </x:c>
      <x:c r="N100" s="52" t="str">
        <x:f>IF($A100="","",IFERROR(VLOOKUP($A100,Invoices!$A$7:$W$156,5,FALSE),""))</x:f>
      </x:c>
      <x:c r="O100" s="52" t="str">
        <x:f>IF($A100="","",IF(OR($B100="",$C100&lt;=0,$D100&lt;0,$F100="",$K100="",COUNTIFS($A$7:$A$306,$A100,$B$7:$B$306,$B100)&gt;1),"REVIEW","OK"))</x:f>
      </x:c>
    </x:row>
    <x:row r="101">
      <x:c r="A101" s="46"/>
      <x:c r="B101" s="46"/>
      <x:c r="C101" s="68"/>
      <x:c r="D101" s="58"/>
      <x:c r="E101" s="60" t="str">
        <x:f>IF($A101="","",$C101*$D101)</x:f>
      </x:c>
      <x:c r="F101" s="104" t="str">
        <x:f>IF($A101="","",IFERROR(VLOOKUP($B101,Setup!$A$7:$H$23,2,FALSE),""))</x:f>
      </x:c>
      <x:c r="G101" s="52" t="str">
        <x:f>IF($A101="","",IFERROR(VLOOKUP($B101,Setup!$A$7:$H$23,5,FALSE),""))</x:f>
      </x:c>
      <x:c r="H101" s="60" t="str">
        <x:f>IF($A101="","",IFERROR(VLOOKUP($B101,Setup!$A$7:$H$23,6,FALSE),""))</x:f>
      </x:c>
      <x:c r="I101" s="60" t="str">
        <x:f>IF($A101="","",$C101*$H101)</x:f>
      </x:c>
      <x:c r="J101" s="60" t="str">
        <x:f>IF($A101="","",$E101-$I101)</x:f>
      </x:c>
      <x:c r="K101" s="66" t="str">
        <x:f>IF($A101="","",IFERROR(VLOOKUP($A101,Invoices!$A$7:$W$156,2,FALSE),""))</x:f>
      </x:c>
      <x:c r="L101" s="52" t="str">
        <x:f>IF($A101="","",IFERROR(VLOOKUP($A101,Invoices!$A$7:$W$156,3,FALSE),""))</x:f>
      </x:c>
      <x:c r="M101" s="52" t="str">
        <x:f>IF($A101="","",IFERROR(VLOOKUP($A101,Invoices!$A$7:$W$156,4,FALSE),""))</x:f>
      </x:c>
      <x:c r="N101" s="52" t="str">
        <x:f>IF($A101="","",IFERROR(VLOOKUP($A101,Invoices!$A$7:$W$156,5,FALSE),""))</x:f>
      </x:c>
      <x:c r="O101" s="52" t="str">
        <x:f>IF($A101="","",IF(OR($B101="",$C101&lt;=0,$D101&lt;0,$F101="",$K101="",COUNTIFS($A$7:$A$306,$A101,$B$7:$B$306,$B101)&gt;1),"REVIEW","OK"))</x:f>
      </x:c>
    </x:row>
    <x:row r="102">
      <x:c r="A102" s="46"/>
      <x:c r="B102" s="46"/>
      <x:c r="C102" s="68"/>
      <x:c r="D102" s="58"/>
      <x:c r="E102" s="60" t="str">
        <x:f>IF($A102="","",$C102*$D102)</x:f>
      </x:c>
      <x:c r="F102" s="104" t="str">
        <x:f>IF($A102="","",IFERROR(VLOOKUP($B102,Setup!$A$7:$H$23,2,FALSE),""))</x:f>
      </x:c>
      <x:c r="G102" s="52" t="str">
        <x:f>IF($A102="","",IFERROR(VLOOKUP($B102,Setup!$A$7:$H$23,5,FALSE),""))</x:f>
      </x:c>
      <x:c r="H102" s="60" t="str">
        <x:f>IF($A102="","",IFERROR(VLOOKUP($B102,Setup!$A$7:$H$23,6,FALSE),""))</x:f>
      </x:c>
      <x:c r="I102" s="60" t="str">
        <x:f>IF($A102="","",$C102*$H102)</x:f>
      </x:c>
      <x:c r="J102" s="60" t="str">
        <x:f>IF($A102="","",$E102-$I102)</x:f>
      </x:c>
      <x:c r="K102" s="66" t="str">
        <x:f>IF($A102="","",IFERROR(VLOOKUP($A102,Invoices!$A$7:$W$156,2,FALSE),""))</x:f>
      </x:c>
      <x:c r="L102" s="52" t="str">
        <x:f>IF($A102="","",IFERROR(VLOOKUP($A102,Invoices!$A$7:$W$156,3,FALSE),""))</x:f>
      </x:c>
      <x:c r="M102" s="52" t="str">
        <x:f>IF($A102="","",IFERROR(VLOOKUP($A102,Invoices!$A$7:$W$156,4,FALSE),""))</x:f>
      </x:c>
      <x:c r="N102" s="52" t="str">
        <x:f>IF($A102="","",IFERROR(VLOOKUP($A102,Invoices!$A$7:$W$156,5,FALSE),""))</x:f>
      </x:c>
      <x:c r="O102" s="52" t="str">
        <x:f>IF($A102="","",IF(OR($B102="",$C102&lt;=0,$D102&lt;0,$F102="",$K102="",COUNTIFS($A$7:$A$306,$A102,$B$7:$B$306,$B102)&gt;1),"REVIEW","OK"))</x:f>
      </x:c>
    </x:row>
    <x:row r="103">
      <x:c r="A103" s="46"/>
      <x:c r="B103" s="46"/>
      <x:c r="C103" s="68"/>
      <x:c r="D103" s="58"/>
      <x:c r="E103" s="60" t="str">
        <x:f>IF($A103="","",$C103*$D103)</x:f>
      </x:c>
      <x:c r="F103" s="104" t="str">
        <x:f>IF($A103="","",IFERROR(VLOOKUP($B103,Setup!$A$7:$H$23,2,FALSE),""))</x:f>
      </x:c>
      <x:c r="G103" s="52" t="str">
        <x:f>IF($A103="","",IFERROR(VLOOKUP($B103,Setup!$A$7:$H$23,5,FALSE),""))</x:f>
      </x:c>
      <x:c r="H103" s="60" t="str">
        <x:f>IF($A103="","",IFERROR(VLOOKUP($B103,Setup!$A$7:$H$23,6,FALSE),""))</x:f>
      </x:c>
      <x:c r="I103" s="60" t="str">
        <x:f>IF($A103="","",$C103*$H103)</x:f>
      </x:c>
      <x:c r="J103" s="60" t="str">
        <x:f>IF($A103="","",$E103-$I103)</x:f>
      </x:c>
      <x:c r="K103" s="66" t="str">
        <x:f>IF($A103="","",IFERROR(VLOOKUP($A103,Invoices!$A$7:$W$156,2,FALSE),""))</x:f>
      </x:c>
      <x:c r="L103" s="52" t="str">
        <x:f>IF($A103="","",IFERROR(VLOOKUP($A103,Invoices!$A$7:$W$156,3,FALSE),""))</x:f>
      </x:c>
      <x:c r="M103" s="52" t="str">
        <x:f>IF($A103="","",IFERROR(VLOOKUP($A103,Invoices!$A$7:$W$156,4,FALSE),""))</x:f>
      </x:c>
      <x:c r="N103" s="52" t="str">
        <x:f>IF($A103="","",IFERROR(VLOOKUP($A103,Invoices!$A$7:$W$156,5,FALSE),""))</x:f>
      </x:c>
      <x:c r="O103" s="52" t="str">
        <x:f>IF($A103="","",IF(OR($B103="",$C103&lt;=0,$D103&lt;0,$F103="",$K103="",COUNTIFS($A$7:$A$306,$A103,$B$7:$B$306,$B103)&gt;1),"REVIEW","OK"))</x:f>
      </x:c>
    </x:row>
    <x:row r="104">
      <x:c r="A104" s="46"/>
      <x:c r="B104" s="46"/>
      <x:c r="C104" s="68"/>
      <x:c r="D104" s="58"/>
      <x:c r="E104" s="60" t="str">
        <x:f>IF($A104="","",$C104*$D104)</x:f>
      </x:c>
      <x:c r="F104" s="104" t="str">
        <x:f>IF($A104="","",IFERROR(VLOOKUP($B104,Setup!$A$7:$H$23,2,FALSE),""))</x:f>
      </x:c>
      <x:c r="G104" s="52" t="str">
        <x:f>IF($A104="","",IFERROR(VLOOKUP($B104,Setup!$A$7:$H$23,5,FALSE),""))</x:f>
      </x:c>
      <x:c r="H104" s="60" t="str">
        <x:f>IF($A104="","",IFERROR(VLOOKUP($B104,Setup!$A$7:$H$23,6,FALSE),""))</x:f>
      </x:c>
      <x:c r="I104" s="60" t="str">
        <x:f>IF($A104="","",$C104*$H104)</x:f>
      </x:c>
      <x:c r="J104" s="60" t="str">
        <x:f>IF($A104="","",$E104-$I104)</x:f>
      </x:c>
      <x:c r="K104" s="66" t="str">
        <x:f>IF($A104="","",IFERROR(VLOOKUP($A104,Invoices!$A$7:$W$156,2,FALSE),""))</x:f>
      </x:c>
      <x:c r="L104" s="52" t="str">
        <x:f>IF($A104="","",IFERROR(VLOOKUP($A104,Invoices!$A$7:$W$156,3,FALSE),""))</x:f>
      </x:c>
      <x:c r="M104" s="52" t="str">
        <x:f>IF($A104="","",IFERROR(VLOOKUP($A104,Invoices!$A$7:$W$156,4,FALSE),""))</x:f>
      </x:c>
      <x:c r="N104" s="52" t="str">
        <x:f>IF($A104="","",IFERROR(VLOOKUP($A104,Invoices!$A$7:$W$156,5,FALSE),""))</x:f>
      </x:c>
      <x:c r="O104" s="52" t="str">
        <x:f>IF($A104="","",IF(OR($B104="",$C104&lt;=0,$D104&lt;0,$F104="",$K104="",COUNTIFS($A$7:$A$306,$A104,$B$7:$B$306,$B104)&gt;1),"REVIEW","OK"))</x:f>
      </x:c>
    </x:row>
    <x:row r="105">
      <x:c r="A105" s="46"/>
      <x:c r="B105" s="46"/>
      <x:c r="C105" s="68"/>
      <x:c r="D105" s="58"/>
      <x:c r="E105" s="60" t="str">
        <x:f>IF($A105="","",$C105*$D105)</x:f>
      </x:c>
      <x:c r="F105" s="104" t="str">
        <x:f>IF($A105="","",IFERROR(VLOOKUP($B105,Setup!$A$7:$H$23,2,FALSE),""))</x:f>
      </x:c>
      <x:c r="G105" s="52" t="str">
        <x:f>IF($A105="","",IFERROR(VLOOKUP($B105,Setup!$A$7:$H$23,5,FALSE),""))</x:f>
      </x:c>
      <x:c r="H105" s="60" t="str">
        <x:f>IF($A105="","",IFERROR(VLOOKUP($B105,Setup!$A$7:$H$23,6,FALSE),""))</x:f>
      </x:c>
      <x:c r="I105" s="60" t="str">
        <x:f>IF($A105="","",$C105*$H105)</x:f>
      </x:c>
      <x:c r="J105" s="60" t="str">
        <x:f>IF($A105="","",$E105-$I105)</x:f>
      </x:c>
      <x:c r="K105" s="66" t="str">
        <x:f>IF($A105="","",IFERROR(VLOOKUP($A105,Invoices!$A$7:$W$156,2,FALSE),""))</x:f>
      </x:c>
      <x:c r="L105" s="52" t="str">
        <x:f>IF($A105="","",IFERROR(VLOOKUP($A105,Invoices!$A$7:$W$156,3,FALSE),""))</x:f>
      </x:c>
      <x:c r="M105" s="52" t="str">
        <x:f>IF($A105="","",IFERROR(VLOOKUP($A105,Invoices!$A$7:$W$156,4,FALSE),""))</x:f>
      </x:c>
      <x:c r="N105" s="52" t="str">
        <x:f>IF($A105="","",IFERROR(VLOOKUP($A105,Invoices!$A$7:$W$156,5,FALSE),""))</x:f>
      </x:c>
      <x:c r="O105" s="52" t="str">
        <x:f>IF($A105="","",IF(OR($B105="",$C105&lt;=0,$D105&lt;0,$F105="",$K105="",COUNTIFS($A$7:$A$306,$A105,$B$7:$B$306,$B105)&gt;1),"REVIEW","OK"))</x:f>
      </x:c>
    </x:row>
    <x:row r="106">
      <x:c r="A106" s="46"/>
      <x:c r="B106" s="46"/>
      <x:c r="C106" s="68"/>
      <x:c r="D106" s="58"/>
      <x:c r="E106" s="60" t="str">
        <x:f>IF($A106="","",$C106*$D106)</x:f>
      </x:c>
      <x:c r="F106" s="104" t="str">
        <x:f>IF($A106="","",IFERROR(VLOOKUP($B106,Setup!$A$7:$H$23,2,FALSE),""))</x:f>
      </x:c>
      <x:c r="G106" s="52" t="str">
        <x:f>IF($A106="","",IFERROR(VLOOKUP($B106,Setup!$A$7:$H$23,5,FALSE),""))</x:f>
      </x:c>
      <x:c r="H106" s="60" t="str">
        <x:f>IF($A106="","",IFERROR(VLOOKUP($B106,Setup!$A$7:$H$23,6,FALSE),""))</x:f>
      </x:c>
      <x:c r="I106" s="60" t="str">
        <x:f>IF($A106="","",$C106*$H106)</x:f>
      </x:c>
      <x:c r="J106" s="60" t="str">
        <x:f>IF($A106="","",$E106-$I106)</x:f>
      </x:c>
      <x:c r="K106" s="66" t="str">
        <x:f>IF($A106="","",IFERROR(VLOOKUP($A106,Invoices!$A$7:$W$156,2,FALSE),""))</x:f>
      </x:c>
      <x:c r="L106" s="52" t="str">
        <x:f>IF($A106="","",IFERROR(VLOOKUP($A106,Invoices!$A$7:$W$156,3,FALSE),""))</x:f>
      </x:c>
      <x:c r="M106" s="52" t="str">
        <x:f>IF($A106="","",IFERROR(VLOOKUP($A106,Invoices!$A$7:$W$156,4,FALSE),""))</x:f>
      </x:c>
      <x:c r="N106" s="52" t="str">
        <x:f>IF($A106="","",IFERROR(VLOOKUP($A106,Invoices!$A$7:$W$156,5,FALSE),""))</x:f>
      </x:c>
      <x:c r="O106" s="52" t="str">
        <x:f>IF($A106="","",IF(OR($B106="",$C106&lt;=0,$D106&lt;0,$F106="",$K106="",COUNTIFS($A$7:$A$306,$A106,$B$7:$B$306,$B106)&gt;1),"REVIEW","OK"))</x:f>
      </x:c>
    </x:row>
    <x:row r="107">
      <x:c r="A107" s="46"/>
      <x:c r="B107" s="46"/>
      <x:c r="C107" s="68"/>
      <x:c r="D107" s="58"/>
      <x:c r="E107" s="60" t="str">
        <x:f>IF($A107="","",$C107*$D107)</x:f>
      </x:c>
      <x:c r="F107" s="104" t="str">
        <x:f>IF($A107="","",IFERROR(VLOOKUP($B107,Setup!$A$7:$H$23,2,FALSE),""))</x:f>
      </x:c>
      <x:c r="G107" s="52" t="str">
        <x:f>IF($A107="","",IFERROR(VLOOKUP($B107,Setup!$A$7:$H$23,5,FALSE),""))</x:f>
      </x:c>
      <x:c r="H107" s="60" t="str">
        <x:f>IF($A107="","",IFERROR(VLOOKUP($B107,Setup!$A$7:$H$23,6,FALSE),""))</x:f>
      </x:c>
      <x:c r="I107" s="60" t="str">
        <x:f>IF($A107="","",$C107*$H107)</x:f>
      </x:c>
      <x:c r="J107" s="60" t="str">
        <x:f>IF($A107="","",$E107-$I107)</x:f>
      </x:c>
      <x:c r="K107" s="66" t="str">
        <x:f>IF($A107="","",IFERROR(VLOOKUP($A107,Invoices!$A$7:$W$156,2,FALSE),""))</x:f>
      </x:c>
      <x:c r="L107" s="52" t="str">
        <x:f>IF($A107="","",IFERROR(VLOOKUP($A107,Invoices!$A$7:$W$156,3,FALSE),""))</x:f>
      </x:c>
      <x:c r="M107" s="52" t="str">
        <x:f>IF($A107="","",IFERROR(VLOOKUP($A107,Invoices!$A$7:$W$156,4,FALSE),""))</x:f>
      </x:c>
      <x:c r="N107" s="52" t="str">
        <x:f>IF($A107="","",IFERROR(VLOOKUP($A107,Invoices!$A$7:$W$156,5,FALSE),""))</x:f>
      </x:c>
      <x:c r="O107" s="52" t="str">
        <x:f>IF($A107="","",IF(OR($B107="",$C107&lt;=0,$D107&lt;0,$F107="",$K107="",COUNTIFS($A$7:$A$306,$A107,$B$7:$B$306,$B107)&gt;1),"REVIEW","OK"))</x:f>
      </x:c>
    </x:row>
    <x:row r="108">
      <x:c r="A108" s="46"/>
      <x:c r="B108" s="46"/>
      <x:c r="C108" s="68"/>
      <x:c r="D108" s="58"/>
      <x:c r="E108" s="60" t="str">
        <x:f>IF($A108="","",$C108*$D108)</x:f>
      </x:c>
      <x:c r="F108" s="104" t="str">
        <x:f>IF($A108="","",IFERROR(VLOOKUP($B108,Setup!$A$7:$H$23,2,FALSE),""))</x:f>
      </x:c>
      <x:c r="G108" s="52" t="str">
        <x:f>IF($A108="","",IFERROR(VLOOKUP($B108,Setup!$A$7:$H$23,5,FALSE),""))</x:f>
      </x:c>
      <x:c r="H108" s="60" t="str">
        <x:f>IF($A108="","",IFERROR(VLOOKUP($B108,Setup!$A$7:$H$23,6,FALSE),""))</x:f>
      </x:c>
      <x:c r="I108" s="60" t="str">
        <x:f>IF($A108="","",$C108*$H108)</x:f>
      </x:c>
      <x:c r="J108" s="60" t="str">
        <x:f>IF($A108="","",$E108-$I108)</x:f>
      </x:c>
      <x:c r="K108" s="66" t="str">
        <x:f>IF($A108="","",IFERROR(VLOOKUP($A108,Invoices!$A$7:$W$156,2,FALSE),""))</x:f>
      </x:c>
      <x:c r="L108" s="52" t="str">
        <x:f>IF($A108="","",IFERROR(VLOOKUP($A108,Invoices!$A$7:$W$156,3,FALSE),""))</x:f>
      </x:c>
      <x:c r="M108" s="52" t="str">
        <x:f>IF($A108="","",IFERROR(VLOOKUP($A108,Invoices!$A$7:$W$156,4,FALSE),""))</x:f>
      </x:c>
      <x:c r="N108" s="52" t="str">
        <x:f>IF($A108="","",IFERROR(VLOOKUP($A108,Invoices!$A$7:$W$156,5,FALSE),""))</x:f>
      </x:c>
      <x:c r="O108" s="52" t="str">
        <x:f>IF($A108="","",IF(OR($B108="",$C108&lt;=0,$D108&lt;0,$F108="",$K108="",COUNTIFS($A$7:$A$306,$A108,$B$7:$B$306,$B108)&gt;1),"REVIEW","OK"))</x:f>
      </x:c>
    </x:row>
    <x:row r="109">
      <x:c r="A109" s="46"/>
      <x:c r="B109" s="46"/>
      <x:c r="C109" s="68"/>
      <x:c r="D109" s="58"/>
      <x:c r="E109" s="60" t="str">
        <x:f>IF($A109="","",$C109*$D109)</x:f>
      </x:c>
      <x:c r="F109" s="104" t="str">
        <x:f>IF($A109="","",IFERROR(VLOOKUP($B109,Setup!$A$7:$H$23,2,FALSE),""))</x:f>
      </x:c>
      <x:c r="G109" s="52" t="str">
        <x:f>IF($A109="","",IFERROR(VLOOKUP($B109,Setup!$A$7:$H$23,5,FALSE),""))</x:f>
      </x:c>
      <x:c r="H109" s="60" t="str">
        <x:f>IF($A109="","",IFERROR(VLOOKUP($B109,Setup!$A$7:$H$23,6,FALSE),""))</x:f>
      </x:c>
      <x:c r="I109" s="60" t="str">
        <x:f>IF($A109="","",$C109*$H109)</x:f>
      </x:c>
      <x:c r="J109" s="60" t="str">
        <x:f>IF($A109="","",$E109-$I109)</x:f>
      </x:c>
      <x:c r="K109" s="66" t="str">
        <x:f>IF($A109="","",IFERROR(VLOOKUP($A109,Invoices!$A$7:$W$156,2,FALSE),""))</x:f>
      </x:c>
      <x:c r="L109" s="52" t="str">
        <x:f>IF($A109="","",IFERROR(VLOOKUP($A109,Invoices!$A$7:$W$156,3,FALSE),""))</x:f>
      </x:c>
      <x:c r="M109" s="52" t="str">
        <x:f>IF($A109="","",IFERROR(VLOOKUP($A109,Invoices!$A$7:$W$156,4,FALSE),""))</x:f>
      </x:c>
      <x:c r="N109" s="52" t="str">
        <x:f>IF($A109="","",IFERROR(VLOOKUP($A109,Invoices!$A$7:$W$156,5,FALSE),""))</x:f>
      </x:c>
      <x:c r="O109" s="52" t="str">
        <x:f>IF($A109="","",IF(OR($B109="",$C109&lt;=0,$D109&lt;0,$F109="",$K109="",COUNTIFS($A$7:$A$306,$A109,$B$7:$B$306,$B109)&gt;1),"REVIEW","OK"))</x:f>
      </x:c>
    </x:row>
    <x:row r="110">
      <x:c r="A110" s="46"/>
      <x:c r="B110" s="46"/>
      <x:c r="C110" s="68"/>
      <x:c r="D110" s="58"/>
      <x:c r="E110" s="60" t="str">
        <x:f>IF($A110="","",$C110*$D110)</x:f>
      </x:c>
      <x:c r="F110" s="104" t="str">
        <x:f>IF($A110="","",IFERROR(VLOOKUP($B110,Setup!$A$7:$H$23,2,FALSE),""))</x:f>
      </x:c>
      <x:c r="G110" s="52" t="str">
        <x:f>IF($A110="","",IFERROR(VLOOKUP($B110,Setup!$A$7:$H$23,5,FALSE),""))</x:f>
      </x:c>
      <x:c r="H110" s="60" t="str">
        <x:f>IF($A110="","",IFERROR(VLOOKUP($B110,Setup!$A$7:$H$23,6,FALSE),""))</x:f>
      </x:c>
      <x:c r="I110" s="60" t="str">
        <x:f>IF($A110="","",$C110*$H110)</x:f>
      </x:c>
      <x:c r="J110" s="60" t="str">
        <x:f>IF($A110="","",$E110-$I110)</x:f>
      </x:c>
      <x:c r="K110" s="66" t="str">
        <x:f>IF($A110="","",IFERROR(VLOOKUP($A110,Invoices!$A$7:$W$156,2,FALSE),""))</x:f>
      </x:c>
      <x:c r="L110" s="52" t="str">
        <x:f>IF($A110="","",IFERROR(VLOOKUP($A110,Invoices!$A$7:$W$156,3,FALSE),""))</x:f>
      </x:c>
      <x:c r="M110" s="52" t="str">
        <x:f>IF($A110="","",IFERROR(VLOOKUP($A110,Invoices!$A$7:$W$156,4,FALSE),""))</x:f>
      </x:c>
      <x:c r="N110" s="52" t="str">
        <x:f>IF($A110="","",IFERROR(VLOOKUP($A110,Invoices!$A$7:$W$156,5,FALSE),""))</x:f>
      </x:c>
      <x:c r="O110" s="52" t="str">
        <x:f>IF($A110="","",IF(OR($B110="",$C110&lt;=0,$D110&lt;0,$F110="",$K110="",COUNTIFS($A$7:$A$306,$A110,$B$7:$B$306,$B110)&gt;1),"REVIEW","OK"))</x:f>
      </x:c>
    </x:row>
    <x:row r="111">
      <x:c r="A111" s="46"/>
      <x:c r="B111" s="46"/>
      <x:c r="C111" s="68"/>
      <x:c r="D111" s="58"/>
      <x:c r="E111" s="60" t="str">
        <x:f>IF($A111="","",$C111*$D111)</x:f>
      </x:c>
      <x:c r="F111" s="104" t="str">
        <x:f>IF($A111="","",IFERROR(VLOOKUP($B111,Setup!$A$7:$H$23,2,FALSE),""))</x:f>
      </x:c>
      <x:c r="G111" s="52" t="str">
        <x:f>IF($A111="","",IFERROR(VLOOKUP($B111,Setup!$A$7:$H$23,5,FALSE),""))</x:f>
      </x:c>
      <x:c r="H111" s="60" t="str">
        <x:f>IF($A111="","",IFERROR(VLOOKUP($B111,Setup!$A$7:$H$23,6,FALSE),""))</x:f>
      </x:c>
      <x:c r="I111" s="60" t="str">
        <x:f>IF($A111="","",$C111*$H111)</x:f>
      </x:c>
      <x:c r="J111" s="60" t="str">
        <x:f>IF($A111="","",$E111-$I111)</x:f>
      </x:c>
      <x:c r="K111" s="66" t="str">
        <x:f>IF($A111="","",IFERROR(VLOOKUP($A111,Invoices!$A$7:$W$156,2,FALSE),""))</x:f>
      </x:c>
      <x:c r="L111" s="52" t="str">
        <x:f>IF($A111="","",IFERROR(VLOOKUP($A111,Invoices!$A$7:$W$156,3,FALSE),""))</x:f>
      </x:c>
      <x:c r="M111" s="52" t="str">
        <x:f>IF($A111="","",IFERROR(VLOOKUP($A111,Invoices!$A$7:$W$156,4,FALSE),""))</x:f>
      </x:c>
      <x:c r="N111" s="52" t="str">
        <x:f>IF($A111="","",IFERROR(VLOOKUP($A111,Invoices!$A$7:$W$156,5,FALSE),""))</x:f>
      </x:c>
      <x:c r="O111" s="52" t="str">
        <x:f>IF($A111="","",IF(OR($B111="",$C111&lt;=0,$D111&lt;0,$F111="",$K111="",COUNTIFS($A$7:$A$306,$A111,$B$7:$B$306,$B111)&gt;1),"REVIEW","OK"))</x:f>
      </x:c>
    </x:row>
    <x:row r="112">
      <x:c r="A112" s="46"/>
      <x:c r="B112" s="46"/>
      <x:c r="C112" s="68"/>
      <x:c r="D112" s="58"/>
      <x:c r="E112" s="60" t="str">
        <x:f>IF($A112="","",$C112*$D112)</x:f>
      </x:c>
      <x:c r="F112" s="104" t="str">
        <x:f>IF($A112="","",IFERROR(VLOOKUP($B112,Setup!$A$7:$H$23,2,FALSE),""))</x:f>
      </x:c>
      <x:c r="G112" s="52" t="str">
        <x:f>IF($A112="","",IFERROR(VLOOKUP($B112,Setup!$A$7:$H$23,5,FALSE),""))</x:f>
      </x:c>
      <x:c r="H112" s="60" t="str">
        <x:f>IF($A112="","",IFERROR(VLOOKUP($B112,Setup!$A$7:$H$23,6,FALSE),""))</x:f>
      </x:c>
      <x:c r="I112" s="60" t="str">
        <x:f>IF($A112="","",$C112*$H112)</x:f>
      </x:c>
      <x:c r="J112" s="60" t="str">
        <x:f>IF($A112="","",$E112-$I112)</x:f>
      </x:c>
      <x:c r="K112" s="66" t="str">
        <x:f>IF($A112="","",IFERROR(VLOOKUP($A112,Invoices!$A$7:$W$156,2,FALSE),""))</x:f>
      </x:c>
      <x:c r="L112" s="52" t="str">
        <x:f>IF($A112="","",IFERROR(VLOOKUP($A112,Invoices!$A$7:$W$156,3,FALSE),""))</x:f>
      </x:c>
      <x:c r="M112" s="52" t="str">
        <x:f>IF($A112="","",IFERROR(VLOOKUP($A112,Invoices!$A$7:$W$156,4,FALSE),""))</x:f>
      </x:c>
      <x:c r="N112" s="52" t="str">
        <x:f>IF($A112="","",IFERROR(VLOOKUP($A112,Invoices!$A$7:$W$156,5,FALSE),""))</x:f>
      </x:c>
      <x:c r="O112" s="52" t="str">
        <x:f>IF($A112="","",IF(OR($B112="",$C112&lt;=0,$D112&lt;0,$F112="",$K112="",COUNTIFS($A$7:$A$306,$A112,$B$7:$B$306,$B112)&gt;1),"REVIEW","OK"))</x:f>
      </x:c>
    </x:row>
    <x:row r="113">
      <x:c r="A113" s="46"/>
      <x:c r="B113" s="46"/>
      <x:c r="C113" s="68"/>
      <x:c r="D113" s="58"/>
      <x:c r="E113" s="60" t="str">
        <x:f>IF($A113="","",$C113*$D113)</x:f>
      </x:c>
      <x:c r="F113" s="104" t="str">
        <x:f>IF($A113="","",IFERROR(VLOOKUP($B113,Setup!$A$7:$H$23,2,FALSE),""))</x:f>
      </x:c>
      <x:c r="G113" s="52" t="str">
        <x:f>IF($A113="","",IFERROR(VLOOKUP($B113,Setup!$A$7:$H$23,5,FALSE),""))</x:f>
      </x:c>
      <x:c r="H113" s="60" t="str">
        <x:f>IF($A113="","",IFERROR(VLOOKUP($B113,Setup!$A$7:$H$23,6,FALSE),""))</x:f>
      </x:c>
      <x:c r="I113" s="60" t="str">
        <x:f>IF($A113="","",$C113*$H113)</x:f>
      </x:c>
      <x:c r="J113" s="60" t="str">
        <x:f>IF($A113="","",$E113-$I113)</x:f>
      </x:c>
      <x:c r="K113" s="66" t="str">
        <x:f>IF($A113="","",IFERROR(VLOOKUP($A113,Invoices!$A$7:$W$156,2,FALSE),""))</x:f>
      </x:c>
      <x:c r="L113" s="52" t="str">
        <x:f>IF($A113="","",IFERROR(VLOOKUP($A113,Invoices!$A$7:$W$156,3,FALSE),""))</x:f>
      </x:c>
      <x:c r="M113" s="52" t="str">
        <x:f>IF($A113="","",IFERROR(VLOOKUP($A113,Invoices!$A$7:$W$156,4,FALSE),""))</x:f>
      </x:c>
      <x:c r="N113" s="52" t="str">
        <x:f>IF($A113="","",IFERROR(VLOOKUP($A113,Invoices!$A$7:$W$156,5,FALSE),""))</x:f>
      </x:c>
      <x:c r="O113" s="52" t="str">
        <x:f>IF($A113="","",IF(OR($B113="",$C113&lt;=0,$D113&lt;0,$F113="",$K113="",COUNTIFS($A$7:$A$306,$A113,$B$7:$B$306,$B113)&gt;1),"REVIEW","OK"))</x:f>
      </x:c>
    </x:row>
    <x:row r="114">
      <x:c r="A114" s="46"/>
      <x:c r="B114" s="46"/>
      <x:c r="C114" s="68"/>
      <x:c r="D114" s="58"/>
      <x:c r="E114" s="60" t="str">
        <x:f>IF($A114="","",$C114*$D114)</x:f>
      </x:c>
      <x:c r="F114" s="104" t="str">
        <x:f>IF($A114="","",IFERROR(VLOOKUP($B114,Setup!$A$7:$H$23,2,FALSE),""))</x:f>
      </x:c>
      <x:c r="G114" s="52" t="str">
        <x:f>IF($A114="","",IFERROR(VLOOKUP($B114,Setup!$A$7:$H$23,5,FALSE),""))</x:f>
      </x:c>
      <x:c r="H114" s="60" t="str">
        <x:f>IF($A114="","",IFERROR(VLOOKUP($B114,Setup!$A$7:$H$23,6,FALSE),""))</x:f>
      </x:c>
      <x:c r="I114" s="60" t="str">
        <x:f>IF($A114="","",$C114*$H114)</x:f>
      </x:c>
      <x:c r="J114" s="60" t="str">
        <x:f>IF($A114="","",$E114-$I114)</x:f>
      </x:c>
      <x:c r="K114" s="66" t="str">
        <x:f>IF($A114="","",IFERROR(VLOOKUP($A114,Invoices!$A$7:$W$156,2,FALSE),""))</x:f>
      </x:c>
      <x:c r="L114" s="52" t="str">
        <x:f>IF($A114="","",IFERROR(VLOOKUP($A114,Invoices!$A$7:$W$156,3,FALSE),""))</x:f>
      </x:c>
      <x:c r="M114" s="52" t="str">
        <x:f>IF($A114="","",IFERROR(VLOOKUP($A114,Invoices!$A$7:$W$156,4,FALSE),""))</x:f>
      </x:c>
      <x:c r="N114" s="52" t="str">
        <x:f>IF($A114="","",IFERROR(VLOOKUP($A114,Invoices!$A$7:$W$156,5,FALSE),""))</x:f>
      </x:c>
      <x:c r="O114" s="52" t="str">
        <x:f>IF($A114="","",IF(OR($B114="",$C114&lt;=0,$D114&lt;0,$F114="",$K114="",COUNTIFS($A$7:$A$306,$A114,$B$7:$B$306,$B114)&gt;1),"REVIEW","OK"))</x:f>
      </x:c>
    </x:row>
    <x:row r="115">
      <x:c r="A115" s="46"/>
      <x:c r="B115" s="46"/>
      <x:c r="C115" s="68"/>
      <x:c r="D115" s="58"/>
      <x:c r="E115" s="60" t="str">
        <x:f>IF($A115="","",$C115*$D115)</x:f>
      </x:c>
      <x:c r="F115" s="104" t="str">
        <x:f>IF($A115="","",IFERROR(VLOOKUP($B115,Setup!$A$7:$H$23,2,FALSE),""))</x:f>
      </x:c>
      <x:c r="G115" s="52" t="str">
        <x:f>IF($A115="","",IFERROR(VLOOKUP($B115,Setup!$A$7:$H$23,5,FALSE),""))</x:f>
      </x:c>
      <x:c r="H115" s="60" t="str">
        <x:f>IF($A115="","",IFERROR(VLOOKUP($B115,Setup!$A$7:$H$23,6,FALSE),""))</x:f>
      </x:c>
      <x:c r="I115" s="60" t="str">
        <x:f>IF($A115="","",$C115*$H115)</x:f>
      </x:c>
      <x:c r="J115" s="60" t="str">
        <x:f>IF($A115="","",$E115-$I115)</x:f>
      </x:c>
      <x:c r="K115" s="66" t="str">
        <x:f>IF($A115="","",IFERROR(VLOOKUP($A115,Invoices!$A$7:$W$156,2,FALSE),""))</x:f>
      </x:c>
      <x:c r="L115" s="52" t="str">
        <x:f>IF($A115="","",IFERROR(VLOOKUP($A115,Invoices!$A$7:$W$156,3,FALSE),""))</x:f>
      </x:c>
      <x:c r="M115" s="52" t="str">
        <x:f>IF($A115="","",IFERROR(VLOOKUP($A115,Invoices!$A$7:$W$156,4,FALSE),""))</x:f>
      </x:c>
      <x:c r="N115" s="52" t="str">
        <x:f>IF($A115="","",IFERROR(VLOOKUP($A115,Invoices!$A$7:$W$156,5,FALSE),""))</x:f>
      </x:c>
      <x:c r="O115" s="52" t="str">
        <x:f>IF($A115="","",IF(OR($B115="",$C115&lt;=0,$D115&lt;0,$F115="",$K115="",COUNTIFS($A$7:$A$306,$A115,$B$7:$B$306,$B115)&gt;1),"REVIEW","OK"))</x:f>
      </x:c>
    </x:row>
    <x:row r="116">
      <x:c r="A116" s="46"/>
      <x:c r="B116" s="46"/>
      <x:c r="C116" s="68"/>
      <x:c r="D116" s="58"/>
      <x:c r="E116" s="60" t="str">
        <x:f>IF($A116="","",$C116*$D116)</x:f>
      </x:c>
      <x:c r="F116" s="104" t="str">
        <x:f>IF($A116="","",IFERROR(VLOOKUP($B116,Setup!$A$7:$H$23,2,FALSE),""))</x:f>
      </x:c>
      <x:c r="G116" s="52" t="str">
        <x:f>IF($A116="","",IFERROR(VLOOKUP($B116,Setup!$A$7:$H$23,5,FALSE),""))</x:f>
      </x:c>
      <x:c r="H116" s="60" t="str">
        <x:f>IF($A116="","",IFERROR(VLOOKUP($B116,Setup!$A$7:$H$23,6,FALSE),""))</x:f>
      </x:c>
      <x:c r="I116" s="60" t="str">
        <x:f>IF($A116="","",$C116*$H116)</x:f>
      </x:c>
      <x:c r="J116" s="60" t="str">
        <x:f>IF($A116="","",$E116-$I116)</x:f>
      </x:c>
      <x:c r="K116" s="66" t="str">
        <x:f>IF($A116="","",IFERROR(VLOOKUP($A116,Invoices!$A$7:$W$156,2,FALSE),""))</x:f>
      </x:c>
      <x:c r="L116" s="52" t="str">
        <x:f>IF($A116="","",IFERROR(VLOOKUP($A116,Invoices!$A$7:$W$156,3,FALSE),""))</x:f>
      </x:c>
      <x:c r="M116" s="52" t="str">
        <x:f>IF($A116="","",IFERROR(VLOOKUP($A116,Invoices!$A$7:$W$156,4,FALSE),""))</x:f>
      </x:c>
      <x:c r="N116" s="52" t="str">
        <x:f>IF($A116="","",IFERROR(VLOOKUP($A116,Invoices!$A$7:$W$156,5,FALSE),""))</x:f>
      </x:c>
      <x:c r="O116" s="52" t="str">
        <x:f>IF($A116="","",IF(OR($B116="",$C116&lt;=0,$D116&lt;0,$F116="",$K116="",COUNTIFS($A$7:$A$306,$A116,$B$7:$B$306,$B116)&gt;1),"REVIEW","OK"))</x:f>
      </x:c>
    </x:row>
    <x:row r="117">
      <x:c r="A117" s="46"/>
      <x:c r="B117" s="46"/>
      <x:c r="C117" s="68"/>
      <x:c r="D117" s="58"/>
      <x:c r="E117" s="60" t="str">
        <x:f>IF($A117="","",$C117*$D117)</x:f>
      </x:c>
      <x:c r="F117" s="104" t="str">
        <x:f>IF($A117="","",IFERROR(VLOOKUP($B117,Setup!$A$7:$H$23,2,FALSE),""))</x:f>
      </x:c>
      <x:c r="G117" s="52" t="str">
        <x:f>IF($A117="","",IFERROR(VLOOKUP($B117,Setup!$A$7:$H$23,5,FALSE),""))</x:f>
      </x:c>
      <x:c r="H117" s="60" t="str">
        <x:f>IF($A117="","",IFERROR(VLOOKUP($B117,Setup!$A$7:$H$23,6,FALSE),""))</x:f>
      </x:c>
      <x:c r="I117" s="60" t="str">
        <x:f>IF($A117="","",$C117*$H117)</x:f>
      </x:c>
      <x:c r="J117" s="60" t="str">
        <x:f>IF($A117="","",$E117-$I117)</x:f>
      </x:c>
      <x:c r="K117" s="66" t="str">
        <x:f>IF($A117="","",IFERROR(VLOOKUP($A117,Invoices!$A$7:$W$156,2,FALSE),""))</x:f>
      </x:c>
      <x:c r="L117" s="52" t="str">
        <x:f>IF($A117="","",IFERROR(VLOOKUP($A117,Invoices!$A$7:$W$156,3,FALSE),""))</x:f>
      </x:c>
      <x:c r="M117" s="52" t="str">
        <x:f>IF($A117="","",IFERROR(VLOOKUP($A117,Invoices!$A$7:$W$156,4,FALSE),""))</x:f>
      </x:c>
      <x:c r="N117" s="52" t="str">
        <x:f>IF($A117="","",IFERROR(VLOOKUP($A117,Invoices!$A$7:$W$156,5,FALSE),""))</x:f>
      </x:c>
      <x:c r="O117" s="52" t="str">
        <x:f>IF($A117="","",IF(OR($B117="",$C117&lt;=0,$D117&lt;0,$F117="",$K117="",COUNTIFS($A$7:$A$306,$A117,$B$7:$B$306,$B117)&gt;1),"REVIEW","OK"))</x:f>
      </x:c>
    </x:row>
    <x:row r="118">
      <x:c r="A118" s="46"/>
      <x:c r="B118" s="46"/>
      <x:c r="C118" s="68"/>
      <x:c r="D118" s="58"/>
      <x:c r="E118" s="60" t="str">
        <x:f>IF($A118="","",$C118*$D118)</x:f>
      </x:c>
      <x:c r="F118" s="104" t="str">
        <x:f>IF($A118="","",IFERROR(VLOOKUP($B118,Setup!$A$7:$H$23,2,FALSE),""))</x:f>
      </x:c>
      <x:c r="G118" s="52" t="str">
        <x:f>IF($A118="","",IFERROR(VLOOKUP($B118,Setup!$A$7:$H$23,5,FALSE),""))</x:f>
      </x:c>
      <x:c r="H118" s="60" t="str">
        <x:f>IF($A118="","",IFERROR(VLOOKUP($B118,Setup!$A$7:$H$23,6,FALSE),""))</x:f>
      </x:c>
      <x:c r="I118" s="60" t="str">
        <x:f>IF($A118="","",$C118*$H118)</x:f>
      </x:c>
      <x:c r="J118" s="60" t="str">
        <x:f>IF($A118="","",$E118-$I118)</x:f>
      </x:c>
      <x:c r="K118" s="66" t="str">
        <x:f>IF($A118="","",IFERROR(VLOOKUP($A118,Invoices!$A$7:$W$156,2,FALSE),""))</x:f>
      </x:c>
      <x:c r="L118" s="52" t="str">
        <x:f>IF($A118="","",IFERROR(VLOOKUP($A118,Invoices!$A$7:$W$156,3,FALSE),""))</x:f>
      </x:c>
      <x:c r="M118" s="52" t="str">
        <x:f>IF($A118="","",IFERROR(VLOOKUP($A118,Invoices!$A$7:$W$156,4,FALSE),""))</x:f>
      </x:c>
      <x:c r="N118" s="52" t="str">
        <x:f>IF($A118="","",IFERROR(VLOOKUP($A118,Invoices!$A$7:$W$156,5,FALSE),""))</x:f>
      </x:c>
      <x:c r="O118" s="52" t="str">
        <x:f>IF($A118="","",IF(OR($B118="",$C118&lt;=0,$D118&lt;0,$F118="",$K118="",COUNTIFS($A$7:$A$306,$A118,$B$7:$B$306,$B118)&gt;1),"REVIEW","OK"))</x:f>
      </x:c>
    </x:row>
    <x:row r="119">
      <x:c r="A119" s="46"/>
      <x:c r="B119" s="46"/>
      <x:c r="C119" s="68"/>
      <x:c r="D119" s="58"/>
      <x:c r="E119" s="60" t="str">
        <x:f>IF($A119="","",$C119*$D119)</x:f>
      </x:c>
      <x:c r="F119" s="104" t="str">
        <x:f>IF($A119="","",IFERROR(VLOOKUP($B119,Setup!$A$7:$H$23,2,FALSE),""))</x:f>
      </x:c>
      <x:c r="G119" s="52" t="str">
        <x:f>IF($A119="","",IFERROR(VLOOKUP($B119,Setup!$A$7:$H$23,5,FALSE),""))</x:f>
      </x:c>
      <x:c r="H119" s="60" t="str">
        <x:f>IF($A119="","",IFERROR(VLOOKUP($B119,Setup!$A$7:$H$23,6,FALSE),""))</x:f>
      </x:c>
      <x:c r="I119" s="60" t="str">
        <x:f>IF($A119="","",$C119*$H119)</x:f>
      </x:c>
      <x:c r="J119" s="60" t="str">
        <x:f>IF($A119="","",$E119-$I119)</x:f>
      </x:c>
      <x:c r="K119" s="66" t="str">
        <x:f>IF($A119="","",IFERROR(VLOOKUP($A119,Invoices!$A$7:$W$156,2,FALSE),""))</x:f>
      </x:c>
      <x:c r="L119" s="52" t="str">
        <x:f>IF($A119="","",IFERROR(VLOOKUP($A119,Invoices!$A$7:$W$156,3,FALSE),""))</x:f>
      </x:c>
      <x:c r="M119" s="52" t="str">
        <x:f>IF($A119="","",IFERROR(VLOOKUP($A119,Invoices!$A$7:$W$156,4,FALSE),""))</x:f>
      </x:c>
      <x:c r="N119" s="52" t="str">
        <x:f>IF($A119="","",IFERROR(VLOOKUP($A119,Invoices!$A$7:$W$156,5,FALSE),""))</x:f>
      </x:c>
      <x:c r="O119" s="52" t="str">
        <x:f>IF($A119="","",IF(OR($B119="",$C119&lt;=0,$D119&lt;0,$F119="",$K119="",COUNTIFS($A$7:$A$306,$A119,$B$7:$B$306,$B119)&gt;1),"REVIEW","OK"))</x:f>
      </x:c>
    </x:row>
    <x:row r="120">
      <x:c r="A120" s="46"/>
      <x:c r="B120" s="46"/>
      <x:c r="C120" s="68"/>
      <x:c r="D120" s="58"/>
      <x:c r="E120" s="60" t="str">
        <x:f>IF($A120="","",$C120*$D120)</x:f>
      </x:c>
      <x:c r="F120" s="104" t="str">
        <x:f>IF($A120="","",IFERROR(VLOOKUP($B120,Setup!$A$7:$H$23,2,FALSE),""))</x:f>
      </x:c>
      <x:c r="G120" s="52" t="str">
        <x:f>IF($A120="","",IFERROR(VLOOKUP($B120,Setup!$A$7:$H$23,5,FALSE),""))</x:f>
      </x:c>
      <x:c r="H120" s="60" t="str">
        <x:f>IF($A120="","",IFERROR(VLOOKUP($B120,Setup!$A$7:$H$23,6,FALSE),""))</x:f>
      </x:c>
      <x:c r="I120" s="60" t="str">
        <x:f>IF($A120="","",$C120*$H120)</x:f>
      </x:c>
      <x:c r="J120" s="60" t="str">
        <x:f>IF($A120="","",$E120-$I120)</x:f>
      </x:c>
      <x:c r="K120" s="66" t="str">
        <x:f>IF($A120="","",IFERROR(VLOOKUP($A120,Invoices!$A$7:$W$156,2,FALSE),""))</x:f>
      </x:c>
      <x:c r="L120" s="52" t="str">
        <x:f>IF($A120="","",IFERROR(VLOOKUP($A120,Invoices!$A$7:$W$156,3,FALSE),""))</x:f>
      </x:c>
      <x:c r="M120" s="52" t="str">
        <x:f>IF($A120="","",IFERROR(VLOOKUP($A120,Invoices!$A$7:$W$156,4,FALSE),""))</x:f>
      </x:c>
      <x:c r="N120" s="52" t="str">
        <x:f>IF($A120="","",IFERROR(VLOOKUP($A120,Invoices!$A$7:$W$156,5,FALSE),""))</x:f>
      </x:c>
      <x:c r="O120" s="52" t="str">
        <x:f>IF($A120="","",IF(OR($B120="",$C120&lt;=0,$D120&lt;0,$F120="",$K120="",COUNTIFS($A$7:$A$306,$A120,$B$7:$B$306,$B120)&gt;1),"REVIEW","OK"))</x:f>
      </x:c>
    </x:row>
    <x:row r="121">
      <x:c r="A121" s="46"/>
      <x:c r="B121" s="46"/>
      <x:c r="C121" s="68"/>
      <x:c r="D121" s="58"/>
      <x:c r="E121" s="60" t="str">
        <x:f>IF($A121="","",$C121*$D121)</x:f>
      </x:c>
      <x:c r="F121" s="104" t="str">
        <x:f>IF($A121="","",IFERROR(VLOOKUP($B121,Setup!$A$7:$H$23,2,FALSE),""))</x:f>
      </x:c>
      <x:c r="G121" s="52" t="str">
        <x:f>IF($A121="","",IFERROR(VLOOKUP($B121,Setup!$A$7:$H$23,5,FALSE),""))</x:f>
      </x:c>
      <x:c r="H121" s="60" t="str">
        <x:f>IF($A121="","",IFERROR(VLOOKUP($B121,Setup!$A$7:$H$23,6,FALSE),""))</x:f>
      </x:c>
      <x:c r="I121" s="60" t="str">
        <x:f>IF($A121="","",$C121*$H121)</x:f>
      </x:c>
      <x:c r="J121" s="60" t="str">
        <x:f>IF($A121="","",$E121-$I121)</x:f>
      </x:c>
      <x:c r="K121" s="66" t="str">
        <x:f>IF($A121="","",IFERROR(VLOOKUP($A121,Invoices!$A$7:$W$156,2,FALSE),""))</x:f>
      </x:c>
      <x:c r="L121" s="52" t="str">
        <x:f>IF($A121="","",IFERROR(VLOOKUP($A121,Invoices!$A$7:$W$156,3,FALSE),""))</x:f>
      </x:c>
      <x:c r="M121" s="52" t="str">
        <x:f>IF($A121="","",IFERROR(VLOOKUP($A121,Invoices!$A$7:$W$156,4,FALSE),""))</x:f>
      </x:c>
      <x:c r="N121" s="52" t="str">
        <x:f>IF($A121="","",IFERROR(VLOOKUP($A121,Invoices!$A$7:$W$156,5,FALSE),""))</x:f>
      </x:c>
      <x:c r="O121" s="52" t="str">
        <x:f>IF($A121="","",IF(OR($B121="",$C121&lt;=0,$D121&lt;0,$F121="",$K121="",COUNTIFS($A$7:$A$306,$A121,$B$7:$B$306,$B121)&gt;1),"REVIEW","OK"))</x:f>
      </x:c>
    </x:row>
    <x:row r="122">
      <x:c r="A122" s="46"/>
      <x:c r="B122" s="46"/>
      <x:c r="C122" s="68"/>
      <x:c r="D122" s="58"/>
      <x:c r="E122" s="60" t="str">
        <x:f>IF($A122="","",$C122*$D122)</x:f>
      </x:c>
      <x:c r="F122" s="104" t="str">
        <x:f>IF($A122="","",IFERROR(VLOOKUP($B122,Setup!$A$7:$H$23,2,FALSE),""))</x:f>
      </x:c>
      <x:c r="G122" s="52" t="str">
        <x:f>IF($A122="","",IFERROR(VLOOKUP($B122,Setup!$A$7:$H$23,5,FALSE),""))</x:f>
      </x:c>
      <x:c r="H122" s="60" t="str">
        <x:f>IF($A122="","",IFERROR(VLOOKUP($B122,Setup!$A$7:$H$23,6,FALSE),""))</x:f>
      </x:c>
      <x:c r="I122" s="60" t="str">
        <x:f>IF($A122="","",$C122*$H122)</x:f>
      </x:c>
      <x:c r="J122" s="60" t="str">
        <x:f>IF($A122="","",$E122-$I122)</x:f>
      </x:c>
      <x:c r="K122" s="66" t="str">
        <x:f>IF($A122="","",IFERROR(VLOOKUP($A122,Invoices!$A$7:$W$156,2,FALSE),""))</x:f>
      </x:c>
      <x:c r="L122" s="52" t="str">
        <x:f>IF($A122="","",IFERROR(VLOOKUP($A122,Invoices!$A$7:$W$156,3,FALSE),""))</x:f>
      </x:c>
      <x:c r="M122" s="52" t="str">
        <x:f>IF($A122="","",IFERROR(VLOOKUP($A122,Invoices!$A$7:$W$156,4,FALSE),""))</x:f>
      </x:c>
      <x:c r="N122" s="52" t="str">
        <x:f>IF($A122="","",IFERROR(VLOOKUP($A122,Invoices!$A$7:$W$156,5,FALSE),""))</x:f>
      </x:c>
      <x:c r="O122" s="52" t="str">
        <x:f>IF($A122="","",IF(OR($B122="",$C122&lt;=0,$D122&lt;0,$F122="",$K122="",COUNTIFS($A$7:$A$306,$A122,$B$7:$B$306,$B122)&gt;1),"REVIEW","OK"))</x:f>
      </x:c>
    </x:row>
    <x:row r="123">
      <x:c r="A123" s="46"/>
      <x:c r="B123" s="46"/>
      <x:c r="C123" s="68"/>
      <x:c r="D123" s="58"/>
      <x:c r="E123" s="60" t="str">
        <x:f>IF($A123="","",$C123*$D123)</x:f>
      </x:c>
      <x:c r="F123" s="104" t="str">
        <x:f>IF($A123="","",IFERROR(VLOOKUP($B123,Setup!$A$7:$H$23,2,FALSE),""))</x:f>
      </x:c>
      <x:c r="G123" s="52" t="str">
        <x:f>IF($A123="","",IFERROR(VLOOKUP($B123,Setup!$A$7:$H$23,5,FALSE),""))</x:f>
      </x:c>
      <x:c r="H123" s="60" t="str">
        <x:f>IF($A123="","",IFERROR(VLOOKUP($B123,Setup!$A$7:$H$23,6,FALSE),""))</x:f>
      </x:c>
      <x:c r="I123" s="60" t="str">
        <x:f>IF($A123="","",$C123*$H123)</x:f>
      </x:c>
      <x:c r="J123" s="60" t="str">
        <x:f>IF($A123="","",$E123-$I123)</x:f>
      </x:c>
      <x:c r="K123" s="66" t="str">
        <x:f>IF($A123="","",IFERROR(VLOOKUP($A123,Invoices!$A$7:$W$156,2,FALSE),""))</x:f>
      </x:c>
      <x:c r="L123" s="52" t="str">
        <x:f>IF($A123="","",IFERROR(VLOOKUP($A123,Invoices!$A$7:$W$156,3,FALSE),""))</x:f>
      </x:c>
      <x:c r="M123" s="52" t="str">
        <x:f>IF($A123="","",IFERROR(VLOOKUP($A123,Invoices!$A$7:$W$156,4,FALSE),""))</x:f>
      </x:c>
      <x:c r="N123" s="52" t="str">
        <x:f>IF($A123="","",IFERROR(VLOOKUP($A123,Invoices!$A$7:$W$156,5,FALSE),""))</x:f>
      </x:c>
      <x:c r="O123" s="52" t="str">
        <x:f>IF($A123="","",IF(OR($B123="",$C123&lt;=0,$D123&lt;0,$F123="",$K123="",COUNTIFS($A$7:$A$306,$A123,$B$7:$B$306,$B123)&gt;1),"REVIEW","OK"))</x:f>
      </x:c>
    </x:row>
    <x:row r="124">
      <x:c r="A124" s="46"/>
      <x:c r="B124" s="46"/>
      <x:c r="C124" s="68"/>
      <x:c r="D124" s="58"/>
      <x:c r="E124" s="60" t="str">
        <x:f>IF($A124="","",$C124*$D124)</x:f>
      </x:c>
      <x:c r="F124" s="104" t="str">
        <x:f>IF($A124="","",IFERROR(VLOOKUP($B124,Setup!$A$7:$H$23,2,FALSE),""))</x:f>
      </x:c>
      <x:c r="G124" s="52" t="str">
        <x:f>IF($A124="","",IFERROR(VLOOKUP($B124,Setup!$A$7:$H$23,5,FALSE),""))</x:f>
      </x:c>
      <x:c r="H124" s="60" t="str">
        <x:f>IF($A124="","",IFERROR(VLOOKUP($B124,Setup!$A$7:$H$23,6,FALSE),""))</x:f>
      </x:c>
      <x:c r="I124" s="60" t="str">
        <x:f>IF($A124="","",$C124*$H124)</x:f>
      </x:c>
      <x:c r="J124" s="60" t="str">
        <x:f>IF($A124="","",$E124-$I124)</x:f>
      </x:c>
      <x:c r="K124" s="66" t="str">
        <x:f>IF($A124="","",IFERROR(VLOOKUP($A124,Invoices!$A$7:$W$156,2,FALSE),""))</x:f>
      </x:c>
      <x:c r="L124" s="52" t="str">
        <x:f>IF($A124="","",IFERROR(VLOOKUP($A124,Invoices!$A$7:$W$156,3,FALSE),""))</x:f>
      </x:c>
      <x:c r="M124" s="52" t="str">
        <x:f>IF($A124="","",IFERROR(VLOOKUP($A124,Invoices!$A$7:$W$156,4,FALSE),""))</x:f>
      </x:c>
      <x:c r="N124" s="52" t="str">
        <x:f>IF($A124="","",IFERROR(VLOOKUP($A124,Invoices!$A$7:$W$156,5,FALSE),""))</x:f>
      </x:c>
      <x:c r="O124" s="52" t="str">
        <x:f>IF($A124="","",IF(OR($B124="",$C124&lt;=0,$D124&lt;0,$F124="",$K124="",COUNTIFS($A$7:$A$306,$A124,$B$7:$B$306,$B124)&gt;1),"REVIEW","OK"))</x:f>
      </x:c>
    </x:row>
    <x:row r="125">
      <x:c r="A125" s="46"/>
      <x:c r="B125" s="46"/>
      <x:c r="C125" s="68"/>
      <x:c r="D125" s="58"/>
      <x:c r="E125" s="60" t="str">
        <x:f>IF($A125="","",$C125*$D125)</x:f>
      </x:c>
      <x:c r="F125" s="104" t="str">
        <x:f>IF($A125="","",IFERROR(VLOOKUP($B125,Setup!$A$7:$H$23,2,FALSE),""))</x:f>
      </x:c>
      <x:c r="G125" s="52" t="str">
        <x:f>IF($A125="","",IFERROR(VLOOKUP($B125,Setup!$A$7:$H$23,5,FALSE),""))</x:f>
      </x:c>
      <x:c r="H125" s="60" t="str">
        <x:f>IF($A125="","",IFERROR(VLOOKUP($B125,Setup!$A$7:$H$23,6,FALSE),""))</x:f>
      </x:c>
      <x:c r="I125" s="60" t="str">
        <x:f>IF($A125="","",$C125*$H125)</x:f>
      </x:c>
      <x:c r="J125" s="60" t="str">
        <x:f>IF($A125="","",$E125-$I125)</x:f>
      </x:c>
      <x:c r="K125" s="66" t="str">
        <x:f>IF($A125="","",IFERROR(VLOOKUP($A125,Invoices!$A$7:$W$156,2,FALSE),""))</x:f>
      </x:c>
      <x:c r="L125" s="52" t="str">
        <x:f>IF($A125="","",IFERROR(VLOOKUP($A125,Invoices!$A$7:$W$156,3,FALSE),""))</x:f>
      </x:c>
      <x:c r="M125" s="52" t="str">
        <x:f>IF($A125="","",IFERROR(VLOOKUP($A125,Invoices!$A$7:$W$156,4,FALSE),""))</x:f>
      </x:c>
      <x:c r="N125" s="52" t="str">
        <x:f>IF($A125="","",IFERROR(VLOOKUP($A125,Invoices!$A$7:$W$156,5,FALSE),""))</x:f>
      </x:c>
      <x:c r="O125" s="52" t="str">
        <x:f>IF($A125="","",IF(OR($B125="",$C125&lt;=0,$D125&lt;0,$F125="",$K125="",COUNTIFS($A$7:$A$306,$A125,$B$7:$B$306,$B125)&gt;1),"REVIEW","OK"))</x:f>
      </x:c>
    </x:row>
    <x:row r="126">
      <x:c r="A126" s="46"/>
      <x:c r="B126" s="46"/>
      <x:c r="C126" s="68"/>
      <x:c r="D126" s="58"/>
      <x:c r="E126" s="60" t="str">
        <x:f>IF($A126="","",$C126*$D126)</x:f>
      </x:c>
      <x:c r="F126" s="104" t="str">
        <x:f>IF($A126="","",IFERROR(VLOOKUP($B126,Setup!$A$7:$H$23,2,FALSE),""))</x:f>
      </x:c>
      <x:c r="G126" s="52" t="str">
        <x:f>IF($A126="","",IFERROR(VLOOKUP($B126,Setup!$A$7:$H$23,5,FALSE),""))</x:f>
      </x:c>
      <x:c r="H126" s="60" t="str">
        <x:f>IF($A126="","",IFERROR(VLOOKUP($B126,Setup!$A$7:$H$23,6,FALSE),""))</x:f>
      </x:c>
      <x:c r="I126" s="60" t="str">
        <x:f>IF($A126="","",$C126*$H126)</x:f>
      </x:c>
      <x:c r="J126" s="60" t="str">
        <x:f>IF($A126="","",$E126-$I126)</x:f>
      </x:c>
      <x:c r="K126" s="66" t="str">
        <x:f>IF($A126="","",IFERROR(VLOOKUP($A126,Invoices!$A$7:$W$156,2,FALSE),""))</x:f>
      </x:c>
      <x:c r="L126" s="52" t="str">
        <x:f>IF($A126="","",IFERROR(VLOOKUP($A126,Invoices!$A$7:$W$156,3,FALSE),""))</x:f>
      </x:c>
      <x:c r="M126" s="52" t="str">
        <x:f>IF($A126="","",IFERROR(VLOOKUP($A126,Invoices!$A$7:$W$156,4,FALSE),""))</x:f>
      </x:c>
      <x:c r="N126" s="52" t="str">
        <x:f>IF($A126="","",IFERROR(VLOOKUP($A126,Invoices!$A$7:$W$156,5,FALSE),""))</x:f>
      </x:c>
      <x:c r="O126" s="52" t="str">
        <x:f>IF($A126="","",IF(OR($B126="",$C126&lt;=0,$D126&lt;0,$F126="",$K126="",COUNTIFS($A$7:$A$306,$A126,$B$7:$B$306,$B126)&gt;1),"REVIEW","OK"))</x:f>
      </x:c>
    </x:row>
    <x:row r="127">
      <x:c r="A127" s="46"/>
      <x:c r="B127" s="46"/>
      <x:c r="C127" s="68"/>
      <x:c r="D127" s="58"/>
      <x:c r="E127" s="60" t="str">
        <x:f>IF($A127="","",$C127*$D127)</x:f>
      </x:c>
      <x:c r="F127" s="104" t="str">
        <x:f>IF($A127="","",IFERROR(VLOOKUP($B127,Setup!$A$7:$H$23,2,FALSE),""))</x:f>
      </x:c>
      <x:c r="G127" s="52" t="str">
        <x:f>IF($A127="","",IFERROR(VLOOKUP($B127,Setup!$A$7:$H$23,5,FALSE),""))</x:f>
      </x:c>
      <x:c r="H127" s="60" t="str">
        <x:f>IF($A127="","",IFERROR(VLOOKUP($B127,Setup!$A$7:$H$23,6,FALSE),""))</x:f>
      </x:c>
      <x:c r="I127" s="60" t="str">
        <x:f>IF($A127="","",$C127*$H127)</x:f>
      </x:c>
      <x:c r="J127" s="60" t="str">
        <x:f>IF($A127="","",$E127-$I127)</x:f>
      </x:c>
      <x:c r="K127" s="66" t="str">
        <x:f>IF($A127="","",IFERROR(VLOOKUP($A127,Invoices!$A$7:$W$156,2,FALSE),""))</x:f>
      </x:c>
      <x:c r="L127" s="52" t="str">
        <x:f>IF($A127="","",IFERROR(VLOOKUP($A127,Invoices!$A$7:$W$156,3,FALSE),""))</x:f>
      </x:c>
      <x:c r="M127" s="52" t="str">
        <x:f>IF($A127="","",IFERROR(VLOOKUP($A127,Invoices!$A$7:$W$156,4,FALSE),""))</x:f>
      </x:c>
      <x:c r="N127" s="52" t="str">
        <x:f>IF($A127="","",IFERROR(VLOOKUP($A127,Invoices!$A$7:$W$156,5,FALSE),""))</x:f>
      </x:c>
      <x:c r="O127" s="52" t="str">
        <x:f>IF($A127="","",IF(OR($B127="",$C127&lt;=0,$D127&lt;0,$F127="",$K127="",COUNTIFS($A$7:$A$306,$A127,$B$7:$B$306,$B127)&gt;1),"REVIEW","OK"))</x:f>
      </x:c>
    </x:row>
    <x:row r="128">
      <x:c r="A128" s="46"/>
      <x:c r="B128" s="46"/>
      <x:c r="C128" s="68"/>
      <x:c r="D128" s="58"/>
      <x:c r="E128" s="60" t="str">
        <x:f>IF($A128="","",$C128*$D128)</x:f>
      </x:c>
      <x:c r="F128" s="104" t="str">
        <x:f>IF($A128="","",IFERROR(VLOOKUP($B128,Setup!$A$7:$H$23,2,FALSE),""))</x:f>
      </x:c>
      <x:c r="G128" s="52" t="str">
        <x:f>IF($A128="","",IFERROR(VLOOKUP($B128,Setup!$A$7:$H$23,5,FALSE),""))</x:f>
      </x:c>
      <x:c r="H128" s="60" t="str">
        <x:f>IF($A128="","",IFERROR(VLOOKUP($B128,Setup!$A$7:$H$23,6,FALSE),""))</x:f>
      </x:c>
      <x:c r="I128" s="60" t="str">
        <x:f>IF($A128="","",$C128*$H128)</x:f>
      </x:c>
      <x:c r="J128" s="60" t="str">
        <x:f>IF($A128="","",$E128-$I128)</x:f>
      </x:c>
      <x:c r="K128" s="66" t="str">
        <x:f>IF($A128="","",IFERROR(VLOOKUP($A128,Invoices!$A$7:$W$156,2,FALSE),""))</x:f>
      </x:c>
      <x:c r="L128" s="52" t="str">
        <x:f>IF($A128="","",IFERROR(VLOOKUP($A128,Invoices!$A$7:$W$156,3,FALSE),""))</x:f>
      </x:c>
      <x:c r="M128" s="52" t="str">
        <x:f>IF($A128="","",IFERROR(VLOOKUP($A128,Invoices!$A$7:$W$156,4,FALSE),""))</x:f>
      </x:c>
      <x:c r="N128" s="52" t="str">
        <x:f>IF($A128="","",IFERROR(VLOOKUP($A128,Invoices!$A$7:$W$156,5,FALSE),""))</x:f>
      </x:c>
      <x:c r="O128" s="52" t="str">
        <x:f>IF($A128="","",IF(OR($B128="",$C128&lt;=0,$D128&lt;0,$F128="",$K128="",COUNTIFS($A$7:$A$306,$A128,$B$7:$B$306,$B128)&gt;1),"REVIEW","OK"))</x:f>
      </x:c>
    </x:row>
    <x:row r="129">
      <x:c r="A129" s="46"/>
      <x:c r="B129" s="46"/>
      <x:c r="C129" s="68"/>
      <x:c r="D129" s="58"/>
      <x:c r="E129" s="60" t="str">
        <x:f>IF($A129="","",$C129*$D129)</x:f>
      </x:c>
      <x:c r="F129" s="104" t="str">
        <x:f>IF($A129="","",IFERROR(VLOOKUP($B129,Setup!$A$7:$H$23,2,FALSE),""))</x:f>
      </x:c>
      <x:c r="G129" s="52" t="str">
        <x:f>IF($A129="","",IFERROR(VLOOKUP($B129,Setup!$A$7:$H$23,5,FALSE),""))</x:f>
      </x:c>
      <x:c r="H129" s="60" t="str">
        <x:f>IF($A129="","",IFERROR(VLOOKUP($B129,Setup!$A$7:$H$23,6,FALSE),""))</x:f>
      </x:c>
      <x:c r="I129" s="60" t="str">
        <x:f>IF($A129="","",$C129*$H129)</x:f>
      </x:c>
      <x:c r="J129" s="60" t="str">
        <x:f>IF($A129="","",$E129-$I129)</x:f>
      </x:c>
      <x:c r="K129" s="66" t="str">
        <x:f>IF($A129="","",IFERROR(VLOOKUP($A129,Invoices!$A$7:$W$156,2,FALSE),""))</x:f>
      </x:c>
      <x:c r="L129" s="52" t="str">
        <x:f>IF($A129="","",IFERROR(VLOOKUP($A129,Invoices!$A$7:$W$156,3,FALSE),""))</x:f>
      </x:c>
      <x:c r="M129" s="52" t="str">
        <x:f>IF($A129="","",IFERROR(VLOOKUP($A129,Invoices!$A$7:$W$156,4,FALSE),""))</x:f>
      </x:c>
      <x:c r="N129" s="52" t="str">
        <x:f>IF($A129="","",IFERROR(VLOOKUP($A129,Invoices!$A$7:$W$156,5,FALSE),""))</x:f>
      </x:c>
      <x:c r="O129" s="52" t="str">
        <x:f>IF($A129="","",IF(OR($B129="",$C129&lt;=0,$D129&lt;0,$F129="",$K129="",COUNTIFS($A$7:$A$306,$A129,$B$7:$B$306,$B129)&gt;1),"REVIEW","OK"))</x:f>
      </x:c>
    </x:row>
    <x:row r="130">
      <x:c r="A130" s="46"/>
      <x:c r="B130" s="46"/>
      <x:c r="C130" s="68"/>
      <x:c r="D130" s="58"/>
      <x:c r="E130" s="60" t="str">
        <x:f>IF($A130="","",$C130*$D130)</x:f>
      </x:c>
      <x:c r="F130" s="104" t="str">
        <x:f>IF($A130="","",IFERROR(VLOOKUP($B130,Setup!$A$7:$H$23,2,FALSE),""))</x:f>
      </x:c>
      <x:c r="G130" s="52" t="str">
        <x:f>IF($A130="","",IFERROR(VLOOKUP($B130,Setup!$A$7:$H$23,5,FALSE),""))</x:f>
      </x:c>
      <x:c r="H130" s="60" t="str">
        <x:f>IF($A130="","",IFERROR(VLOOKUP($B130,Setup!$A$7:$H$23,6,FALSE),""))</x:f>
      </x:c>
      <x:c r="I130" s="60" t="str">
        <x:f>IF($A130="","",$C130*$H130)</x:f>
      </x:c>
      <x:c r="J130" s="60" t="str">
        <x:f>IF($A130="","",$E130-$I130)</x:f>
      </x:c>
      <x:c r="K130" s="66" t="str">
        <x:f>IF($A130="","",IFERROR(VLOOKUP($A130,Invoices!$A$7:$W$156,2,FALSE),""))</x:f>
      </x:c>
      <x:c r="L130" s="52" t="str">
        <x:f>IF($A130="","",IFERROR(VLOOKUP($A130,Invoices!$A$7:$W$156,3,FALSE),""))</x:f>
      </x:c>
      <x:c r="M130" s="52" t="str">
        <x:f>IF($A130="","",IFERROR(VLOOKUP($A130,Invoices!$A$7:$W$156,4,FALSE),""))</x:f>
      </x:c>
      <x:c r="N130" s="52" t="str">
        <x:f>IF($A130="","",IFERROR(VLOOKUP($A130,Invoices!$A$7:$W$156,5,FALSE),""))</x:f>
      </x:c>
      <x:c r="O130" s="52" t="str">
        <x:f>IF($A130="","",IF(OR($B130="",$C130&lt;=0,$D130&lt;0,$F130="",$K130="",COUNTIFS($A$7:$A$306,$A130,$B$7:$B$306,$B130)&gt;1),"REVIEW","OK"))</x:f>
      </x:c>
    </x:row>
    <x:row r="131">
      <x:c r="A131" s="46"/>
      <x:c r="B131" s="46"/>
      <x:c r="C131" s="68"/>
      <x:c r="D131" s="58"/>
      <x:c r="E131" s="60" t="str">
        <x:f>IF($A131="","",$C131*$D131)</x:f>
      </x:c>
      <x:c r="F131" s="104" t="str">
        <x:f>IF($A131="","",IFERROR(VLOOKUP($B131,Setup!$A$7:$H$23,2,FALSE),""))</x:f>
      </x:c>
      <x:c r="G131" s="52" t="str">
        <x:f>IF($A131="","",IFERROR(VLOOKUP($B131,Setup!$A$7:$H$23,5,FALSE),""))</x:f>
      </x:c>
      <x:c r="H131" s="60" t="str">
        <x:f>IF($A131="","",IFERROR(VLOOKUP($B131,Setup!$A$7:$H$23,6,FALSE),""))</x:f>
      </x:c>
      <x:c r="I131" s="60" t="str">
        <x:f>IF($A131="","",$C131*$H131)</x:f>
      </x:c>
      <x:c r="J131" s="60" t="str">
        <x:f>IF($A131="","",$E131-$I131)</x:f>
      </x:c>
      <x:c r="K131" s="66" t="str">
        <x:f>IF($A131="","",IFERROR(VLOOKUP($A131,Invoices!$A$7:$W$156,2,FALSE),""))</x:f>
      </x:c>
      <x:c r="L131" s="52" t="str">
        <x:f>IF($A131="","",IFERROR(VLOOKUP($A131,Invoices!$A$7:$W$156,3,FALSE),""))</x:f>
      </x:c>
      <x:c r="M131" s="52" t="str">
        <x:f>IF($A131="","",IFERROR(VLOOKUP($A131,Invoices!$A$7:$W$156,4,FALSE),""))</x:f>
      </x:c>
      <x:c r="N131" s="52" t="str">
        <x:f>IF($A131="","",IFERROR(VLOOKUP($A131,Invoices!$A$7:$W$156,5,FALSE),""))</x:f>
      </x:c>
      <x:c r="O131" s="52" t="str">
        <x:f>IF($A131="","",IF(OR($B131="",$C131&lt;=0,$D131&lt;0,$F131="",$K131="",COUNTIFS($A$7:$A$306,$A131,$B$7:$B$306,$B131)&gt;1),"REVIEW","OK"))</x:f>
      </x:c>
    </x:row>
    <x:row r="132">
      <x:c r="A132" s="46"/>
      <x:c r="B132" s="46"/>
      <x:c r="C132" s="68"/>
      <x:c r="D132" s="58"/>
      <x:c r="E132" s="60" t="str">
        <x:f>IF($A132="","",$C132*$D132)</x:f>
      </x:c>
      <x:c r="F132" s="104" t="str">
        <x:f>IF($A132="","",IFERROR(VLOOKUP($B132,Setup!$A$7:$H$23,2,FALSE),""))</x:f>
      </x:c>
      <x:c r="G132" s="52" t="str">
        <x:f>IF($A132="","",IFERROR(VLOOKUP($B132,Setup!$A$7:$H$23,5,FALSE),""))</x:f>
      </x:c>
      <x:c r="H132" s="60" t="str">
        <x:f>IF($A132="","",IFERROR(VLOOKUP($B132,Setup!$A$7:$H$23,6,FALSE),""))</x:f>
      </x:c>
      <x:c r="I132" s="60" t="str">
        <x:f>IF($A132="","",$C132*$H132)</x:f>
      </x:c>
      <x:c r="J132" s="60" t="str">
        <x:f>IF($A132="","",$E132-$I132)</x:f>
      </x:c>
      <x:c r="K132" s="66" t="str">
        <x:f>IF($A132="","",IFERROR(VLOOKUP($A132,Invoices!$A$7:$W$156,2,FALSE),""))</x:f>
      </x:c>
      <x:c r="L132" s="52" t="str">
        <x:f>IF($A132="","",IFERROR(VLOOKUP($A132,Invoices!$A$7:$W$156,3,FALSE),""))</x:f>
      </x:c>
      <x:c r="M132" s="52" t="str">
        <x:f>IF($A132="","",IFERROR(VLOOKUP($A132,Invoices!$A$7:$W$156,4,FALSE),""))</x:f>
      </x:c>
      <x:c r="N132" s="52" t="str">
        <x:f>IF($A132="","",IFERROR(VLOOKUP($A132,Invoices!$A$7:$W$156,5,FALSE),""))</x:f>
      </x:c>
      <x:c r="O132" s="52" t="str">
        <x:f>IF($A132="","",IF(OR($B132="",$C132&lt;=0,$D132&lt;0,$F132="",$K132="",COUNTIFS($A$7:$A$306,$A132,$B$7:$B$306,$B132)&gt;1),"REVIEW","OK"))</x:f>
      </x:c>
    </x:row>
    <x:row r="133">
      <x:c r="A133" s="46"/>
      <x:c r="B133" s="46"/>
      <x:c r="C133" s="68"/>
      <x:c r="D133" s="58"/>
      <x:c r="E133" s="60" t="str">
        <x:f>IF($A133="","",$C133*$D133)</x:f>
      </x:c>
      <x:c r="F133" s="104" t="str">
        <x:f>IF($A133="","",IFERROR(VLOOKUP($B133,Setup!$A$7:$H$23,2,FALSE),""))</x:f>
      </x:c>
      <x:c r="G133" s="52" t="str">
        <x:f>IF($A133="","",IFERROR(VLOOKUP($B133,Setup!$A$7:$H$23,5,FALSE),""))</x:f>
      </x:c>
      <x:c r="H133" s="60" t="str">
        <x:f>IF($A133="","",IFERROR(VLOOKUP($B133,Setup!$A$7:$H$23,6,FALSE),""))</x:f>
      </x:c>
      <x:c r="I133" s="60" t="str">
        <x:f>IF($A133="","",$C133*$H133)</x:f>
      </x:c>
      <x:c r="J133" s="60" t="str">
        <x:f>IF($A133="","",$E133-$I133)</x:f>
      </x:c>
      <x:c r="K133" s="66" t="str">
        <x:f>IF($A133="","",IFERROR(VLOOKUP($A133,Invoices!$A$7:$W$156,2,FALSE),""))</x:f>
      </x:c>
      <x:c r="L133" s="52" t="str">
        <x:f>IF($A133="","",IFERROR(VLOOKUP($A133,Invoices!$A$7:$W$156,3,FALSE),""))</x:f>
      </x:c>
      <x:c r="M133" s="52" t="str">
        <x:f>IF($A133="","",IFERROR(VLOOKUP($A133,Invoices!$A$7:$W$156,4,FALSE),""))</x:f>
      </x:c>
      <x:c r="N133" s="52" t="str">
        <x:f>IF($A133="","",IFERROR(VLOOKUP($A133,Invoices!$A$7:$W$156,5,FALSE),""))</x:f>
      </x:c>
      <x:c r="O133" s="52" t="str">
        <x:f>IF($A133="","",IF(OR($B133="",$C133&lt;=0,$D133&lt;0,$F133="",$K133="",COUNTIFS($A$7:$A$306,$A133,$B$7:$B$306,$B133)&gt;1),"REVIEW","OK"))</x:f>
      </x:c>
    </x:row>
    <x:row r="134">
      <x:c r="A134" s="46"/>
      <x:c r="B134" s="46"/>
      <x:c r="C134" s="68"/>
      <x:c r="D134" s="58"/>
      <x:c r="E134" s="60" t="str">
        <x:f>IF($A134="","",$C134*$D134)</x:f>
      </x:c>
      <x:c r="F134" s="104" t="str">
        <x:f>IF($A134="","",IFERROR(VLOOKUP($B134,Setup!$A$7:$H$23,2,FALSE),""))</x:f>
      </x:c>
      <x:c r="G134" s="52" t="str">
        <x:f>IF($A134="","",IFERROR(VLOOKUP($B134,Setup!$A$7:$H$23,5,FALSE),""))</x:f>
      </x:c>
      <x:c r="H134" s="60" t="str">
        <x:f>IF($A134="","",IFERROR(VLOOKUP($B134,Setup!$A$7:$H$23,6,FALSE),""))</x:f>
      </x:c>
      <x:c r="I134" s="60" t="str">
        <x:f>IF($A134="","",$C134*$H134)</x:f>
      </x:c>
      <x:c r="J134" s="60" t="str">
        <x:f>IF($A134="","",$E134-$I134)</x:f>
      </x:c>
      <x:c r="K134" s="66" t="str">
        <x:f>IF($A134="","",IFERROR(VLOOKUP($A134,Invoices!$A$7:$W$156,2,FALSE),""))</x:f>
      </x:c>
      <x:c r="L134" s="52" t="str">
        <x:f>IF($A134="","",IFERROR(VLOOKUP($A134,Invoices!$A$7:$W$156,3,FALSE),""))</x:f>
      </x:c>
      <x:c r="M134" s="52" t="str">
        <x:f>IF($A134="","",IFERROR(VLOOKUP($A134,Invoices!$A$7:$W$156,4,FALSE),""))</x:f>
      </x:c>
      <x:c r="N134" s="52" t="str">
        <x:f>IF($A134="","",IFERROR(VLOOKUP($A134,Invoices!$A$7:$W$156,5,FALSE),""))</x:f>
      </x:c>
      <x:c r="O134" s="52" t="str">
        <x:f>IF($A134="","",IF(OR($B134="",$C134&lt;=0,$D134&lt;0,$F134="",$K134="",COUNTIFS($A$7:$A$306,$A134,$B$7:$B$306,$B134)&gt;1),"REVIEW","OK"))</x:f>
      </x:c>
    </x:row>
    <x:row r="135">
      <x:c r="A135" s="46"/>
      <x:c r="B135" s="46"/>
      <x:c r="C135" s="68"/>
      <x:c r="D135" s="58"/>
      <x:c r="E135" s="60" t="str">
        <x:f>IF($A135="","",$C135*$D135)</x:f>
      </x:c>
      <x:c r="F135" s="104" t="str">
        <x:f>IF($A135="","",IFERROR(VLOOKUP($B135,Setup!$A$7:$H$23,2,FALSE),""))</x:f>
      </x:c>
      <x:c r="G135" s="52" t="str">
        <x:f>IF($A135="","",IFERROR(VLOOKUP($B135,Setup!$A$7:$H$23,5,FALSE),""))</x:f>
      </x:c>
      <x:c r="H135" s="60" t="str">
        <x:f>IF($A135="","",IFERROR(VLOOKUP($B135,Setup!$A$7:$H$23,6,FALSE),""))</x:f>
      </x:c>
      <x:c r="I135" s="60" t="str">
        <x:f>IF($A135="","",$C135*$H135)</x:f>
      </x:c>
      <x:c r="J135" s="60" t="str">
        <x:f>IF($A135="","",$E135-$I135)</x:f>
      </x:c>
      <x:c r="K135" s="66" t="str">
        <x:f>IF($A135="","",IFERROR(VLOOKUP($A135,Invoices!$A$7:$W$156,2,FALSE),""))</x:f>
      </x:c>
      <x:c r="L135" s="52" t="str">
        <x:f>IF($A135="","",IFERROR(VLOOKUP($A135,Invoices!$A$7:$W$156,3,FALSE),""))</x:f>
      </x:c>
      <x:c r="M135" s="52" t="str">
        <x:f>IF($A135="","",IFERROR(VLOOKUP($A135,Invoices!$A$7:$W$156,4,FALSE),""))</x:f>
      </x:c>
      <x:c r="N135" s="52" t="str">
        <x:f>IF($A135="","",IFERROR(VLOOKUP($A135,Invoices!$A$7:$W$156,5,FALSE),""))</x:f>
      </x:c>
      <x:c r="O135" s="52" t="str">
        <x:f>IF($A135="","",IF(OR($B135="",$C135&lt;=0,$D135&lt;0,$F135="",$K135="",COUNTIFS($A$7:$A$306,$A135,$B$7:$B$306,$B135)&gt;1),"REVIEW","OK"))</x:f>
      </x:c>
    </x:row>
    <x:row r="136">
      <x:c r="A136" s="46"/>
      <x:c r="B136" s="46"/>
      <x:c r="C136" s="68"/>
      <x:c r="D136" s="58"/>
      <x:c r="E136" s="60" t="str">
        <x:f>IF($A136="","",$C136*$D136)</x:f>
      </x:c>
      <x:c r="F136" s="104" t="str">
        <x:f>IF($A136="","",IFERROR(VLOOKUP($B136,Setup!$A$7:$H$23,2,FALSE),""))</x:f>
      </x:c>
      <x:c r="G136" s="52" t="str">
        <x:f>IF($A136="","",IFERROR(VLOOKUP($B136,Setup!$A$7:$H$23,5,FALSE),""))</x:f>
      </x:c>
      <x:c r="H136" s="60" t="str">
        <x:f>IF($A136="","",IFERROR(VLOOKUP($B136,Setup!$A$7:$H$23,6,FALSE),""))</x:f>
      </x:c>
      <x:c r="I136" s="60" t="str">
        <x:f>IF($A136="","",$C136*$H136)</x:f>
      </x:c>
      <x:c r="J136" s="60" t="str">
        <x:f>IF($A136="","",$E136-$I136)</x:f>
      </x:c>
      <x:c r="K136" s="66" t="str">
        <x:f>IF($A136="","",IFERROR(VLOOKUP($A136,Invoices!$A$7:$W$156,2,FALSE),""))</x:f>
      </x:c>
      <x:c r="L136" s="52" t="str">
        <x:f>IF($A136="","",IFERROR(VLOOKUP($A136,Invoices!$A$7:$W$156,3,FALSE),""))</x:f>
      </x:c>
      <x:c r="M136" s="52" t="str">
        <x:f>IF($A136="","",IFERROR(VLOOKUP($A136,Invoices!$A$7:$W$156,4,FALSE),""))</x:f>
      </x:c>
      <x:c r="N136" s="52" t="str">
        <x:f>IF($A136="","",IFERROR(VLOOKUP($A136,Invoices!$A$7:$W$156,5,FALSE),""))</x:f>
      </x:c>
      <x:c r="O136" s="52" t="str">
        <x:f>IF($A136="","",IF(OR($B136="",$C136&lt;=0,$D136&lt;0,$F136="",$K136="",COUNTIFS($A$7:$A$306,$A136,$B$7:$B$306,$B136)&gt;1),"REVIEW","OK"))</x:f>
      </x:c>
    </x:row>
    <x:row r="137">
      <x:c r="A137" s="46"/>
      <x:c r="B137" s="46"/>
      <x:c r="C137" s="68"/>
      <x:c r="D137" s="58"/>
      <x:c r="E137" s="60" t="str">
        <x:f>IF($A137="","",$C137*$D137)</x:f>
      </x:c>
      <x:c r="F137" s="104" t="str">
        <x:f>IF($A137="","",IFERROR(VLOOKUP($B137,Setup!$A$7:$H$23,2,FALSE),""))</x:f>
      </x:c>
      <x:c r="G137" s="52" t="str">
        <x:f>IF($A137="","",IFERROR(VLOOKUP($B137,Setup!$A$7:$H$23,5,FALSE),""))</x:f>
      </x:c>
      <x:c r="H137" s="60" t="str">
        <x:f>IF($A137="","",IFERROR(VLOOKUP($B137,Setup!$A$7:$H$23,6,FALSE),""))</x:f>
      </x:c>
      <x:c r="I137" s="60" t="str">
        <x:f>IF($A137="","",$C137*$H137)</x:f>
      </x:c>
      <x:c r="J137" s="60" t="str">
        <x:f>IF($A137="","",$E137-$I137)</x:f>
      </x:c>
      <x:c r="K137" s="66" t="str">
        <x:f>IF($A137="","",IFERROR(VLOOKUP($A137,Invoices!$A$7:$W$156,2,FALSE),""))</x:f>
      </x:c>
      <x:c r="L137" s="52" t="str">
        <x:f>IF($A137="","",IFERROR(VLOOKUP($A137,Invoices!$A$7:$W$156,3,FALSE),""))</x:f>
      </x:c>
      <x:c r="M137" s="52" t="str">
        <x:f>IF($A137="","",IFERROR(VLOOKUP($A137,Invoices!$A$7:$W$156,4,FALSE),""))</x:f>
      </x:c>
      <x:c r="N137" s="52" t="str">
        <x:f>IF($A137="","",IFERROR(VLOOKUP($A137,Invoices!$A$7:$W$156,5,FALSE),""))</x:f>
      </x:c>
      <x:c r="O137" s="52" t="str">
        <x:f>IF($A137="","",IF(OR($B137="",$C137&lt;=0,$D137&lt;0,$F137="",$K137="",COUNTIFS($A$7:$A$306,$A137,$B$7:$B$306,$B137)&gt;1),"REVIEW","OK"))</x:f>
      </x:c>
    </x:row>
    <x:row r="138">
      <x:c r="A138" s="46"/>
      <x:c r="B138" s="46"/>
      <x:c r="C138" s="68"/>
      <x:c r="D138" s="58"/>
      <x:c r="E138" s="60" t="str">
        <x:f>IF($A138="","",$C138*$D138)</x:f>
      </x:c>
      <x:c r="F138" s="104" t="str">
        <x:f>IF($A138="","",IFERROR(VLOOKUP($B138,Setup!$A$7:$H$23,2,FALSE),""))</x:f>
      </x:c>
      <x:c r="G138" s="52" t="str">
        <x:f>IF($A138="","",IFERROR(VLOOKUP($B138,Setup!$A$7:$H$23,5,FALSE),""))</x:f>
      </x:c>
      <x:c r="H138" s="60" t="str">
        <x:f>IF($A138="","",IFERROR(VLOOKUP($B138,Setup!$A$7:$H$23,6,FALSE),""))</x:f>
      </x:c>
      <x:c r="I138" s="60" t="str">
        <x:f>IF($A138="","",$C138*$H138)</x:f>
      </x:c>
      <x:c r="J138" s="60" t="str">
        <x:f>IF($A138="","",$E138-$I138)</x:f>
      </x:c>
      <x:c r="K138" s="66" t="str">
        <x:f>IF($A138="","",IFERROR(VLOOKUP($A138,Invoices!$A$7:$W$156,2,FALSE),""))</x:f>
      </x:c>
      <x:c r="L138" s="52" t="str">
        <x:f>IF($A138="","",IFERROR(VLOOKUP($A138,Invoices!$A$7:$W$156,3,FALSE),""))</x:f>
      </x:c>
      <x:c r="M138" s="52" t="str">
        <x:f>IF($A138="","",IFERROR(VLOOKUP($A138,Invoices!$A$7:$W$156,4,FALSE),""))</x:f>
      </x:c>
      <x:c r="N138" s="52" t="str">
        <x:f>IF($A138="","",IFERROR(VLOOKUP($A138,Invoices!$A$7:$W$156,5,FALSE),""))</x:f>
      </x:c>
      <x:c r="O138" s="52" t="str">
        <x:f>IF($A138="","",IF(OR($B138="",$C138&lt;=0,$D138&lt;0,$F138="",$K138="",COUNTIFS($A$7:$A$306,$A138,$B$7:$B$306,$B138)&gt;1),"REVIEW","OK"))</x:f>
      </x:c>
    </x:row>
    <x:row r="139">
      <x:c r="A139" s="46"/>
      <x:c r="B139" s="46"/>
      <x:c r="C139" s="68"/>
      <x:c r="D139" s="58"/>
      <x:c r="E139" s="60" t="str">
        <x:f>IF($A139="","",$C139*$D139)</x:f>
      </x:c>
      <x:c r="F139" s="104" t="str">
        <x:f>IF($A139="","",IFERROR(VLOOKUP($B139,Setup!$A$7:$H$23,2,FALSE),""))</x:f>
      </x:c>
      <x:c r="G139" s="52" t="str">
        <x:f>IF($A139="","",IFERROR(VLOOKUP($B139,Setup!$A$7:$H$23,5,FALSE),""))</x:f>
      </x:c>
      <x:c r="H139" s="60" t="str">
        <x:f>IF($A139="","",IFERROR(VLOOKUP($B139,Setup!$A$7:$H$23,6,FALSE),""))</x:f>
      </x:c>
      <x:c r="I139" s="60" t="str">
        <x:f>IF($A139="","",$C139*$H139)</x:f>
      </x:c>
      <x:c r="J139" s="60" t="str">
        <x:f>IF($A139="","",$E139-$I139)</x:f>
      </x:c>
      <x:c r="K139" s="66" t="str">
        <x:f>IF($A139="","",IFERROR(VLOOKUP($A139,Invoices!$A$7:$W$156,2,FALSE),""))</x:f>
      </x:c>
      <x:c r="L139" s="52" t="str">
        <x:f>IF($A139="","",IFERROR(VLOOKUP($A139,Invoices!$A$7:$W$156,3,FALSE),""))</x:f>
      </x:c>
      <x:c r="M139" s="52" t="str">
        <x:f>IF($A139="","",IFERROR(VLOOKUP($A139,Invoices!$A$7:$W$156,4,FALSE),""))</x:f>
      </x:c>
      <x:c r="N139" s="52" t="str">
        <x:f>IF($A139="","",IFERROR(VLOOKUP($A139,Invoices!$A$7:$W$156,5,FALSE),""))</x:f>
      </x:c>
      <x:c r="O139" s="52" t="str">
        <x:f>IF($A139="","",IF(OR($B139="",$C139&lt;=0,$D139&lt;0,$F139="",$K139="",COUNTIFS($A$7:$A$306,$A139,$B$7:$B$306,$B139)&gt;1),"REVIEW","OK"))</x:f>
      </x:c>
    </x:row>
    <x:row r="140">
      <x:c r="A140" s="46"/>
      <x:c r="B140" s="46"/>
      <x:c r="C140" s="68"/>
      <x:c r="D140" s="58"/>
      <x:c r="E140" s="60" t="str">
        <x:f>IF($A140="","",$C140*$D140)</x:f>
      </x:c>
      <x:c r="F140" s="104" t="str">
        <x:f>IF($A140="","",IFERROR(VLOOKUP($B140,Setup!$A$7:$H$23,2,FALSE),""))</x:f>
      </x:c>
      <x:c r="G140" s="52" t="str">
        <x:f>IF($A140="","",IFERROR(VLOOKUP($B140,Setup!$A$7:$H$23,5,FALSE),""))</x:f>
      </x:c>
      <x:c r="H140" s="60" t="str">
        <x:f>IF($A140="","",IFERROR(VLOOKUP($B140,Setup!$A$7:$H$23,6,FALSE),""))</x:f>
      </x:c>
      <x:c r="I140" s="60" t="str">
        <x:f>IF($A140="","",$C140*$H140)</x:f>
      </x:c>
      <x:c r="J140" s="60" t="str">
        <x:f>IF($A140="","",$E140-$I140)</x:f>
      </x:c>
      <x:c r="K140" s="66" t="str">
        <x:f>IF($A140="","",IFERROR(VLOOKUP($A140,Invoices!$A$7:$W$156,2,FALSE),""))</x:f>
      </x:c>
      <x:c r="L140" s="52" t="str">
        <x:f>IF($A140="","",IFERROR(VLOOKUP($A140,Invoices!$A$7:$W$156,3,FALSE),""))</x:f>
      </x:c>
      <x:c r="M140" s="52" t="str">
        <x:f>IF($A140="","",IFERROR(VLOOKUP($A140,Invoices!$A$7:$W$156,4,FALSE),""))</x:f>
      </x:c>
      <x:c r="N140" s="52" t="str">
        <x:f>IF($A140="","",IFERROR(VLOOKUP($A140,Invoices!$A$7:$W$156,5,FALSE),""))</x:f>
      </x:c>
      <x:c r="O140" s="52" t="str">
        <x:f>IF($A140="","",IF(OR($B140="",$C140&lt;=0,$D140&lt;0,$F140="",$K140="",COUNTIFS($A$7:$A$306,$A140,$B$7:$B$306,$B140)&gt;1),"REVIEW","OK"))</x:f>
      </x:c>
    </x:row>
    <x:row r="141">
      <x:c r="A141" s="46"/>
      <x:c r="B141" s="46"/>
      <x:c r="C141" s="68"/>
      <x:c r="D141" s="58"/>
      <x:c r="E141" s="60" t="str">
        <x:f>IF($A141="","",$C141*$D141)</x:f>
      </x:c>
      <x:c r="F141" s="104" t="str">
        <x:f>IF($A141="","",IFERROR(VLOOKUP($B141,Setup!$A$7:$H$23,2,FALSE),""))</x:f>
      </x:c>
      <x:c r="G141" s="52" t="str">
        <x:f>IF($A141="","",IFERROR(VLOOKUP($B141,Setup!$A$7:$H$23,5,FALSE),""))</x:f>
      </x:c>
      <x:c r="H141" s="60" t="str">
        <x:f>IF($A141="","",IFERROR(VLOOKUP($B141,Setup!$A$7:$H$23,6,FALSE),""))</x:f>
      </x:c>
      <x:c r="I141" s="60" t="str">
        <x:f>IF($A141="","",$C141*$H141)</x:f>
      </x:c>
      <x:c r="J141" s="60" t="str">
        <x:f>IF($A141="","",$E141-$I141)</x:f>
      </x:c>
      <x:c r="K141" s="66" t="str">
        <x:f>IF($A141="","",IFERROR(VLOOKUP($A141,Invoices!$A$7:$W$156,2,FALSE),""))</x:f>
      </x:c>
      <x:c r="L141" s="52" t="str">
        <x:f>IF($A141="","",IFERROR(VLOOKUP($A141,Invoices!$A$7:$W$156,3,FALSE),""))</x:f>
      </x:c>
      <x:c r="M141" s="52" t="str">
        <x:f>IF($A141="","",IFERROR(VLOOKUP($A141,Invoices!$A$7:$W$156,4,FALSE),""))</x:f>
      </x:c>
      <x:c r="N141" s="52" t="str">
        <x:f>IF($A141="","",IFERROR(VLOOKUP($A141,Invoices!$A$7:$W$156,5,FALSE),""))</x:f>
      </x:c>
      <x:c r="O141" s="52" t="str">
        <x:f>IF($A141="","",IF(OR($B141="",$C141&lt;=0,$D141&lt;0,$F141="",$K141="",COUNTIFS($A$7:$A$306,$A141,$B$7:$B$306,$B141)&gt;1),"REVIEW","OK"))</x:f>
      </x:c>
    </x:row>
    <x:row r="142">
      <x:c r="A142" s="46"/>
      <x:c r="B142" s="46"/>
      <x:c r="C142" s="68"/>
      <x:c r="D142" s="58"/>
      <x:c r="E142" s="60" t="str">
        <x:f>IF($A142="","",$C142*$D142)</x:f>
      </x:c>
      <x:c r="F142" s="104" t="str">
        <x:f>IF($A142="","",IFERROR(VLOOKUP($B142,Setup!$A$7:$H$23,2,FALSE),""))</x:f>
      </x:c>
      <x:c r="G142" s="52" t="str">
        <x:f>IF($A142="","",IFERROR(VLOOKUP($B142,Setup!$A$7:$H$23,5,FALSE),""))</x:f>
      </x:c>
      <x:c r="H142" s="60" t="str">
        <x:f>IF($A142="","",IFERROR(VLOOKUP($B142,Setup!$A$7:$H$23,6,FALSE),""))</x:f>
      </x:c>
      <x:c r="I142" s="60" t="str">
        <x:f>IF($A142="","",$C142*$H142)</x:f>
      </x:c>
      <x:c r="J142" s="60" t="str">
        <x:f>IF($A142="","",$E142-$I142)</x:f>
      </x:c>
      <x:c r="K142" s="66" t="str">
        <x:f>IF($A142="","",IFERROR(VLOOKUP($A142,Invoices!$A$7:$W$156,2,FALSE),""))</x:f>
      </x:c>
      <x:c r="L142" s="52" t="str">
        <x:f>IF($A142="","",IFERROR(VLOOKUP($A142,Invoices!$A$7:$W$156,3,FALSE),""))</x:f>
      </x:c>
      <x:c r="M142" s="52" t="str">
        <x:f>IF($A142="","",IFERROR(VLOOKUP($A142,Invoices!$A$7:$W$156,4,FALSE),""))</x:f>
      </x:c>
      <x:c r="N142" s="52" t="str">
        <x:f>IF($A142="","",IFERROR(VLOOKUP($A142,Invoices!$A$7:$W$156,5,FALSE),""))</x:f>
      </x:c>
      <x:c r="O142" s="52" t="str">
        <x:f>IF($A142="","",IF(OR($B142="",$C142&lt;=0,$D142&lt;0,$F142="",$K142="",COUNTIFS($A$7:$A$306,$A142,$B$7:$B$306,$B142)&gt;1),"REVIEW","OK"))</x:f>
      </x:c>
    </x:row>
    <x:row r="143">
      <x:c r="A143" s="46"/>
      <x:c r="B143" s="46"/>
      <x:c r="C143" s="68"/>
      <x:c r="D143" s="58"/>
      <x:c r="E143" s="60" t="str">
        <x:f>IF($A143="","",$C143*$D143)</x:f>
      </x:c>
      <x:c r="F143" s="104" t="str">
        <x:f>IF($A143="","",IFERROR(VLOOKUP($B143,Setup!$A$7:$H$23,2,FALSE),""))</x:f>
      </x:c>
      <x:c r="G143" s="52" t="str">
        <x:f>IF($A143="","",IFERROR(VLOOKUP($B143,Setup!$A$7:$H$23,5,FALSE),""))</x:f>
      </x:c>
      <x:c r="H143" s="60" t="str">
        <x:f>IF($A143="","",IFERROR(VLOOKUP($B143,Setup!$A$7:$H$23,6,FALSE),""))</x:f>
      </x:c>
      <x:c r="I143" s="60" t="str">
        <x:f>IF($A143="","",$C143*$H143)</x:f>
      </x:c>
      <x:c r="J143" s="60" t="str">
        <x:f>IF($A143="","",$E143-$I143)</x:f>
      </x:c>
      <x:c r="K143" s="66" t="str">
        <x:f>IF($A143="","",IFERROR(VLOOKUP($A143,Invoices!$A$7:$W$156,2,FALSE),""))</x:f>
      </x:c>
      <x:c r="L143" s="52" t="str">
        <x:f>IF($A143="","",IFERROR(VLOOKUP($A143,Invoices!$A$7:$W$156,3,FALSE),""))</x:f>
      </x:c>
      <x:c r="M143" s="52" t="str">
        <x:f>IF($A143="","",IFERROR(VLOOKUP($A143,Invoices!$A$7:$W$156,4,FALSE),""))</x:f>
      </x:c>
      <x:c r="N143" s="52" t="str">
        <x:f>IF($A143="","",IFERROR(VLOOKUP($A143,Invoices!$A$7:$W$156,5,FALSE),""))</x:f>
      </x:c>
      <x:c r="O143" s="52" t="str">
        <x:f>IF($A143="","",IF(OR($B143="",$C143&lt;=0,$D143&lt;0,$F143="",$K143="",COUNTIFS($A$7:$A$306,$A143,$B$7:$B$306,$B143)&gt;1),"REVIEW","OK"))</x:f>
      </x:c>
    </x:row>
    <x:row r="144">
      <x:c r="A144" s="46"/>
      <x:c r="B144" s="46"/>
      <x:c r="C144" s="68"/>
      <x:c r="D144" s="58"/>
      <x:c r="E144" s="60" t="str">
        <x:f>IF($A144="","",$C144*$D144)</x:f>
      </x:c>
      <x:c r="F144" s="104" t="str">
        <x:f>IF($A144="","",IFERROR(VLOOKUP($B144,Setup!$A$7:$H$23,2,FALSE),""))</x:f>
      </x:c>
      <x:c r="G144" s="52" t="str">
        <x:f>IF($A144="","",IFERROR(VLOOKUP($B144,Setup!$A$7:$H$23,5,FALSE),""))</x:f>
      </x:c>
      <x:c r="H144" s="60" t="str">
        <x:f>IF($A144="","",IFERROR(VLOOKUP($B144,Setup!$A$7:$H$23,6,FALSE),""))</x:f>
      </x:c>
      <x:c r="I144" s="60" t="str">
        <x:f>IF($A144="","",$C144*$H144)</x:f>
      </x:c>
      <x:c r="J144" s="60" t="str">
        <x:f>IF($A144="","",$E144-$I144)</x:f>
      </x:c>
      <x:c r="K144" s="66" t="str">
        <x:f>IF($A144="","",IFERROR(VLOOKUP($A144,Invoices!$A$7:$W$156,2,FALSE),""))</x:f>
      </x:c>
      <x:c r="L144" s="52" t="str">
        <x:f>IF($A144="","",IFERROR(VLOOKUP($A144,Invoices!$A$7:$W$156,3,FALSE),""))</x:f>
      </x:c>
      <x:c r="M144" s="52" t="str">
        <x:f>IF($A144="","",IFERROR(VLOOKUP($A144,Invoices!$A$7:$W$156,4,FALSE),""))</x:f>
      </x:c>
      <x:c r="N144" s="52" t="str">
        <x:f>IF($A144="","",IFERROR(VLOOKUP($A144,Invoices!$A$7:$W$156,5,FALSE),""))</x:f>
      </x:c>
      <x:c r="O144" s="52" t="str">
        <x:f>IF($A144="","",IF(OR($B144="",$C144&lt;=0,$D144&lt;0,$F144="",$K144="",COUNTIFS($A$7:$A$306,$A144,$B$7:$B$306,$B144)&gt;1),"REVIEW","OK"))</x:f>
      </x:c>
    </x:row>
    <x:row r="145">
      <x:c r="A145" s="46"/>
      <x:c r="B145" s="46"/>
      <x:c r="C145" s="68"/>
      <x:c r="D145" s="58"/>
      <x:c r="E145" s="60" t="str">
        <x:f>IF($A145="","",$C145*$D145)</x:f>
      </x:c>
      <x:c r="F145" s="104" t="str">
        <x:f>IF($A145="","",IFERROR(VLOOKUP($B145,Setup!$A$7:$H$23,2,FALSE),""))</x:f>
      </x:c>
      <x:c r="G145" s="52" t="str">
        <x:f>IF($A145="","",IFERROR(VLOOKUP($B145,Setup!$A$7:$H$23,5,FALSE),""))</x:f>
      </x:c>
      <x:c r="H145" s="60" t="str">
        <x:f>IF($A145="","",IFERROR(VLOOKUP($B145,Setup!$A$7:$H$23,6,FALSE),""))</x:f>
      </x:c>
      <x:c r="I145" s="60" t="str">
        <x:f>IF($A145="","",$C145*$H145)</x:f>
      </x:c>
      <x:c r="J145" s="60" t="str">
        <x:f>IF($A145="","",$E145-$I145)</x:f>
      </x:c>
      <x:c r="K145" s="66" t="str">
        <x:f>IF($A145="","",IFERROR(VLOOKUP($A145,Invoices!$A$7:$W$156,2,FALSE),""))</x:f>
      </x:c>
      <x:c r="L145" s="52" t="str">
        <x:f>IF($A145="","",IFERROR(VLOOKUP($A145,Invoices!$A$7:$W$156,3,FALSE),""))</x:f>
      </x:c>
      <x:c r="M145" s="52" t="str">
        <x:f>IF($A145="","",IFERROR(VLOOKUP($A145,Invoices!$A$7:$W$156,4,FALSE),""))</x:f>
      </x:c>
      <x:c r="N145" s="52" t="str">
        <x:f>IF($A145="","",IFERROR(VLOOKUP($A145,Invoices!$A$7:$W$156,5,FALSE),""))</x:f>
      </x:c>
      <x:c r="O145" s="52" t="str">
        <x:f>IF($A145="","",IF(OR($B145="",$C145&lt;=0,$D145&lt;0,$F145="",$K145="",COUNTIFS($A$7:$A$306,$A145,$B$7:$B$306,$B145)&gt;1),"REVIEW","OK"))</x:f>
      </x:c>
    </x:row>
    <x:row r="146">
      <x:c r="A146" s="46"/>
      <x:c r="B146" s="46"/>
      <x:c r="C146" s="68"/>
      <x:c r="D146" s="58"/>
      <x:c r="E146" s="60" t="str">
        <x:f>IF($A146="","",$C146*$D146)</x:f>
      </x:c>
      <x:c r="F146" s="104" t="str">
        <x:f>IF($A146="","",IFERROR(VLOOKUP($B146,Setup!$A$7:$H$23,2,FALSE),""))</x:f>
      </x:c>
      <x:c r="G146" s="52" t="str">
        <x:f>IF($A146="","",IFERROR(VLOOKUP($B146,Setup!$A$7:$H$23,5,FALSE),""))</x:f>
      </x:c>
      <x:c r="H146" s="60" t="str">
        <x:f>IF($A146="","",IFERROR(VLOOKUP($B146,Setup!$A$7:$H$23,6,FALSE),""))</x:f>
      </x:c>
      <x:c r="I146" s="60" t="str">
        <x:f>IF($A146="","",$C146*$H146)</x:f>
      </x:c>
      <x:c r="J146" s="60" t="str">
        <x:f>IF($A146="","",$E146-$I146)</x:f>
      </x:c>
      <x:c r="K146" s="66" t="str">
        <x:f>IF($A146="","",IFERROR(VLOOKUP($A146,Invoices!$A$7:$W$156,2,FALSE),""))</x:f>
      </x:c>
      <x:c r="L146" s="52" t="str">
        <x:f>IF($A146="","",IFERROR(VLOOKUP($A146,Invoices!$A$7:$W$156,3,FALSE),""))</x:f>
      </x:c>
      <x:c r="M146" s="52" t="str">
        <x:f>IF($A146="","",IFERROR(VLOOKUP($A146,Invoices!$A$7:$W$156,4,FALSE),""))</x:f>
      </x:c>
      <x:c r="N146" s="52" t="str">
        <x:f>IF($A146="","",IFERROR(VLOOKUP($A146,Invoices!$A$7:$W$156,5,FALSE),""))</x:f>
      </x:c>
      <x:c r="O146" s="52" t="str">
        <x:f>IF($A146="","",IF(OR($B146="",$C146&lt;=0,$D146&lt;0,$F146="",$K146="",COUNTIFS($A$7:$A$306,$A146,$B$7:$B$306,$B146)&gt;1),"REVIEW","OK"))</x:f>
      </x:c>
    </x:row>
    <x:row r="147">
      <x:c r="A147" s="46"/>
      <x:c r="B147" s="46"/>
      <x:c r="C147" s="68"/>
      <x:c r="D147" s="58"/>
      <x:c r="E147" s="60" t="str">
        <x:f>IF($A147="","",$C147*$D147)</x:f>
      </x:c>
      <x:c r="F147" s="104" t="str">
        <x:f>IF($A147="","",IFERROR(VLOOKUP($B147,Setup!$A$7:$H$23,2,FALSE),""))</x:f>
      </x:c>
      <x:c r="G147" s="52" t="str">
        <x:f>IF($A147="","",IFERROR(VLOOKUP($B147,Setup!$A$7:$H$23,5,FALSE),""))</x:f>
      </x:c>
      <x:c r="H147" s="60" t="str">
        <x:f>IF($A147="","",IFERROR(VLOOKUP($B147,Setup!$A$7:$H$23,6,FALSE),""))</x:f>
      </x:c>
      <x:c r="I147" s="60" t="str">
        <x:f>IF($A147="","",$C147*$H147)</x:f>
      </x:c>
      <x:c r="J147" s="60" t="str">
        <x:f>IF($A147="","",$E147-$I147)</x:f>
      </x:c>
      <x:c r="K147" s="66" t="str">
        <x:f>IF($A147="","",IFERROR(VLOOKUP($A147,Invoices!$A$7:$W$156,2,FALSE),""))</x:f>
      </x:c>
      <x:c r="L147" s="52" t="str">
        <x:f>IF($A147="","",IFERROR(VLOOKUP($A147,Invoices!$A$7:$W$156,3,FALSE),""))</x:f>
      </x:c>
      <x:c r="M147" s="52" t="str">
        <x:f>IF($A147="","",IFERROR(VLOOKUP($A147,Invoices!$A$7:$W$156,4,FALSE),""))</x:f>
      </x:c>
      <x:c r="N147" s="52" t="str">
        <x:f>IF($A147="","",IFERROR(VLOOKUP($A147,Invoices!$A$7:$W$156,5,FALSE),""))</x:f>
      </x:c>
      <x:c r="O147" s="52" t="str">
        <x:f>IF($A147="","",IF(OR($B147="",$C147&lt;=0,$D147&lt;0,$F147="",$K147="",COUNTIFS($A$7:$A$306,$A147,$B$7:$B$306,$B147)&gt;1),"REVIEW","OK"))</x:f>
      </x:c>
    </x:row>
    <x:row r="148">
      <x:c r="A148" s="46"/>
      <x:c r="B148" s="46"/>
      <x:c r="C148" s="68"/>
      <x:c r="D148" s="58"/>
      <x:c r="E148" s="60" t="str">
        <x:f>IF($A148="","",$C148*$D148)</x:f>
      </x:c>
      <x:c r="F148" s="104" t="str">
        <x:f>IF($A148="","",IFERROR(VLOOKUP($B148,Setup!$A$7:$H$23,2,FALSE),""))</x:f>
      </x:c>
      <x:c r="G148" s="52" t="str">
        <x:f>IF($A148="","",IFERROR(VLOOKUP($B148,Setup!$A$7:$H$23,5,FALSE),""))</x:f>
      </x:c>
      <x:c r="H148" s="60" t="str">
        <x:f>IF($A148="","",IFERROR(VLOOKUP($B148,Setup!$A$7:$H$23,6,FALSE),""))</x:f>
      </x:c>
      <x:c r="I148" s="60" t="str">
        <x:f>IF($A148="","",$C148*$H148)</x:f>
      </x:c>
      <x:c r="J148" s="60" t="str">
        <x:f>IF($A148="","",$E148-$I148)</x:f>
      </x:c>
      <x:c r="K148" s="66" t="str">
        <x:f>IF($A148="","",IFERROR(VLOOKUP($A148,Invoices!$A$7:$W$156,2,FALSE),""))</x:f>
      </x:c>
      <x:c r="L148" s="52" t="str">
        <x:f>IF($A148="","",IFERROR(VLOOKUP($A148,Invoices!$A$7:$W$156,3,FALSE),""))</x:f>
      </x:c>
      <x:c r="M148" s="52" t="str">
        <x:f>IF($A148="","",IFERROR(VLOOKUP($A148,Invoices!$A$7:$W$156,4,FALSE),""))</x:f>
      </x:c>
      <x:c r="N148" s="52" t="str">
        <x:f>IF($A148="","",IFERROR(VLOOKUP($A148,Invoices!$A$7:$W$156,5,FALSE),""))</x:f>
      </x:c>
      <x:c r="O148" s="52" t="str">
        <x:f>IF($A148="","",IF(OR($B148="",$C148&lt;=0,$D148&lt;0,$F148="",$K148="",COUNTIFS($A$7:$A$306,$A148,$B$7:$B$306,$B148)&gt;1),"REVIEW","OK"))</x:f>
      </x:c>
    </x:row>
    <x:row r="149">
      <x:c r="A149" s="46"/>
      <x:c r="B149" s="46"/>
      <x:c r="C149" s="68"/>
      <x:c r="D149" s="58"/>
      <x:c r="E149" s="60" t="str">
        <x:f>IF($A149="","",$C149*$D149)</x:f>
      </x:c>
      <x:c r="F149" s="104" t="str">
        <x:f>IF($A149="","",IFERROR(VLOOKUP($B149,Setup!$A$7:$H$23,2,FALSE),""))</x:f>
      </x:c>
      <x:c r="G149" s="52" t="str">
        <x:f>IF($A149="","",IFERROR(VLOOKUP($B149,Setup!$A$7:$H$23,5,FALSE),""))</x:f>
      </x:c>
      <x:c r="H149" s="60" t="str">
        <x:f>IF($A149="","",IFERROR(VLOOKUP($B149,Setup!$A$7:$H$23,6,FALSE),""))</x:f>
      </x:c>
      <x:c r="I149" s="60" t="str">
        <x:f>IF($A149="","",$C149*$H149)</x:f>
      </x:c>
      <x:c r="J149" s="60" t="str">
        <x:f>IF($A149="","",$E149-$I149)</x:f>
      </x:c>
      <x:c r="K149" s="66" t="str">
        <x:f>IF($A149="","",IFERROR(VLOOKUP($A149,Invoices!$A$7:$W$156,2,FALSE),""))</x:f>
      </x:c>
      <x:c r="L149" s="52" t="str">
        <x:f>IF($A149="","",IFERROR(VLOOKUP($A149,Invoices!$A$7:$W$156,3,FALSE),""))</x:f>
      </x:c>
      <x:c r="M149" s="52" t="str">
        <x:f>IF($A149="","",IFERROR(VLOOKUP($A149,Invoices!$A$7:$W$156,4,FALSE),""))</x:f>
      </x:c>
      <x:c r="N149" s="52" t="str">
        <x:f>IF($A149="","",IFERROR(VLOOKUP($A149,Invoices!$A$7:$W$156,5,FALSE),""))</x:f>
      </x:c>
      <x:c r="O149" s="52" t="str">
        <x:f>IF($A149="","",IF(OR($B149="",$C149&lt;=0,$D149&lt;0,$F149="",$K149="",COUNTIFS($A$7:$A$306,$A149,$B$7:$B$306,$B149)&gt;1),"REVIEW","OK"))</x:f>
      </x:c>
    </x:row>
    <x:row r="150">
      <x:c r="A150" s="46"/>
      <x:c r="B150" s="46"/>
      <x:c r="C150" s="68"/>
      <x:c r="D150" s="58"/>
      <x:c r="E150" s="60" t="str">
        <x:f>IF($A150="","",$C150*$D150)</x:f>
      </x:c>
      <x:c r="F150" s="104" t="str">
        <x:f>IF($A150="","",IFERROR(VLOOKUP($B150,Setup!$A$7:$H$23,2,FALSE),""))</x:f>
      </x:c>
      <x:c r="G150" s="52" t="str">
        <x:f>IF($A150="","",IFERROR(VLOOKUP($B150,Setup!$A$7:$H$23,5,FALSE),""))</x:f>
      </x:c>
      <x:c r="H150" s="60" t="str">
        <x:f>IF($A150="","",IFERROR(VLOOKUP($B150,Setup!$A$7:$H$23,6,FALSE),""))</x:f>
      </x:c>
      <x:c r="I150" s="60" t="str">
        <x:f>IF($A150="","",$C150*$H150)</x:f>
      </x:c>
      <x:c r="J150" s="60" t="str">
        <x:f>IF($A150="","",$E150-$I150)</x:f>
      </x:c>
      <x:c r="K150" s="66" t="str">
        <x:f>IF($A150="","",IFERROR(VLOOKUP($A150,Invoices!$A$7:$W$156,2,FALSE),""))</x:f>
      </x:c>
      <x:c r="L150" s="52" t="str">
        <x:f>IF($A150="","",IFERROR(VLOOKUP($A150,Invoices!$A$7:$W$156,3,FALSE),""))</x:f>
      </x:c>
      <x:c r="M150" s="52" t="str">
        <x:f>IF($A150="","",IFERROR(VLOOKUP($A150,Invoices!$A$7:$W$156,4,FALSE),""))</x:f>
      </x:c>
      <x:c r="N150" s="52" t="str">
        <x:f>IF($A150="","",IFERROR(VLOOKUP($A150,Invoices!$A$7:$W$156,5,FALSE),""))</x:f>
      </x:c>
      <x:c r="O150" s="52" t="str">
        <x:f>IF($A150="","",IF(OR($B150="",$C150&lt;=0,$D150&lt;0,$F150="",$K150="",COUNTIFS($A$7:$A$306,$A150,$B$7:$B$306,$B150)&gt;1),"REVIEW","OK"))</x:f>
      </x:c>
    </x:row>
    <x:row r="151">
      <x:c r="A151" s="46"/>
      <x:c r="B151" s="46"/>
      <x:c r="C151" s="68"/>
      <x:c r="D151" s="58"/>
      <x:c r="E151" s="60" t="str">
        <x:f>IF($A151="","",$C151*$D151)</x:f>
      </x:c>
      <x:c r="F151" s="104" t="str">
        <x:f>IF($A151="","",IFERROR(VLOOKUP($B151,Setup!$A$7:$H$23,2,FALSE),""))</x:f>
      </x:c>
      <x:c r="G151" s="52" t="str">
        <x:f>IF($A151="","",IFERROR(VLOOKUP($B151,Setup!$A$7:$H$23,5,FALSE),""))</x:f>
      </x:c>
      <x:c r="H151" s="60" t="str">
        <x:f>IF($A151="","",IFERROR(VLOOKUP($B151,Setup!$A$7:$H$23,6,FALSE),""))</x:f>
      </x:c>
      <x:c r="I151" s="60" t="str">
        <x:f>IF($A151="","",$C151*$H151)</x:f>
      </x:c>
      <x:c r="J151" s="60" t="str">
        <x:f>IF($A151="","",$E151-$I151)</x:f>
      </x:c>
      <x:c r="K151" s="66" t="str">
        <x:f>IF($A151="","",IFERROR(VLOOKUP($A151,Invoices!$A$7:$W$156,2,FALSE),""))</x:f>
      </x:c>
      <x:c r="L151" s="52" t="str">
        <x:f>IF($A151="","",IFERROR(VLOOKUP($A151,Invoices!$A$7:$W$156,3,FALSE),""))</x:f>
      </x:c>
      <x:c r="M151" s="52" t="str">
        <x:f>IF($A151="","",IFERROR(VLOOKUP($A151,Invoices!$A$7:$W$156,4,FALSE),""))</x:f>
      </x:c>
      <x:c r="N151" s="52" t="str">
        <x:f>IF($A151="","",IFERROR(VLOOKUP($A151,Invoices!$A$7:$W$156,5,FALSE),""))</x:f>
      </x:c>
      <x:c r="O151" s="52" t="str">
        <x:f>IF($A151="","",IF(OR($B151="",$C151&lt;=0,$D151&lt;0,$F151="",$K151="",COUNTIFS($A$7:$A$306,$A151,$B$7:$B$306,$B151)&gt;1),"REVIEW","OK"))</x:f>
      </x:c>
    </x:row>
    <x:row r="152">
      <x:c r="A152" s="46"/>
      <x:c r="B152" s="46"/>
      <x:c r="C152" s="68"/>
      <x:c r="D152" s="58"/>
      <x:c r="E152" s="60" t="str">
        <x:f>IF($A152="","",$C152*$D152)</x:f>
      </x:c>
      <x:c r="F152" s="104" t="str">
        <x:f>IF($A152="","",IFERROR(VLOOKUP($B152,Setup!$A$7:$H$23,2,FALSE),""))</x:f>
      </x:c>
      <x:c r="G152" s="52" t="str">
        <x:f>IF($A152="","",IFERROR(VLOOKUP($B152,Setup!$A$7:$H$23,5,FALSE),""))</x:f>
      </x:c>
      <x:c r="H152" s="60" t="str">
        <x:f>IF($A152="","",IFERROR(VLOOKUP($B152,Setup!$A$7:$H$23,6,FALSE),""))</x:f>
      </x:c>
      <x:c r="I152" s="60" t="str">
        <x:f>IF($A152="","",$C152*$H152)</x:f>
      </x:c>
      <x:c r="J152" s="60" t="str">
        <x:f>IF($A152="","",$E152-$I152)</x:f>
      </x:c>
      <x:c r="K152" s="66" t="str">
        <x:f>IF($A152="","",IFERROR(VLOOKUP($A152,Invoices!$A$7:$W$156,2,FALSE),""))</x:f>
      </x:c>
      <x:c r="L152" s="52" t="str">
        <x:f>IF($A152="","",IFERROR(VLOOKUP($A152,Invoices!$A$7:$W$156,3,FALSE),""))</x:f>
      </x:c>
      <x:c r="M152" s="52" t="str">
        <x:f>IF($A152="","",IFERROR(VLOOKUP($A152,Invoices!$A$7:$W$156,4,FALSE),""))</x:f>
      </x:c>
      <x:c r="N152" s="52" t="str">
        <x:f>IF($A152="","",IFERROR(VLOOKUP($A152,Invoices!$A$7:$W$156,5,FALSE),""))</x:f>
      </x:c>
      <x:c r="O152" s="52" t="str">
        <x:f>IF($A152="","",IF(OR($B152="",$C152&lt;=0,$D152&lt;0,$F152="",$K152="",COUNTIFS($A$7:$A$306,$A152,$B$7:$B$306,$B152)&gt;1),"REVIEW","OK"))</x:f>
      </x:c>
    </x:row>
    <x:row r="153">
      <x:c r="A153" s="46"/>
      <x:c r="B153" s="46"/>
      <x:c r="C153" s="68"/>
      <x:c r="D153" s="58"/>
      <x:c r="E153" s="60" t="str">
        <x:f>IF($A153="","",$C153*$D153)</x:f>
      </x:c>
      <x:c r="F153" s="104" t="str">
        <x:f>IF($A153="","",IFERROR(VLOOKUP($B153,Setup!$A$7:$H$23,2,FALSE),""))</x:f>
      </x:c>
      <x:c r="G153" s="52" t="str">
        <x:f>IF($A153="","",IFERROR(VLOOKUP($B153,Setup!$A$7:$H$23,5,FALSE),""))</x:f>
      </x:c>
      <x:c r="H153" s="60" t="str">
        <x:f>IF($A153="","",IFERROR(VLOOKUP($B153,Setup!$A$7:$H$23,6,FALSE),""))</x:f>
      </x:c>
      <x:c r="I153" s="60" t="str">
        <x:f>IF($A153="","",$C153*$H153)</x:f>
      </x:c>
      <x:c r="J153" s="60" t="str">
        <x:f>IF($A153="","",$E153-$I153)</x:f>
      </x:c>
      <x:c r="K153" s="66" t="str">
        <x:f>IF($A153="","",IFERROR(VLOOKUP($A153,Invoices!$A$7:$W$156,2,FALSE),""))</x:f>
      </x:c>
      <x:c r="L153" s="52" t="str">
        <x:f>IF($A153="","",IFERROR(VLOOKUP($A153,Invoices!$A$7:$W$156,3,FALSE),""))</x:f>
      </x:c>
      <x:c r="M153" s="52" t="str">
        <x:f>IF($A153="","",IFERROR(VLOOKUP($A153,Invoices!$A$7:$W$156,4,FALSE),""))</x:f>
      </x:c>
      <x:c r="N153" s="52" t="str">
        <x:f>IF($A153="","",IFERROR(VLOOKUP($A153,Invoices!$A$7:$W$156,5,FALSE),""))</x:f>
      </x:c>
      <x:c r="O153" s="52" t="str">
        <x:f>IF($A153="","",IF(OR($B153="",$C153&lt;=0,$D153&lt;0,$F153="",$K153="",COUNTIFS($A$7:$A$306,$A153,$B$7:$B$306,$B153)&gt;1),"REVIEW","OK"))</x:f>
      </x:c>
    </x:row>
    <x:row r="154">
      <x:c r="A154" s="46"/>
      <x:c r="B154" s="46"/>
      <x:c r="C154" s="68"/>
      <x:c r="D154" s="58"/>
      <x:c r="E154" s="60" t="str">
        <x:f>IF($A154="","",$C154*$D154)</x:f>
      </x:c>
      <x:c r="F154" s="104" t="str">
        <x:f>IF($A154="","",IFERROR(VLOOKUP($B154,Setup!$A$7:$H$23,2,FALSE),""))</x:f>
      </x:c>
      <x:c r="G154" s="52" t="str">
        <x:f>IF($A154="","",IFERROR(VLOOKUP($B154,Setup!$A$7:$H$23,5,FALSE),""))</x:f>
      </x:c>
      <x:c r="H154" s="60" t="str">
        <x:f>IF($A154="","",IFERROR(VLOOKUP($B154,Setup!$A$7:$H$23,6,FALSE),""))</x:f>
      </x:c>
      <x:c r="I154" s="60" t="str">
        <x:f>IF($A154="","",$C154*$H154)</x:f>
      </x:c>
      <x:c r="J154" s="60" t="str">
        <x:f>IF($A154="","",$E154-$I154)</x:f>
      </x:c>
      <x:c r="K154" s="66" t="str">
        <x:f>IF($A154="","",IFERROR(VLOOKUP($A154,Invoices!$A$7:$W$156,2,FALSE),""))</x:f>
      </x:c>
      <x:c r="L154" s="52" t="str">
        <x:f>IF($A154="","",IFERROR(VLOOKUP($A154,Invoices!$A$7:$W$156,3,FALSE),""))</x:f>
      </x:c>
      <x:c r="M154" s="52" t="str">
        <x:f>IF($A154="","",IFERROR(VLOOKUP($A154,Invoices!$A$7:$W$156,4,FALSE),""))</x:f>
      </x:c>
      <x:c r="N154" s="52" t="str">
        <x:f>IF($A154="","",IFERROR(VLOOKUP($A154,Invoices!$A$7:$W$156,5,FALSE),""))</x:f>
      </x:c>
      <x:c r="O154" s="52" t="str">
        <x:f>IF($A154="","",IF(OR($B154="",$C154&lt;=0,$D154&lt;0,$F154="",$K154="",COUNTIFS($A$7:$A$306,$A154,$B$7:$B$306,$B154)&gt;1),"REVIEW","OK"))</x:f>
      </x:c>
    </x:row>
    <x:row r="155">
      <x:c r="A155" s="46"/>
      <x:c r="B155" s="46"/>
      <x:c r="C155" s="68"/>
      <x:c r="D155" s="58"/>
      <x:c r="E155" s="60" t="str">
        <x:f>IF($A155="","",$C155*$D155)</x:f>
      </x:c>
      <x:c r="F155" s="104" t="str">
        <x:f>IF($A155="","",IFERROR(VLOOKUP($B155,Setup!$A$7:$H$23,2,FALSE),""))</x:f>
      </x:c>
      <x:c r="G155" s="52" t="str">
        <x:f>IF($A155="","",IFERROR(VLOOKUP($B155,Setup!$A$7:$H$23,5,FALSE),""))</x:f>
      </x:c>
      <x:c r="H155" s="60" t="str">
        <x:f>IF($A155="","",IFERROR(VLOOKUP($B155,Setup!$A$7:$H$23,6,FALSE),""))</x:f>
      </x:c>
      <x:c r="I155" s="60" t="str">
        <x:f>IF($A155="","",$C155*$H155)</x:f>
      </x:c>
      <x:c r="J155" s="60" t="str">
        <x:f>IF($A155="","",$E155-$I155)</x:f>
      </x:c>
      <x:c r="K155" s="66" t="str">
        <x:f>IF($A155="","",IFERROR(VLOOKUP($A155,Invoices!$A$7:$W$156,2,FALSE),""))</x:f>
      </x:c>
      <x:c r="L155" s="52" t="str">
        <x:f>IF($A155="","",IFERROR(VLOOKUP($A155,Invoices!$A$7:$W$156,3,FALSE),""))</x:f>
      </x:c>
      <x:c r="M155" s="52" t="str">
        <x:f>IF($A155="","",IFERROR(VLOOKUP($A155,Invoices!$A$7:$W$156,4,FALSE),""))</x:f>
      </x:c>
      <x:c r="N155" s="52" t="str">
        <x:f>IF($A155="","",IFERROR(VLOOKUP($A155,Invoices!$A$7:$W$156,5,FALSE),""))</x:f>
      </x:c>
      <x:c r="O155" s="52" t="str">
        <x:f>IF($A155="","",IF(OR($B155="",$C155&lt;=0,$D155&lt;0,$F155="",$K155="",COUNTIFS($A$7:$A$306,$A155,$B$7:$B$306,$B155)&gt;1),"REVIEW","OK"))</x:f>
      </x:c>
    </x:row>
    <x:row r="156">
      <x:c r="A156" s="46"/>
      <x:c r="B156" s="46"/>
      <x:c r="C156" s="68"/>
      <x:c r="D156" s="58"/>
      <x:c r="E156" s="60" t="str">
        <x:f>IF($A156="","",$C156*$D156)</x:f>
      </x:c>
      <x:c r="F156" s="104" t="str">
        <x:f>IF($A156="","",IFERROR(VLOOKUP($B156,Setup!$A$7:$H$23,2,FALSE),""))</x:f>
      </x:c>
      <x:c r="G156" s="52" t="str">
        <x:f>IF($A156="","",IFERROR(VLOOKUP($B156,Setup!$A$7:$H$23,5,FALSE),""))</x:f>
      </x:c>
      <x:c r="H156" s="60" t="str">
        <x:f>IF($A156="","",IFERROR(VLOOKUP($B156,Setup!$A$7:$H$23,6,FALSE),""))</x:f>
      </x:c>
      <x:c r="I156" s="60" t="str">
        <x:f>IF($A156="","",$C156*$H156)</x:f>
      </x:c>
      <x:c r="J156" s="60" t="str">
        <x:f>IF($A156="","",$E156-$I156)</x:f>
      </x:c>
      <x:c r="K156" s="66" t="str">
        <x:f>IF($A156="","",IFERROR(VLOOKUP($A156,Invoices!$A$7:$W$156,2,FALSE),""))</x:f>
      </x:c>
      <x:c r="L156" s="52" t="str">
        <x:f>IF($A156="","",IFERROR(VLOOKUP($A156,Invoices!$A$7:$W$156,3,FALSE),""))</x:f>
      </x:c>
      <x:c r="M156" s="52" t="str">
        <x:f>IF($A156="","",IFERROR(VLOOKUP($A156,Invoices!$A$7:$W$156,4,FALSE),""))</x:f>
      </x:c>
      <x:c r="N156" s="52" t="str">
        <x:f>IF($A156="","",IFERROR(VLOOKUP($A156,Invoices!$A$7:$W$156,5,FALSE),""))</x:f>
      </x:c>
      <x:c r="O156" s="52" t="str">
        <x:f>IF($A156="","",IF(OR($B156="",$C156&lt;=0,$D156&lt;0,$F156="",$K156="",COUNTIFS($A$7:$A$306,$A156,$B$7:$B$306,$B156)&gt;1),"REVIEW","OK"))</x:f>
      </x:c>
    </x:row>
    <x:row r="157">
      <x:c r="A157" s="46"/>
      <x:c r="B157" s="46"/>
      <x:c r="C157" s="68"/>
      <x:c r="D157" s="58"/>
      <x:c r="E157" s="60" t="str">
        <x:f>IF($A157="","",$C157*$D157)</x:f>
      </x:c>
      <x:c r="F157" s="104" t="str">
        <x:f>IF($A157="","",IFERROR(VLOOKUP($B157,Setup!$A$7:$H$23,2,FALSE),""))</x:f>
      </x:c>
      <x:c r="G157" s="52" t="str">
        <x:f>IF($A157="","",IFERROR(VLOOKUP($B157,Setup!$A$7:$H$23,5,FALSE),""))</x:f>
      </x:c>
      <x:c r="H157" s="60" t="str">
        <x:f>IF($A157="","",IFERROR(VLOOKUP($B157,Setup!$A$7:$H$23,6,FALSE),""))</x:f>
      </x:c>
      <x:c r="I157" s="60" t="str">
        <x:f>IF($A157="","",$C157*$H157)</x:f>
      </x:c>
      <x:c r="J157" s="60" t="str">
        <x:f>IF($A157="","",$E157-$I157)</x:f>
      </x:c>
      <x:c r="K157" s="66" t="str">
        <x:f>IF($A157="","",IFERROR(VLOOKUP($A157,Invoices!$A$7:$W$156,2,FALSE),""))</x:f>
      </x:c>
      <x:c r="L157" s="52" t="str">
        <x:f>IF($A157="","",IFERROR(VLOOKUP($A157,Invoices!$A$7:$W$156,3,FALSE),""))</x:f>
      </x:c>
      <x:c r="M157" s="52" t="str">
        <x:f>IF($A157="","",IFERROR(VLOOKUP($A157,Invoices!$A$7:$W$156,4,FALSE),""))</x:f>
      </x:c>
      <x:c r="N157" s="52" t="str">
        <x:f>IF($A157="","",IFERROR(VLOOKUP($A157,Invoices!$A$7:$W$156,5,FALSE),""))</x:f>
      </x:c>
      <x:c r="O157" s="52" t="str">
        <x:f>IF($A157="","",IF(OR($B157="",$C157&lt;=0,$D157&lt;0,$F157="",$K157="",COUNTIFS($A$7:$A$306,$A157,$B$7:$B$306,$B157)&gt;1),"REVIEW","OK"))</x:f>
      </x:c>
    </x:row>
    <x:row r="158">
      <x:c r="A158" s="46"/>
      <x:c r="B158" s="46"/>
      <x:c r="C158" s="68"/>
      <x:c r="D158" s="58"/>
      <x:c r="E158" s="60" t="str">
        <x:f>IF($A158="","",$C158*$D158)</x:f>
      </x:c>
      <x:c r="F158" s="104" t="str">
        <x:f>IF($A158="","",IFERROR(VLOOKUP($B158,Setup!$A$7:$H$23,2,FALSE),""))</x:f>
      </x:c>
      <x:c r="G158" s="52" t="str">
        <x:f>IF($A158="","",IFERROR(VLOOKUP($B158,Setup!$A$7:$H$23,5,FALSE),""))</x:f>
      </x:c>
      <x:c r="H158" s="60" t="str">
        <x:f>IF($A158="","",IFERROR(VLOOKUP($B158,Setup!$A$7:$H$23,6,FALSE),""))</x:f>
      </x:c>
      <x:c r="I158" s="60" t="str">
        <x:f>IF($A158="","",$C158*$H158)</x:f>
      </x:c>
      <x:c r="J158" s="60" t="str">
        <x:f>IF($A158="","",$E158-$I158)</x:f>
      </x:c>
      <x:c r="K158" s="66" t="str">
        <x:f>IF($A158="","",IFERROR(VLOOKUP($A158,Invoices!$A$7:$W$156,2,FALSE),""))</x:f>
      </x:c>
      <x:c r="L158" s="52" t="str">
        <x:f>IF($A158="","",IFERROR(VLOOKUP($A158,Invoices!$A$7:$W$156,3,FALSE),""))</x:f>
      </x:c>
      <x:c r="M158" s="52" t="str">
        <x:f>IF($A158="","",IFERROR(VLOOKUP($A158,Invoices!$A$7:$W$156,4,FALSE),""))</x:f>
      </x:c>
      <x:c r="N158" s="52" t="str">
        <x:f>IF($A158="","",IFERROR(VLOOKUP($A158,Invoices!$A$7:$W$156,5,FALSE),""))</x:f>
      </x:c>
      <x:c r="O158" s="52" t="str">
        <x:f>IF($A158="","",IF(OR($B158="",$C158&lt;=0,$D158&lt;0,$F158="",$K158="",COUNTIFS($A$7:$A$306,$A158,$B$7:$B$306,$B158)&gt;1),"REVIEW","OK"))</x:f>
      </x:c>
    </x:row>
    <x:row r="159">
      <x:c r="A159" s="46"/>
      <x:c r="B159" s="46"/>
      <x:c r="C159" s="68"/>
      <x:c r="D159" s="58"/>
      <x:c r="E159" s="60" t="str">
        <x:f>IF($A159="","",$C159*$D159)</x:f>
      </x:c>
      <x:c r="F159" s="104" t="str">
        <x:f>IF($A159="","",IFERROR(VLOOKUP($B159,Setup!$A$7:$H$23,2,FALSE),""))</x:f>
      </x:c>
      <x:c r="G159" s="52" t="str">
        <x:f>IF($A159="","",IFERROR(VLOOKUP($B159,Setup!$A$7:$H$23,5,FALSE),""))</x:f>
      </x:c>
      <x:c r="H159" s="60" t="str">
        <x:f>IF($A159="","",IFERROR(VLOOKUP($B159,Setup!$A$7:$H$23,6,FALSE),""))</x:f>
      </x:c>
      <x:c r="I159" s="60" t="str">
        <x:f>IF($A159="","",$C159*$H159)</x:f>
      </x:c>
      <x:c r="J159" s="60" t="str">
        <x:f>IF($A159="","",$E159-$I159)</x:f>
      </x:c>
      <x:c r="K159" s="66" t="str">
        <x:f>IF($A159="","",IFERROR(VLOOKUP($A159,Invoices!$A$7:$W$156,2,FALSE),""))</x:f>
      </x:c>
      <x:c r="L159" s="52" t="str">
        <x:f>IF($A159="","",IFERROR(VLOOKUP($A159,Invoices!$A$7:$W$156,3,FALSE),""))</x:f>
      </x:c>
      <x:c r="M159" s="52" t="str">
        <x:f>IF($A159="","",IFERROR(VLOOKUP($A159,Invoices!$A$7:$W$156,4,FALSE),""))</x:f>
      </x:c>
      <x:c r="N159" s="52" t="str">
        <x:f>IF($A159="","",IFERROR(VLOOKUP($A159,Invoices!$A$7:$W$156,5,FALSE),""))</x:f>
      </x:c>
      <x:c r="O159" s="52" t="str">
        <x:f>IF($A159="","",IF(OR($B159="",$C159&lt;=0,$D159&lt;0,$F159="",$K159="",COUNTIFS($A$7:$A$306,$A159,$B$7:$B$306,$B159)&gt;1),"REVIEW","OK"))</x:f>
      </x:c>
    </x:row>
    <x:row r="160">
      <x:c r="A160" s="46"/>
      <x:c r="B160" s="46"/>
      <x:c r="C160" s="68"/>
      <x:c r="D160" s="58"/>
      <x:c r="E160" s="60" t="str">
        <x:f>IF($A160="","",$C160*$D160)</x:f>
      </x:c>
      <x:c r="F160" s="104" t="str">
        <x:f>IF($A160="","",IFERROR(VLOOKUP($B160,Setup!$A$7:$H$23,2,FALSE),""))</x:f>
      </x:c>
      <x:c r="G160" s="52" t="str">
        <x:f>IF($A160="","",IFERROR(VLOOKUP($B160,Setup!$A$7:$H$23,5,FALSE),""))</x:f>
      </x:c>
      <x:c r="H160" s="60" t="str">
        <x:f>IF($A160="","",IFERROR(VLOOKUP($B160,Setup!$A$7:$H$23,6,FALSE),""))</x:f>
      </x:c>
      <x:c r="I160" s="60" t="str">
        <x:f>IF($A160="","",$C160*$H160)</x:f>
      </x:c>
      <x:c r="J160" s="60" t="str">
        <x:f>IF($A160="","",$E160-$I160)</x:f>
      </x:c>
      <x:c r="K160" s="66" t="str">
        <x:f>IF($A160="","",IFERROR(VLOOKUP($A160,Invoices!$A$7:$W$156,2,FALSE),""))</x:f>
      </x:c>
      <x:c r="L160" s="52" t="str">
        <x:f>IF($A160="","",IFERROR(VLOOKUP($A160,Invoices!$A$7:$W$156,3,FALSE),""))</x:f>
      </x:c>
      <x:c r="M160" s="52" t="str">
        <x:f>IF($A160="","",IFERROR(VLOOKUP($A160,Invoices!$A$7:$W$156,4,FALSE),""))</x:f>
      </x:c>
      <x:c r="N160" s="52" t="str">
        <x:f>IF($A160="","",IFERROR(VLOOKUP($A160,Invoices!$A$7:$W$156,5,FALSE),""))</x:f>
      </x:c>
      <x:c r="O160" s="52" t="str">
        <x:f>IF($A160="","",IF(OR($B160="",$C160&lt;=0,$D160&lt;0,$F160="",$K160="",COUNTIFS($A$7:$A$306,$A160,$B$7:$B$306,$B160)&gt;1),"REVIEW","OK"))</x:f>
      </x:c>
    </x:row>
    <x:row r="161">
      <x:c r="A161" s="46"/>
      <x:c r="B161" s="46"/>
      <x:c r="C161" s="68"/>
      <x:c r="D161" s="58"/>
      <x:c r="E161" s="60" t="str">
        <x:f>IF($A161="","",$C161*$D161)</x:f>
      </x:c>
      <x:c r="F161" s="104" t="str">
        <x:f>IF($A161="","",IFERROR(VLOOKUP($B161,Setup!$A$7:$H$23,2,FALSE),""))</x:f>
      </x:c>
      <x:c r="G161" s="52" t="str">
        <x:f>IF($A161="","",IFERROR(VLOOKUP($B161,Setup!$A$7:$H$23,5,FALSE),""))</x:f>
      </x:c>
      <x:c r="H161" s="60" t="str">
        <x:f>IF($A161="","",IFERROR(VLOOKUP($B161,Setup!$A$7:$H$23,6,FALSE),""))</x:f>
      </x:c>
      <x:c r="I161" s="60" t="str">
        <x:f>IF($A161="","",$C161*$H161)</x:f>
      </x:c>
      <x:c r="J161" s="60" t="str">
        <x:f>IF($A161="","",$E161-$I161)</x:f>
      </x:c>
      <x:c r="K161" s="66" t="str">
        <x:f>IF($A161="","",IFERROR(VLOOKUP($A161,Invoices!$A$7:$W$156,2,FALSE),""))</x:f>
      </x:c>
      <x:c r="L161" s="52" t="str">
        <x:f>IF($A161="","",IFERROR(VLOOKUP($A161,Invoices!$A$7:$W$156,3,FALSE),""))</x:f>
      </x:c>
      <x:c r="M161" s="52" t="str">
        <x:f>IF($A161="","",IFERROR(VLOOKUP($A161,Invoices!$A$7:$W$156,4,FALSE),""))</x:f>
      </x:c>
      <x:c r="N161" s="52" t="str">
        <x:f>IF($A161="","",IFERROR(VLOOKUP($A161,Invoices!$A$7:$W$156,5,FALSE),""))</x:f>
      </x:c>
      <x:c r="O161" s="52" t="str">
        <x:f>IF($A161="","",IF(OR($B161="",$C161&lt;=0,$D161&lt;0,$F161="",$K161="",COUNTIFS($A$7:$A$306,$A161,$B$7:$B$306,$B161)&gt;1),"REVIEW","OK"))</x:f>
      </x:c>
    </x:row>
    <x:row r="162">
      <x:c r="A162" s="46"/>
      <x:c r="B162" s="46"/>
      <x:c r="C162" s="68"/>
      <x:c r="D162" s="58"/>
      <x:c r="E162" s="60" t="str">
        <x:f>IF($A162="","",$C162*$D162)</x:f>
      </x:c>
      <x:c r="F162" s="104" t="str">
        <x:f>IF($A162="","",IFERROR(VLOOKUP($B162,Setup!$A$7:$H$23,2,FALSE),""))</x:f>
      </x:c>
      <x:c r="G162" s="52" t="str">
        <x:f>IF($A162="","",IFERROR(VLOOKUP($B162,Setup!$A$7:$H$23,5,FALSE),""))</x:f>
      </x:c>
      <x:c r="H162" s="60" t="str">
        <x:f>IF($A162="","",IFERROR(VLOOKUP($B162,Setup!$A$7:$H$23,6,FALSE),""))</x:f>
      </x:c>
      <x:c r="I162" s="60" t="str">
        <x:f>IF($A162="","",$C162*$H162)</x:f>
      </x:c>
      <x:c r="J162" s="60" t="str">
        <x:f>IF($A162="","",$E162-$I162)</x:f>
      </x:c>
      <x:c r="K162" s="66" t="str">
        <x:f>IF($A162="","",IFERROR(VLOOKUP($A162,Invoices!$A$7:$W$156,2,FALSE),""))</x:f>
      </x:c>
      <x:c r="L162" s="52" t="str">
        <x:f>IF($A162="","",IFERROR(VLOOKUP($A162,Invoices!$A$7:$W$156,3,FALSE),""))</x:f>
      </x:c>
      <x:c r="M162" s="52" t="str">
        <x:f>IF($A162="","",IFERROR(VLOOKUP($A162,Invoices!$A$7:$W$156,4,FALSE),""))</x:f>
      </x:c>
      <x:c r="N162" s="52" t="str">
        <x:f>IF($A162="","",IFERROR(VLOOKUP($A162,Invoices!$A$7:$W$156,5,FALSE),""))</x:f>
      </x:c>
      <x:c r="O162" s="52" t="str">
        <x:f>IF($A162="","",IF(OR($B162="",$C162&lt;=0,$D162&lt;0,$F162="",$K162="",COUNTIFS($A$7:$A$306,$A162,$B$7:$B$306,$B162)&gt;1),"REVIEW","OK"))</x:f>
      </x:c>
    </x:row>
    <x:row r="163">
      <x:c r="A163" s="46"/>
      <x:c r="B163" s="46"/>
      <x:c r="C163" s="68"/>
      <x:c r="D163" s="58"/>
      <x:c r="E163" s="60" t="str">
        <x:f>IF($A163="","",$C163*$D163)</x:f>
      </x:c>
      <x:c r="F163" s="104" t="str">
        <x:f>IF($A163="","",IFERROR(VLOOKUP($B163,Setup!$A$7:$H$23,2,FALSE),""))</x:f>
      </x:c>
      <x:c r="G163" s="52" t="str">
        <x:f>IF($A163="","",IFERROR(VLOOKUP($B163,Setup!$A$7:$H$23,5,FALSE),""))</x:f>
      </x:c>
      <x:c r="H163" s="60" t="str">
        <x:f>IF($A163="","",IFERROR(VLOOKUP($B163,Setup!$A$7:$H$23,6,FALSE),""))</x:f>
      </x:c>
      <x:c r="I163" s="60" t="str">
        <x:f>IF($A163="","",$C163*$H163)</x:f>
      </x:c>
      <x:c r="J163" s="60" t="str">
        <x:f>IF($A163="","",$E163-$I163)</x:f>
      </x:c>
      <x:c r="K163" s="66" t="str">
        <x:f>IF($A163="","",IFERROR(VLOOKUP($A163,Invoices!$A$7:$W$156,2,FALSE),""))</x:f>
      </x:c>
      <x:c r="L163" s="52" t="str">
        <x:f>IF($A163="","",IFERROR(VLOOKUP($A163,Invoices!$A$7:$W$156,3,FALSE),""))</x:f>
      </x:c>
      <x:c r="M163" s="52" t="str">
        <x:f>IF($A163="","",IFERROR(VLOOKUP($A163,Invoices!$A$7:$W$156,4,FALSE),""))</x:f>
      </x:c>
      <x:c r="N163" s="52" t="str">
        <x:f>IF($A163="","",IFERROR(VLOOKUP($A163,Invoices!$A$7:$W$156,5,FALSE),""))</x:f>
      </x:c>
      <x:c r="O163" s="52" t="str">
        <x:f>IF($A163="","",IF(OR($B163="",$C163&lt;=0,$D163&lt;0,$F163="",$K163="",COUNTIFS($A$7:$A$306,$A163,$B$7:$B$306,$B163)&gt;1),"REVIEW","OK"))</x:f>
      </x:c>
    </x:row>
    <x:row r="164">
      <x:c r="A164" s="46"/>
      <x:c r="B164" s="46"/>
      <x:c r="C164" s="68"/>
      <x:c r="D164" s="58"/>
      <x:c r="E164" s="60" t="str">
        <x:f>IF($A164="","",$C164*$D164)</x:f>
      </x:c>
      <x:c r="F164" s="104" t="str">
        <x:f>IF($A164="","",IFERROR(VLOOKUP($B164,Setup!$A$7:$H$23,2,FALSE),""))</x:f>
      </x:c>
      <x:c r="G164" s="52" t="str">
        <x:f>IF($A164="","",IFERROR(VLOOKUP($B164,Setup!$A$7:$H$23,5,FALSE),""))</x:f>
      </x:c>
      <x:c r="H164" s="60" t="str">
        <x:f>IF($A164="","",IFERROR(VLOOKUP($B164,Setup!$A$7:$H$23,6,FALSE),""))</x:f>
      </x:c>
      <x:c r="I164" s="60" t="str">
        <x:f>IF($A164="","",$C164*$H164)</x:f>
      </x:c>
      <x:c r="J164" s="60" t="str">
        <x:f>IF($A164="","",$E164-$I164)</x:f>
      </x:c>
      <x:c r="K164" s="66" t="str">
        <x:f>IF($A164="","",IFERROR(VLOOKUP($A164,Invoices!$A$7:$W$156,2,FALSE),""))</x:f>
      </x:c>
      <x:c r="L164" s="52" t="str">
        <x:f>IF($A164="","",IFERROR(VLOOKUP($A164,Invoices!$A$7:$W$156,3,FALSE),""))</x:f>
      </x:c>
      <x:c r="M164" s="52" t="str">
        <x:f>IF($A164="","",IFERROR(VLOOKUP($A164,Invoices!$A$7:$W$156,4,FALSE),""))</x:f>
      </x:c>
      <x:c r="N164" s="52" t="str">
        <x:f>IF($A164="","",IFERROR(VLOOKUP($A164,Invoices!$A$7:$W$156,5,FALSE),""))</x:f>
      </x:c>
      <x:c r="O164" s="52" t="str">
        <x:f>IF($A164="","",IF(OR($B164="",$C164&lt;=0,$D164&lt;0,$F164="",$K164="",COUNTIFS($A$7:$A$306,$A164,$B$7:$B$306,$B164)&gt;1),"REVIEW","OK"))</x:f>
      </x:c>
    </x:row>
    <x:row r="165">
      <x:c r="A165" s="46"/>
      <x:c r="B165" s="46"/>
      <x:c r="C165" s="68"/>
      <x:c r="D165" s="58"/>
      <x:c r="E165" s="60" t="str">
        <x:f>IF($A165="","",$C165*$D165)</x:f>
      </x:c>
      <x:c r="F165" s="104" t="str">
        <x:f>IF($A165="","",IFERROR(VLOOKUP($B165,Setup!$A$7:$H$23,2,FALSE),""))</x:f>
      </x:c>
      <x:c r="G165" s="52" t="str">
        <x:f>IF($A165="","",IFERROR(VLOOKUP($B165,Setup!$A$7:$H$23,5,FALSE),""))</x:f>
      </x:c>
      <x:c r="H165" s="60" t="str">
        <x:f>IF($A165="","",IFERROR(VLOOKUP($B165,Setup!$A$7:$H$23,6,FALSE),""))</x:f>
      </x:c>
      <x:c r="I165" s="60" t="str">
        <x:f>IF($A165="","",$C165*$H165)</x:f>
      </x:c>
      <x:c r="J165" s="60" t="str">
        <x:f>IF($A165="","",$E165-$I165)</x:f>
      </x:c>
      <x:c r="K165" s="66" t="str">
        <x:f>IF($A165="","",IFERROR(VLOOKUP($A165,Invoices!$A$7:$W$156,2,FALSE),""))</x:f>
      </x:c>
      <x:c r="L165" s="52" t="str">
        <x:f>IF($A165="","",IFERROR(VLOOKUP($A165,Invoices!$A$7:$W$156,3,FALSE),""))</x:f>
      </x:c>
      <x:c r="M165" s="52" t="str">
        <x:f>IF($A165="","",IFERROR(VLOOKUP($A165,Invoices!$A$7:$W$156,4,FALSE),""))</x:f>
      </x:c>
      <x:c r="N165" s="52" t="str">
        <x:f>IF($A165="","",IFERROR(VLOOKUP($A165,Invoices!$A$7:$W$156,5,FALSE),""))</x:f>
      </x:c>
      <x:c r="O165" s="52" t="str">
        <x:f>IF($A165="","",IF(OR($B165="",$C165&lt;=0,$D165&lt;0,$F165="",$K165="",COUNTIFS($A$7:$A$306,$A165,$B$7:$B$306,$B165)&gt;1),"REVIEW","OK"))</x:f>
      </x:c>
    </x:row>
    <x:row r="166">
      <x:c r="A166" s="46"/>
      <x:c r="B166" s="46"/>
      <x:c r="C166" s="68"/>
      <x:c r="D166" s="58"/>
      <x:c r="E166" s="60" t="str">
        <x:f>IF($A166="","",$C166*$D166)</x:f>
      </x:c>
      <x:c r="F166" s="104" t="str">
        <x:f>IF($A166="","",IFERROR(VLOOKUP($B166,Setup!$A$7:$H$23,2,FALSE),""))</x:f>
      </x:c>
      <x:c r="G166" s="52" t="str">
        <x:f>IF($A166="","",IFERROR(VLOOKUP($B166,Setup!$A$7:$H$23,5,FALSE),""))</x:f>
      </x:c>
      <x:c r="H166" s="60" t="str">
        <x:f>IF($A166="","",IFERROR(VLOOKUP($B166,Setup!$A$7:$H$23,6,FALSE),""))</x:f>
      </x:c>
      <x:c r="I166" s="60" t="str">
        <x:f>IF($A166="","",$C166*$H166)</x:f>
      </x:c>
      <x:c r="J166" s="60" t="str">
        <x:f>IF($A166="","",$E166-$I166)</x:f>
      </x:c>
      <x:c r="K166" s="66" t="str">
        <x:f>IF($A166="","",IFERROR(VLOOKUP($A166,Invoices!$A$7:$W$156,2,FALSE),""))</x:f>
      </x:c>
      <x:c r="L166" s="52" t="str">
        <x:f>IF($A166="","",IFERROR(VLOOKUP($A166,Invoices!$A$7:$W$156,3,FALSE),""))</x:f>
      </x:c>
      <x:c r="M166" s="52" t="str">
        <x:f>IF($A166="","",IFERROR(VLOOKUP($A166,Invoices!$A$7:$W$156,4,FALSE),""))</x:f>
      </x:c>
      <x:c r="N166" s="52" t="str">
        <x:f>IF($A166="","",IFERROR(VLOOKUP($A166,Invoices!$A$7:$W$156,5,FALSE),""))</x:f>
      </x:c>
      <x:c r="O166" s="52" t="str">
        <x:f>IF($A166="","",IF(OR($B166="",$C166&lt;=0,$D166&lt;0,$F166="",$K166="",COUNTIFS($A$7:$A$306,$A166,$B$7:$B$306,$B166)&gt;1),"REVIEW","OK"))</x:f>
      </x:c>
    </x:row>
    <x:row r="167">
      <x:c r="A167" s="46"/>
      <x:c r="B167" s="46"/>
      <x:c r="C167" s="68"/>
      <x:c r="D167" s="58"/>
      <x:c r="E167" s="60" t="str">
        <x:f>IF($A167="","",$C167*$D167)</x:f>
      </x:c>
      <x:c r="F167" s="104" t="str">
        <x:f>IF($A167="","",IFERROR(VLOOKUP($B167,Setup!$A$7:$H$23,2,FALSE),""))</x:f>
      </x:c>
      <x:c r="G167" s="52" t="str">
        <x:f>IF($A167="","",IFERROR(VLOOKUP($B167,Setup!$A$7:$H$23,5,FALSE),""))</x:f>
      </x:c>
      <x:c r="H167" s="60" t="str">
        <x:f>IF($A167="","",IFERROR(VLOOKUP($B167,Setup!$A$7:$H$23,6,FALSE),""))</x:f>
      </x:c>
      <x:c r="I167" s="60" t="str">
        <x:f>IF($A167="","",$C167*$H167)</x:f>
      </x:c>
      <x:c r="J167" s="60" t="str">
        <x:f>IF($A167="","",$E167-$I167)</x:f>
      </x:c>
      <x:c r="K167" s="66" t="str">
        <x:f>IF($A167="","",IFERROR(VLOOKUP($A167,Invoices!$A$7:$W$156,2,FALSE),""))</x:f>
      </x:c>
      <x:c r="L167" s="52" t="str">
        <x:f>IF($A167="","",IFERROR(VLOOKUP($A167,Invoices!$A$7:$W$156,3,FALSE),""))</x:f>
      </x:c>
      <x:c r="M167" s="52" t="str">
        <x:f>IF($A167="","",IFERROR(VLOOKUP($A167,Invoices!$A$7:$W$156,4,FALSE),""))</x:f>
      </x:c>
      <x:c r="N167" s="52" t="str">
        <x:f>IF($A167="","",IFERROR(VLOOKUP($A167,Invoices!$A$7:$W$156,5,FALSE),""))</x:f>
      </x:c>
      <x:c r="O167" s="52" t="str">
        <x:f>IF($A167="","",IF(OR($B167="",$C167&lt;=0,$D167&lt;0,$F167="",$K167="",COUNTIFS($A$7:$A$306,$A167,$B$7:$B$306,$B167)&gt;1),"REVIEW","OK"))</x:f>
      </x:c>
    </x:row>
    <x:row r="168">
      <x:c r="A168" s="46"/>
      <x:c r="B168" s="46"/>
      <x:c r="C168" s="68"/>
      <x:c r="D168" s="58"/>
      <x:c r="E168" s="60" t="str">
        <x:f>IF($A168="","",$C168*$D168)</x:f>
      </x:c>
      <x:c r="F168" s="104" t="str">
        <x:f>IF($A168="","",IFERROR(VLOOKUP($B168,Setup!$A$7:$H$23,2,FALSE),""))</x:f>
      </x:c>
      <x:c r="G168" s="52" t="str">
        <x:f>IF($A168="","",IFERROR(VLOOKUP($B168,Setup!$A$7:$H$23,5,FALSE),""))</x:f>
      </x:c>
      <x:c r="H168" s="60" t="str">
        <x:f>IF($A168="","",IFERROR(VLOOKUP($B168,Setup!$A$7:$H$23,6,FALSE),""))</x:f>
      </x:c>
      <x:c r="I168" s="60" t="str">
        <x:f>IF($A168="","",$C168*$H168)</x:f>
      </x:c>
      <x:c r="J168" s="60" t="str">
        <x:f>IF($A168="","",$E168-$I168)</x:f>
      </x:c>
      <x:c r="K168" s="66" t="str">
        <x:f>IF($A168="","",IFERROR(VLOOKUP($A168,Invoices!$A$7:$W$156,2,FALSE),""))</x:f>
      </x:c>
      <x:c r="L168" s="52" t="str">
        <x:f>IF($A168="","",IFERROR(VLOOKUP($A168,Invoices!$A$7:$W$156,3,FALSE),""))</x:f>
      </x:c>
      <x:c r="M168" s="52" t="str">
        <x:f>IF($A168="","",IFERROR(VLOOKUP($A168,Invoices!$A$7:$W$156,4,FALSE),""))</x:f>
      </x:c>
      <x:c r="N168" s="52" t="str">
        <x:f>IF($A168="","",IFERROR(VLOOKUP($A168,Invoices!$A$7:$W$156,5,FALSE),""))</x:f>
      </x:c>
      <x:c r="O168" s="52" t="str">
        <x:f>IF($A168="","",IF(OR($B168="",$C168&lt;=0,$D168&lt;0,$F168="",$K168="",COUNTIFS($A$7:$A$306,$A168,$B$7:$B$306,$B168)&gt;1),"REVIEW","OK"))</x:f>
      </x:c>
    </x:row>
    <x:row r="169">
      <x:c r="A169" s="46"/>
      <x:c r="B169" s="46"/>
      <x:c r="C169" s="68"/>
      <x:c r="D169" s="58"/>
      <x:c r="E169" s="60" t="str">
        <x:f>IF($A169="","",$C169*$D169)</x:f>
      </x:c>
      <x:c r="F169" s="104" t="str">
        <x:f>IF($A169="","",IFERROR(VLOOKUP($B169,Setup!$A$7:$H$23,2,FALSE),""))</x:f>
      </x:c>
      <x:c r="G169" s="52" t="str">
        <x:f>IF($A169="","",IFERROR(VLOOKUP($B169,Setup!$A$7:$H$23,5,FALSE),""))</x:f>
      </x:c>
      <x:c r="H169" s="60" t="str">
        <x:f>IF($A169="","",IFERROR(VLOOKUP($B169,Setup!$A$7:$H$23,6,FALSE),""))</x:f>
      </x:c>
      <x:c r="I169" s="60" t="str">
        <x:f>IF($A169="","",$C169*$H169)</x:f>
      </x:c>
      <x:c r="J169" s="60" t="str">
        <x:f>IF($A169="","",$E169-$I169)</x:f>
      </x:c>
      <x:c r="K169" s="66" t="str">
        <x:f>IF($A169="","",IFERROR(VLOOKUP($A169,Invoices!$A$7:$W$156,2,FALSE),""))</x:f>
      </x:c>
      <x:c r="L169" s="52" t="str">
        <x:f>IF($A169="","",IFERROR(VLOOKUP($A169,Invoices!$A$7:$W$156,3,FALSE),""))</x:f>
      </x:c>
      <x:c r="M169" s="52" t="str">
        <x:f>IF($A169="","",IFERROR(VLOOKUP($A169,Invoices!$A$7:$W$156,4,FALSE),""))</x:f>
      </x:c>
      <x:c r="N169" s="52" t="str">
        <x:f>IF($A169="","",IFERROR(VLOOKUP($A169,Invoices!$A$7:$W$156,5,FALSE),""))</x:f>
      </x:c>
      <x:c r="O169" s="52" t="str">
        <x:f>IF($A169="","",IF(OR($B169="",$C169&lt;=0,$D169&lt;0,$F169="",$K169="",COUNTIFS($A$7:$A$306,$A169,$B$7:$B$306,$B169)&gt;1),"REVIEW","OK"))</x:f>
      </x:c>
    </x:row>
    <x:row r="170">
      <x:c r="A170" s="46"/>
      <x:c r="B170" s="46"/>
      <x:c r="C170" s="68"/>
      <x:c r="D170" s="58"/>
      <x:c r="E170" s="60" t="str">
        <x:f>IF($A170="","",$C170*$D170)</x:f>
      </x:c>
      <x:c r="F170" s="104" t="str">
        <x:f>IF($A170="","",IFERROR(VLOOKUP($B170,Setup!$A$7:$H$23,2,FALSE),""))</x:f>
      </x:c>
      <x:c r="G170" s="52" t="str">
        <x:f>IF($A170="","",IFERROR(VLOOKUP($B170,Setup!$A$7:$H$23,5,FALSE),""))</x:f>
      </x:c>
      <x:c r="H170" s="60" t="str">
        <x:f>IF($A170="","",IFERROR(VLOOKUP($B170,Setup!$A$7:$H$23,6,FALSE),""))</x:f>
      </x:c>
      <x:c r="I170" s="60" t="str">
        <x:f>IF($A170="","",$C170*$H170)</x:f>
      </x:c>
      <x:c r="J170" s="60" t="str">
        <x:f>IF($A170="","",$E170-$I170)</x:f>
      </x:c>
      <x:c r="K170" s="66" t="str">
        <x:f>IF($A170="","",IFERROR(VLOOKUP($A170,Invoices!$A$7:$W$156,2,FALSE),""))</x:f>
      </x:c>
      <x:c r="L170" s="52" t="str">
        <x:f>IF($A170="","",IFERROR(VLOOKUP($A170,Invoices!$A$7:$W$156,3,FALSE),""))</x:f>
      </x:c>
      <x:c r="M170" s="52" t="str">
        <x:f>IF($A170="","",IFERROR(VLOOKUP($A170,Invoices!$A$7:$W$156,4,FALSE),""))</x:f>
      </x:c>
      <x:c r="N170" s="52" t="str">
        <x:f>IF($A170="","",IFERROR(VLOOKUP($A170,Invoices!$A$7:$W$156,5,FALSE),""))</x:f>
      </x:c>
      <x:c r="O170" s="52" t="str">
        <x:f>IF($A170="","",IF(OR($B170="",$C170&lt;=0,$D170&lt;0,$F170="",$K170="",COUNTIFS($A$7:$A$306,$A170,$B$7:$B$306,$B170)&gt;1),"REVIEW","OK"))</x:f>
      </x:c>
    </x:row>
    <x:row r="171">
      <x:c r="A171" s="46"/>
      <x:c r="B171" s="46"/>
      <x:c r="C171" s="68"/>
      <x:c r="D171" s="58"/>
      <x:c r="E171" s="60" t="str">
        <x:f>IF($A171="","",$C171*$D171)</x:f>
      </x:c>
      <x:c r="F171" s="104" t="str">
        <x:f>IF($A171="","",IFERROR(VLOOKUP($B171,Setup!$A$7:$H$23,2,FALSE),""))</x:f>
      </x:c>
      <x:c r="G171" s="52" t="str">
        <x:f>IF($A171="","",IFERROR(VLOOKUP($B171,Setup!$A$7:$H$23,5,FALSE),""))</x:f>
      </x:c>
      <x:c r="H171" s="60" t="str">
        <x:f>IF($A171="","",IFERROR(VLOOKUP($B171,Setup!$A$7:$H$23,6,FALSE),""))</x:f>
      </x:c>
      <x:c r="I171" s="60" t="str">
        <x:f>IF($A171="","",$C171*$H171)</x:f>
      </x:c>
      <x:c r="J171" s="60" t="str">
        <x:f>IF($A171="","",$E171-$I171)</x:f>
      </x:c>
      <x:c r="K171" s="66" t="str">
        <x:f>IF($A171="","",IFERROR(VLOOKUP($A171,Invoices!$A$7:$W$156,2,FALSE),""))</x:f>
      </x:c>
      <x:c r="L171" s="52" t="str">
        <x:f>IF($A171="","",IFERROR(VLOOKUP($A171,Invoices!$A$7:$W$156,3,FALSE),""))</x:f>
      </x:c>
      <x:c r="M171" s="52" t="str">
        <x:f>IF($A171="","",IFERROR(VLOOKUP($A171,Invoices!$A$7:$W$156,4,FALSE),""))</x:f>
      </x:c>
      <x:c r="N171" s="52" t="str">
        <x:f>IF($A171="","",IFERROR(VLOOKUP($A171,Invoices!$A$7:$W$156,5,FALSE),""))</x:f>
      </x:c>
      <x:c r="O171" s="52" t="str">
        <x:f>IF($A171="","",IF(OR($B171="",$C171&lt;=0,$D171&lt;0,$F171="",$K171="",COUNTIFS($A$7:$A$306,$A171,$B$7:$B$306,$B171)&gt;1),"REVIEW","OK"))</x:f>
      </x:c>
    </x:row>
    <x:row r="172">
      <x:c r="A172" s="46"/>
      <x:c r="B172" s="46"/>
      <x:c r="C172" s="68"/>
      <x:c r="D172" s="58"/>
      <x:c r="E172" s="60" t="str">
        <x:f>IF($A172="","",$C172*$D172)</x:f>
      </x:c>
      <x:c r="F172" s="104" t="str">
        <x:f>IF($A172="","",IFERROR(VLOOKUP($B172,Setup!$A$7:$H$23,2,FALSE),""))</x:f>
      </x:c>
      <x:c r="G172" s="52" t="str">
        <x:f>IF($A172="","",IFERROR(VLOOKUP($B172,Setup!$A$7:$H$23,5,FALSE),""))</x:f>
      </x:c>
      <x:c r="H172" s="60" t="str">
        <x:f>IF($A172="","",IFERROR(VLOOKUP($B172,Setup!$A$7:$H$23,6,FALSE),""))</x:f>
      </x:c>
      <x:c r="I172" s="60" t="str">
        <x:f>IF($A172="","",$C172*$H172)</x:f>
      </x:c>
      <x:c r="J172" s="60" t="str">
        <x:f>IF($A172="","",$E172-$I172)</x:f>
      </x:c>
      <x:c r="K172" s="66" t="str">
        <x:f>IF($A172="","",IFERROR(VLOOKUP($A172,Invoices!$A$7:$W$156,2,FALSE),""))</x:f>
      </x:c>
      <x:c r="L172" s="52" t="str">
        <x:f>IF($A172="","",IFERROR(VLOOKUP($A172,Invoices!$A$7:$W$156,3,FALSE),""))</x:f>
      </x:c>
      <x:c r="M172" s="52" t="str">
        <x:f>IF($A172="","",IFERROR(VLOOKUP($A172,Invoices!$A$7:$W$156,4,FALSE),""))</x:f>
      </x:c>
      <x:c r="N172" s="52" t="str">
        <x:f>IF($A172="","",IFERROR(VLOOKUP($A172,Invoices!$A$7:$W$156,5,FALSE),""))</x:f>
      </x:c>
      <x:c r="O172" s="52" t="str">
        <x:f>IF($A172="","",IF(OR($B172="",$C172&lt;=0,$D172&lt;0,$F172="",$K172="",COUNTIFS($A$7:$A$306,$A172,$B$7:$B$306,$B172)&gt;1),"REVIEW","OK"))</x:f>
      </x:c>
    </x:row>
    <x:row r="173">
      <x:c r="A173" s="46"/>
      <x:c r="B173" s="46"/>
      <x:c r="C173" s="68"/>
      <x:c r="D173" s="58"/>
      <x:c r="E173" s="60" t="str">
        <x:f>IF($A173="","",$C173*$D173)</x:f>
      </x:c>
      <x:c r="F173" s="104" t="str">
        <x:f>IF($A173="","",IFERROR(VLOOKUP($B173,Setup!$A$7:$H$23,2,FALSE),""))</x:f>
      </x:c>
      <x:c r="G173" s="52" t="str">
        <x:f>IF($A173="","",IFERROR(VLOOKUP($B173,Setup!$A$7:$H$23,5,FALSE),""))</x:f>
      </x:c>
      <x:c r="H173" s="60" t="str">
        <x:f>IF($A173="","",IFERROR(VLOOKUP($B173,Setup!$A$7:$H$23,6,FALSE),""))</x:f>
      </x:c>
      <x:c r="I173" s="60" t="str">
        <x:f>IF($A173="","",$C173*$H173)</x:f>
      </x:c>
      <x:c r="J173" s="60" t="str">
        <x:f>IF($A173="","",$E173-$I173)</x:f>
      </x:c>
      <x:c r="K173" s="66" t="str">
        <x:f>IF($A173="","",IFERROR(VLOOKUP($A173,Invoices!$A$7:$W$156,2,FALSE),""))</x:f>
      </x:c>
      <x:c r="L173" s="52" t="str">
        <x:f>IF($A173="","",IFERROR(VLOOKUP($A173,Invoices!$A$7:$W$156,3,FALSE),""))</x:f>
      </x:c>
      <x:c r="M173" s="52" t="str">
        <x:f>IF($A173="","",IFERROR(VLOOKUP($A173,Invoices!$A$7:$W$156,4,FALSE),""))</x:f>
      </x:c>
      <x:c r="N173" s="52" t="str">
        <x:f>IF($A173="","",IFERROR(VLOOKUP($A173,Invoices!$A$7:$W$156,5,FALSE),""))</x:f>
      </x:c>
      <x:c r="O173" s="52" t="str">
        <x:f>IF($A173="","",IF(OR($B173="",$C173&lt;=0,$D173&lt;0,$F173="",$K173="",COUNTIFS($A$7:$A$306,$A173,$B$7:$B$306,$B173)&gt;1),"REVIEW","OK"))</x:f>
      </x:c>
    </x:row>
    <x:row r="174">
      <x:c r="A174" s="46"/>
      <x:c r="B174" s="46"/>
      <x:c r="C174" s="68"/>
      <x:c r="D174" s="58"/>
      <x:c r="E174" s="60" t="str">
        <x:f>IF($A174="","",$C174*$D174)</x:f>
      </x:c>
      <x:c r="F174" s="104" t="str">
        <x:f>IF($A174="","",IFERROR(VLOOKUP($B174,Setup!$A$7:$H$23,2,FALSE),""))</x:f>
      </x:c>
      <x:c r="G174" s="52" t="str">
        <x:f>IF($A174="","",IFERROR(VLOOKUP($B174,Setup!$A$7:$H$23,5,FALSE),""))</x:f>
      </x:c>
      <x:c r="H174" s="60" t="str">
        <x:f>IF($A174="","",IFERROR(VLOOKUP($B174,Setup!$A$7:$H$23,6,FALSE),""))</x:f>
      </x:c>
      <x:c r="I174" s="60" t="str">
        <x:f>IF($A174="","",$C174*$H174)</x:f>
      </x:c>
      <x:c r="J174" s="60" t="str">
        <x:f>IF($A174="","",$E174-$I174)</x:f>
      </x:c>
      <x:c r="K174" s="66" t="str">
        <x:f>IF($A174="","",IFERROR(VLOOKUP($A174,Invoices!$A$7:$W$156,2,FALSE),""))</x:f>
      </x:c>
      <x:c r="L174" s="52" t="str">
        <x:f>IF($A174="","",IFERROR(VLOOKUP($A174,Invoices!$A$7:$W$156,3,FALSE),""))</x:f>
      </x:c>
      <x:c r="M174" s="52" t="str">
        <x:f>IF($A174="","",IFERROR(VLOOKUP($A174,Invoices!$A$7:$W$156,4,FALSE),""))</x:f>
      </x:c>
      <x:c r="N174" s="52" t="str">
        <x:f>IF($A174="","",IFERROR(VLOOKUP($A174,Invoices!$A$7:$W$156,5,FALSE),""))</x:f>
      </x:c>
      <x:c r="O174" s="52" t="str">
        <x:f>IF($A174="","",IF(OR($B174="",$C174&lt;=0,$D174&lt;0,$F174="",$K174="",COUNTIFS($A$7:$A$306,$A174,$B$7:$B$306,$B174)&gt;1),"REVIEW","OK"))</x:f>
      </x:c>
    </x:row>
    <x:row r="175">
      <x:c r="A175" s="46"/>
      <x:c r="B175" s="46"/>
      <x:c r="C175" s="68"/>
      <x:c r="D175" s="58"/>
      <x:c r="E175" s="60" t="str">
        <x:f>IF($A175="","",$C175*$D175)</x:f>
      </x:c>
      <x:c r="F175" s="104" t="str">
        <x:f>IF($A175="","",IFERROR(VLOOKUP($B175,Setup!$A$7:$H$23,2,FALSE),""))</x:f>
      </x:c>
      <x:c r="G175" s="52" t="str">
        <x:f>IF($A175="","",IFERROR(VLOOKUP($B175,Setup!$A$7:$H$23,5,FALSE),""))</x:f>
      </x:c>
      <x:c r="H175" s="60" t="str">
        <x:f>IF($A175="","",IFERROR(VLOOKUP($B175,Setup!$A$7:$H$23,6,FALSE),""))</x:f>
      </x:c>
      <x:c r="I175" s="60" t="str">
        <x:f>IF($A175="","",$C175*$H175)</x:f>
      </x:c>
      <x:c r="J175" s="60" t="str">
        <x:f>IF($A175="","",$E175-$I175)</x:f>
      </x:c>
      <x:c r="K175" s="66" t="str">
        <x:f>IF($A175="","",IFERROR(VLOOKUP($A175,Invoices!$A$7:$W$156,2,FALSE),""))</x:f>
      </x:c>
      <x:c r="L175" s="52" t="str">
        <x:f>IF($A175="","",IFERROR(VLOOKUP($A175,Invoices!$A$7:$W$156,3,FALSE),""))</x:f>
      </x:c>
      <x:c r="M175" s="52" t="str">
        <x:f>IF($A175="","",IFERROR(VLOOKUP($A175,Invoices!$A$7:$W$156,4,FALSE),""))</x:f>
      </x:c>
      <x:c r="N175" s="52" t="str">
        <x:f>IF($A175="","",IFERROR(VLOOKUP($A175,Invoices!$A$7:$W$156,5,FALSE),""))</x:f>
      </x:c>
      <x:c r="O175" s="52" t="str">
        <x:f>IF($A175="","",IF(OR($B175="",$C175&lt;=0,$D175&lt;0,$F175="",$K175="",COUNTIFS($A$7:$A$306,$A175,$B$7:$B$306,$B175)&gt;1),"REVIEW","OK"))</x:f>
      </x:c>
    </x:row>
    <x:row r="176">
      <x:c r="A176" s="46"/>
      <x:c r="B176" s="46"/>
      <x:c r="C176" s="68"/>
      <x:c r="D176" s="58"/>
      <x:c r="E176" s="60" t="str">
        <x:f>IF($A176="","",$C176*$D176)</x:f>
      </x:c>
      <x:c r="F176" s="104" t="str">
        <x:f>IF($A176="","",IFERROR(VLOOKUP($B176,Setup!$A$7:$H$23,2,FALSE),""))</x:f>
      </x:c>
      <x:c r="G176" s="52" t="str">
        <x:f>IF($A176="","",IFERROR(VLOOKUP($B176,Setup!$A$7:$H$23,5,FALSE),""))</x:f>
      </x:c>
      <x:c r="H176" s="60" t="str">
        <x:f>IF($A176="","",IFERROR(VLOOKUP($B176,Setup!$A$7:$H$23,6,FALSE),""))</x:f>
      </x:c>
      <x:c r="I176" s="60" t="str">
        <x:f>IF($A176="","",$C176*$H176)</x:f>
      </x:c>
      <x:c r="J176" s="60" t="str">
        <x:f>IF($A176="","",$E176-$I176)</x:f>
      </x:c>
      <x:c r="K176" s="66" t="str">
        <x:f>IF($A176="","",IFERROR(VLOOKUP($A176,Invoices!$A$7:$W$156,2,FALSE),""))</x:f>
      </x:c>
      <x:c r="L176" s="52" t="str">
        <x:f>IF($A176="","",IFERROR(VLOOKUP($A176,Invoices!$A$7:$W$156,3,FALSE),""))</x:f>
      </x:c>
      <x:c r="M176" s="52" t="str">
        <x:f>IF($A176="","",IFERROR(VLOOKUP($A176,Invoices!$A$7:$W$156,4,FALSE),""))</x:f>
      </x:c>
      <x:c r="N176" s="52" t="str">
        <x:f>IF($A176="","",IFERROR(VLOOKUP($A176,Invoices!$A$7:$W$156,5,FALSE),""))</x:f>
      </x:c>
      <x:c r="O176" s="52" t="str">
        <x:f>IF($A176="","",IF(OR($B176="",$C176&lt;=0,$D176&lt;0,$F176="",$K176="",COUNTIFS($A$7:$A$306,$A176,$B$7:$B$306,$B176)&gt;1),"REVIEW","OK"))</x:f>
      </x:c>
    </x:row>
    <x:row r="177">
      <x:c r="A177" s="46"/>
      <x:c r="B177" s="46"/>
      <x:c r="C177" s="68"/>
      <x:c r="D177" s="58"/>
      <x:c r="E177" s="60" t="str">
        <x:f>IF($A177="","",$C177*$D177)</x:f>
      </x:c>
      <x:c r="F177" s="104" t="str">
        <x:f>IF($A177="","",IFERROR(VLOOKUP($B177,Setup!$A$7:$H$23,2,FALSE),""))</x:f>
      </x:c>
      <x:c r="G177" s="52" t="str">
        <x:f>IF($A177="","",IFERROR(VLOOKUP($B177,Setup!$A$7:$H$23,5,FALSE),""))</x:f>
      </x:c>
      <x:c r="H177" s="60" t="str">
        <x:f>IF($A177="","",IFERROR(VLOOKUP($B177,Setup!$A$7:$H$23,6,FALSE),""))</x:f>
      </x:c>
      <x:c r="I177" s="60" t="str">
        <x:f>IF($A177="","",$C177*$H177)</x:f>
      </x:c>
      <x:c r="J177" s="60" t="str">
        <x:f>IF($A177="","",$E177-$I177)</x:f>
      </x:c>
      <x:c r="K177" s="66" t="str">
        <x:f>IF($A177="","",IFERROR(VLOOKUP($A177,Invoices!$A$7:$W$156,2,FALSE),""))</x:f>
      </x:c>
      <x:c r="L177" s="52" t="str">
        <x:f>IF($A177="","",IFERROR(VLOOKUP($A177,Invoices!$A$7:$W$156,3,FALSE),""))</x:f>
      </x:c>
      <x:c r="M177" s="52" t="str">
        <x:f>IF($A177="","",IFERROR(VLOOKUP($A177,Invoices!$A$7:$W$156,4,FALSE),""))</x:f>
      </x:c>
      <x:c r="N177" s="52" t="str">
        <x:f>IF($A177="","",IFERROR(VLOOKUP($A177,Invoices!$A$7:$W$156,5,FALSE),""))</x:f>
      </x:c>
      <x:c r="O177" s="52" t="str">
        <x:f>IF($A177="","",IF(OR($B177="",$C177&lt;=0,$D177&lt;0,$F177="",$K177="",COUNTIFS($A$7:$A$306,$A177,$B$7:$B$306,$B177)&gt;1),"REVIEW","OK"))</x:f>
      </x:c>
    </x:row>
    <x:row r="178">
      <x:c r="A178" s="46"/>
      <x:c r="B178" s="46"/>
      <x:c r="C178" s="68"/>
      <x:c r="D178" s="58"/>
      <x:c r="E178" s="60" t="str">
        <x:f>IF($A178="","",$C178*$D178)</x:f>
      </x:c>
      <x:c r="F178" s="104" t="str">
        <x:f>IF($A178="","",IFERROR(VLOOKUP($B178,Setup!$A$7:$H$23,2,FALSE),""))</x:f>
      </x:c>
      <x:c r="G178" s="52" t="str">
        <x:f>IF($A178="","",IFERROR(VLOOKUP($B178,Setup!$A$7:$H$23,5,FALSE),""))</x:f>
      </x:c>
      <x:c r="H178" s="60" t="str">
        <x:f>IF($A178="","",IFERROR(VLOOKUP($B178,Setup!$A$7:$H$23,6,FALSE),""))</x:f>
      </x:c>
      <x:c r="I178" s="60" t="str">
        <x:f>IF($A178="","",$C178*$H178)</x:f>
      </x:c>
      <x:c r="J178" s="60" t="str">
        <x:f>IF($A178="","",$E178-$I178)</x:f>
      </x:c>
      <x:c r="K178" s="66" t="str">
        <x:f>IF($A178="","",IFERROR(VLOOKUP($A178,Invoices!$A$7:$W$156,2,FALSE),""))</x:f>
      </x:c>
      <x:c r="L178" s="52" t="str">
        <x:f>IF($A178="","",IFERROR(VLOOKUP($A178,Invoices!$A$7:$W$156,3,FALSE),""))</x:f>
      </x:c>
      <x:c r="M178" s="52" t="str">
        <x:f>IF($A178="","",IFERROR(VLOOKUP($A178,Invoices!$A$7:$W$156,4,FALSE),""))</x:f>
      </x:c>
      <x:c r="N178" s="52" t="str">
        <x:f>IF($A178="","",IFERROR(VLOOKUP($A178,Invoices!$A$7:$W$156,5,FALSE),""))</x:f>
      </x:c>
      <x:c r="O178" s="52" t="str">
        <x:f>IF($A178="","",IF(OR($B178="",$C178&lt;=0,$D178&lt;0,$F178="",$K178="",COUNTIFS($A$7:$A$306,$A178,$B$7:$B$306,$B178)&gt;1),"REVIEW","OK"))</x:f>
      </x:c>
    </x:row>
    <x:row r="179">
      <x:c r="A179" s="46"/>
      <x:c r="B179" s="46"/>
      <x:c r="C179" s="68"/>
      <x:c r="D179" s="58"/>
      <x:c r="E179" s="60" t="str">
        <x:f>IF($A179="","",$C179*$D179)</x:f>
      </x:c>
      <x:c r="F179" s="104" t="str">
        <x:f>IF($A179="","",IFERROR(VLOOKUP($B179,Setup!$A$7:$H$23,2,FALSE),""))</x:f>
      </x:c>
      <x:c r="G179" s="52" t="str">
        <x:f>IF($A179="","",IFERROR(VLOOKUP($B179,Setup!$A$7:$H$23,5,FALSE),""))</x:f>
      </x:c>
      <x:c r="H179" s="60" t="str">
        <x:f>IF($A179="","",IFERROR(VLOOKUP($B179,Setup!$A$7:$H$23,6,FALSE),""))</x:f>
      </x:c>
      <x:c r="I179" s="60" t="str">
        <x:f>IF($A179="","",$C179*$H179)</x:f>
      </x:c>
      <x:c r="J179" s="60" t="str">
        <x:f>IF($A179="","",$E179-$I179)</x:f>
      </x:c>
      <x:c r="K179" s="66" t="str">
        <x:f>IF($A179="","",IFERROR(VLOOKUP($A179,Invoices!$A$7:$W$156,2,FALSE),""))</x:f>
      </x:c>
      <x:c r="L179" s="52" t="str">
        <x:f>IF($A179="","",IFERROR(VLOOKUP($A179,Invoices!$A$7:$W$156,3,FALSE),""))</x:f>
      </x:c>
      <x:c r="M179" s="52" t="str">
        <x:f>IF($A179="","",IFERROR(VLOOKUP($A179,Invoices!$A$7:$W$156,4,FALSE),""))</x:f>
      </x:c>
      <x:c r="N179" s="52" t="str">
        <x:f>IF($A179="","",IFERROR(VLOOKUP($A179,Invoices!$A$7:$W$156,5,FALSE),""))</x:f>
      </x:c>
      <x:c r="O179" s="52" t="str">
        <x:f>IF($A179="","",IF(OR($B179="",$C179&lt;=0,$D179&lt;0,$F179="",$K179="",COUNTIFS($A$7:$A$306,$A179,$B$7:$B$306,$B179)&gt;1),"REVIEW","OK"))</x:f>
      </x:c>
    </x:row>
    <x:row r="180">
      <x:c r="A180" s="46"/>
      <x:c r="B180" s="46"/>
      <x:c r="C180" s="68"/>
      <x:c r="D180" s="58"/>
      <x:c r="E180" s="60" t="str">
        <x:f>IF($A180="","",$C180*$D180)</x:f>
      </x:c>
      <x:c r="F180" s="104" t="str">
        <x:f>IF($A180="","",IFERROR(VLOOKUP($B180,Setup!$A$7:$H$23,2,FALSE),""))</x:f>
      </x:c>
      <x:c r="G180" s="52" t="str">
        <x:f>IF($A180="","",IFERROR(VLOOKUP($B180,Setup!$A$7:$H$23,5,FALSE),""))</x:f>
      </x:c>
      <x:c r="H180" s="60" t="str">
        <x:f>IF($A180="","",IFERROR(VLOOKUP($B180,Setup!$A$7:$H$23,6,FALSE),""))</x:f>
      </x:c>
      <x:c r="I180" s="60" t="str">
        <x:f>IF($A180="","",$C180*$H180)</x:f>
      </x:c>
      <x:c r="J180" s="60" t="str">
        <x:f>IF($A180="","",$E180-$I180)</x:f>
      </x:c>
      <x:c r="K180" s="66" t="str">
        <x:f>IF($A180="","",IFERROR(VLOOKUP($A180,Invoices!$A$7:$W$156,2,FALSE),""))</x:f>
      </x:c>
      <x:c r="L180" s="52" t="str">
        <x:f>IF($A180="","",IFERROR(VLOOKUP($A180,Invoices!$A$7:$W$156,3,FALSE),""))</x:f>
      </x:c>
      <x:c r="M180" s="52" t="str">
        <x:f>IF($A180="","",IFERROR(VLOOKUP($A180,Invoices!$A$7:$W$156,4,FALSE),""))</x:f>
      </x:c>
      <x:c r="N180" s="52" t="str">
        <x:f>IF($A180="","",IFERROR(VLOOKUP($A180,Invoices!$A$7:$W$156,5,FALSE),""))</x:f>
      </x:c>
      <x:c r="O180" s="52" t="str">
        <x:f>IF($A180="","",IF(OR($B180="",$C180&lt;=0,$D180&lt;0,$F180="",$K180="",COUNTIFS($A$7:$A$306,$A180,$B$7:$B$306,$B180)&gt;1),"REVIEW","OK"))</x:f>
      </x:c>
    </x:row>
    <x:row r="181">
      <x:c r="A181" s="46"/>
      <x:c r="B181" s="46"/>
      <x:c r="C181" s="68"/>
      <x:c r="D181" s="58"/>
      <x:c r="E181" s="60" t="str">
        <x:f>IF($A181="","",$C181*$D181)</x:f>
      </x:c>
      <x:c r="F181" s="104" t="str">
        <x:f>IF($A181="","",IFERROR(VLOOKUP($B181,Setup!$A$7:$H$23,2,FALSE),""))</x:f>
      </x:c>
      <x:c r="G181" s="52" t="str">
        <x:f>IF($A181="","",IFERROR(VLOOKUP($B181,Setup!$A$7:$H$23,5,FALSE),""))</x:f>
      </x:c>
      <x:c r="H181" s="60" t="str">
        <x:f>IF($A181="","",IFERROR(VLOOKUP($B181,Setup!$A$7:$H$23,6,FALSE),""))</x:f>
      </x:c>
      <x:c r="I181" s="60" t="str">
        <x:f>IF($A181="","",$C181*$H181)</x:f>
      </x:c>
      <x:c r="J181" s="60" t="str">
        <x:f>IF($A181="","",$E181-$I181)</x:f>
      </x:c>
      <x:c r="K181" s="66" t="str">
        <x:f>IF($A181="","",IFERROR(VLOOKUP($A181,Invoices!$A$7:$W$156,2,FALSE),""))</x:f>
      </x:c>
      <x:c r="L181" s="52" t="str">
        <x:f>IF($A181="","",IFERROR(VLOOKUP($A181,Invoices!$A$7:$W$156,3,FALSE),""))</x:f>
      </x:c>
      <x:c r="M181" s="52" t="str">
        <x:f>IF($A181="","",IFERROR(VLOOKUP($A181,Invoices!$A$7:$W$156,4,FALSE),""))</x:f>
      </x:c>
      <x:c r="N181" s="52" t="str">
        <x:f>IF($A181="","",IFERROR(VLOOKUP($A181,Invoices!$A$7:$W$156,5,FALSE),""))</x:f>
      </x:c>
      <x:c r="O181" s="52" t="str">
        <x:f>IF($A181="","",IF(OR($B181="",$C181&lt;=0,$D181&lt;0,$F181="",$K181="",COUNTIFS($A$7:$A$306,$A181,$B$7:$B$306,$B181)&gt;1),"REVIEW","OK"))</x:f>
      </x:c>
    </x:row>
    <x:row r="182">
      <x:c r="A182" s="46"/>
      <x:c r="B182" s="46"/>
      <x:c r="C182" s="68"/>
      <x:c r="D182" s="58"/>
      <x:c r="E182" s="60" t="str">
        <x:f>IF($A182="","",$C182*$D182)</x:f>
      </x:c>
      <x:c r="F182" s="104" t="str">
        <x:f>IF($A182="","",IFERROR(VLOOKUP($B182,Setup!$A$7:$H$23,2,FALSE),""))</x:f>
      </x:c>
      <x:c r="G182" s="52" t="str">
        <x:f>IF($A182="","",IFERROR(VLOOKUP($B182,Setup!$A$7:$H$23,5,FALSE),""))</x:f>
      </x:c>
      <x:c r="H182" s="60" t="str">
        <x:f>IF($A182="","",IFERROR(VLOOKUP($B182,Setup!$A$7:$H$23,6,FALSE),""))</x:f>
      </x:c>
      <x:c r="I182" s="60" t="str">
        <x:f>IF($A182="","",$C182*$H182)</x:f>
      </x:c>
      <x:c r="J182" s="60" t="str">
        <x:f>IF($A182="","",$E182-$I182)</x:f>
      </x:c>
      <x:c r="K182" s="66" t="str">
        <x:f>IF($A182="","",IFERROR(VLOOKUP($A182,Invoices!$A$7:$W$156,2,FALSE),""))</x:f>
      </x:c>
      <x:c r="L182" s="52" t="str">
        <x:f>IF($A182="","",IFERROR(VLOOKUP($A182,Invoices!$A$7:$W$156,3,FALSE),""))</x:f>
      </x:c>
      <x:c r="M182" s="52" t="str">
        <x:f>IF($A182="","",IFERROR(VLOOKUP($A182,Invoices!$A$7:$W$156,4,FALSE),""))</x:f>
      </x:c>
      <x:c r="N182" s="52" t="str">
        <x:f>IF($A182="","",IFERROR(VLOOKUP($A182,Invoices!$A$7:$W$156,5,FALSE),""))</x:f>
      </x:c>
      <x:c r="O182" s="52" t="str">
        <x:f>IF($A182="","",IF(OR($B182="",$C182&lt;=0,$D182&lt;0,$F182="",$K182="",COUNTIFS($A$7:$A$306,$A182,$B$7:$B$306,$B182)&gt;1),"REVIEW","OK"))</x:f>
      </x:c>
    </x:row>
    <x:row r="183">
      <x:c r="A183" s="46"/>
      <x:c r="B183" s="46"/>
      <x:c r="C183" s="68"/>
      <x:c r="D183" s="58"/>
      <x:c r="E183" s="60" t="str">
        <x:f>IF($A183="","",$C183*$D183)</x:f>
      </x:c>
      <x:c r="F183" s="104" t="str">
        <x:f>IF($A183="","",IFERROR(VLOOKUP($B183,Setup!$A$7:$H$23,2,FALSE),""))</x:f>
      </x:c>
      <x:c r="G183" s="52" t="str">
        <x:f>IF($A183="","",IFERROR(VLOOKUP($B183,Setup!$A$7:$H$23,5,FALSE),""))</x:f>
      </x:c>
      <x:c r="H183" s="60" t="str">
        <x:f>IF($A183="","",IFERROR(VLOOKUP($B183,Setup!$A$7:$H$23,6,FALSE),""))</x:f>
      </x:c>
      <x:c r="I183" s="60" t="str">
        <x:f>IF($A183="","",$C183*$H183)</x:f>
      </x:c>
      <x:c r="J183" s="60" t="str">
        <x:f>IF($A183="","",$E183-$I183)</x:f>
      </x:c>
      <x:c r="K183" s="66" t="str">
        <x:f>IF($A183="","",IFERROR(VLOOKUP($A183,Invoices!$A$7:$W$156,2,FALSE),""))</x:f>
      </x:c>
      <x:c r="L183" s="52" t="str">
        <x:f>IF($A183="","",IFERROR(VLOOKUP($A183,Invoices!$A$7:$W$156,3,FALSE),""))</x:f>
      </x:c>
      <x:c r="M183" s="52" t="str">
        <x:f>IF($A183="","",IFERROR(VLOOKUP($A183,Invoices!$A$7:$W$156,4,FALSE),""))</x:f>
      </x:c>
      <x:c r="N183" s="52" t="str">
        <x:f>IF($A183="","",IFERROR(VLOOKUP($A183,Invoices!$A$7:$W$156,5,FALSE),""))</x:f>
      </x:c>
      <x:c r="O183" s="52" t="str">
        <x:f>IF($A183="","",IF(OR($B183="",$C183&lt;=0,$D183&lt;0,$F183="",$K183="",COUNTIFS($A$7:$A$306,$A183,$B$7:$B$306,$B183)&gt;1),"REVIEW","OK"))</x:f>
      </x:c>
    </x:row>
    <x:row r="184">
      <x:c r="A184" s="46"/>
      <x:c r="B184" s="46"/>
      <x:c r="C184" s="68"/>
      <x:c r="D184" s="58"/>
      <x:c r="E184" s="60" t="str">
        <x:f>IF($A184="","",$C184*$D184)</x:f>
      </x:c>
      <x:c r="F184" s="104" t="str">
        <x:f>IF($A184="","",IFERROR(VLOOKUP($B184,Setup!$A$7:$H$23,2,FALSE),""))</x:f>
      </x:c>
      <x:c r="G184" s="52" t="str">
        <x:f>IF($A184="","",IFERROR(VLOOKUP($B184,Setup!$A$7:$H$23,5,FALSE),""))</x:f>
      </x:c>
      <x:c r="H184" s="60" t="str">
        <x:f>IF($A184="","",IFERROR(VLOOKUP($B184,Setup!$A$7:$H$23,6,FALSE),""))</x:f>
      </x:c>
      <x:c r="I184" s="60" t="str">
        <x:f>IF($A184="","",$C184*$H184)</x:f>
      </x:c>
      <x:c r="J184" s="60" t="str">
        <x:f>IF($A184="","",$E184-$I184)</x:f>
      </x:c>
      <x:c r="K184" s="66" t="str">
        <x:f>IF($A184="","",IFERROR(VLOOKUP($A184,Invoices!$A$7:$W$156,2,FALSE),""))</x:f>
      </x:c>
      <x:c r="L184" s="52" t="str">
        <x:f>IF($A184="","",IFERROR(VLOOKUP($A184,Invoices!$A$7:$W$156,3,FALSE),""))</x:f>
      </x:c>
      <x:c r="M184" s="52" t="str">
        <x:f>IF($A184="","",IFERROR(VLOOKUP($A184,Invoices!$A$7:$W$156,4,FALSE),""))</x:f>
      </x:c>
      <x:c r="N184" s="52" t="str">
        <x:f>IF($A184="","",IFERROR(VLOOKUP($A184,Invoices!$A$7:$W$156,5,FALSE),""))</x:f>
      </x:c>
      <x:c r="O184" s="52" t="str">
        <x:f>IF($A184="","",IF(OR($B184="",$C184&lt;=0,$D184&lt;0,$F184="",$K184="",COUNTIFS($A$7:$A$306,$A184,$B$7:$B$306,$B184)&gt;1),"REVIEW","OK"))</x:f>
      </x:c>
    </x:row>
    <x:row r="185">
      <x:c r="A185" s="46"/>
      <x:c r="B185" s="46"/>
      <x:c r="C185" s="68"/>
      <x:c r="D185" s="58"/>
      <x:c r="E185" s="60" t="str">
        <x:f>IF($A185="","",$C185*$D185)</x:f>
      </x:c>
      <x:c r="F185" s="104" t="str">
        <x:f>IF($A185="","",IFERROR(VLOOKUP($B185,Setup!$A$7:$H$23,2,FALSE),""))</x:f>
      </x:c>
      <x:c r="G185" s="52" t="str">
        <x:f>IF($A185="","",IFERROR(VLOOKUP($B185,Setup!$A$7:$H$23,5,FALSE),""))</x:f>
      </x:c>
      <x:c r="H185" s="60" t="str">
        <x:f>IF($A185="","",IFERROR(VLOOKUP($B185,Setup!$A$7:$H$23,6,FALSE),""))</x:f>
      </x:c>
      <x:c r="I185" s="60" t="str">
        <x:f>IF($A185="","",$C185*$H185)</x:f>
      </x:c>
      <x:c r="J185" s="60" t="str">
        <x:f>IF($A185="","",$E185-$I185)</x:f>
      </x:c>
      <x:c r="K185" s="66" t="str">
        <x:f>IF($A185="","",IFERROR(VLOOKUP($A185,Invoices!$A$7:$W$156,2,FALSE),""))</x:f>
      </x:c>
      <x:c r="L185" s="52" t="str">
        <x:f>IF($A185="","",IFERROR(VLOOKUP($A185,Invoices!$A$7:$W$156,3,FALSE),""))</x:f>
      </x:c>
      <x:c r="M185" s="52" t="str">
        <x:f>IF($A185="","",IFERROR(VLOOKUP($A185,Invoices!$A$7:$W$156,4,FALSE),""))</x:f>
      </x:c>
      <x:c r="N185" s="52" t="str">
        <x:f>IF($A185="","",IFERROR(VLOOKUP($A185,Invoices!$A$7:$W$156,5,FALSE),""))</x:f>
      </x:c>
      <x:c r="O185" s="52" t="str">
        <x:f>IF($A185="","",IF(OR($B185="",$C185&lt;=0,$D185&lt;0,$F185="",$K185="",COUNTIFS($A$7:$A$306,$A185,$B$7:$B$306,$B185)&gt;1),"REVIEW","OK"))</x:f>
      </x:c>
    </x:row>
    <x:row r="186">
      <x:c r="A186" s="46"/>
      <x:c r="B186" s="46"/>
      <x:c r="C186" s="68"/>
      <x:c r="D186" s="58"/>
      <x:c r="E186" s="60" t="str">
        <x:f>IF($A186="","",$C186*$D186)</x:f>
      </x:c>
      <x:c r="F186" s="104" t="str">
        <x:f>IF($A186="","",IFERROR(VLOOKUP($B186,Setup!$A$7:$H$23,2,FALSE),""))</x:f>
      </x:c>
      <x:c r="G186" s="52" t="str">
        <x:f>IF($A186="","",IFERROR(VLOOKUP($B186,Setup!$A$7:$H$23,5,FALSE),""))</x:f>
      </x:c>
      <x:c r="H186" s="60" t="str">
        <x:f>IF($A186="","",IFERROR(VLOOKUP($B186,Setup!$A$7:$H$23,6,FALSE),""))</x:f>
      </x:c>
      <x:c r="I186" s="60" t="str">
        <x:f>IF($A186="","",$C186*$H186)</x:f>
      </x:c>
      <x:c r="J186" s="60" t="str">
        <x:f>IF($A186="","",$E186-$I186)</x:f>
      </x:c>
      <x:c r="K186" s="66" t="str">
        <x:f>IF($A186="","",IFERROR(VLOOKUP($A186,Invoices!$A$7:$W$156,2,FALSE),""))</x:f>
      </x:c>
      <x:c r="L186" s="52" t="str">
        <x:f>IF($A186="","",IFERROR(VLOOKUP($A186,Invoices!$A$7:$W$156,3,FALSE),""))</x:f>
      </x:c>
      <x:c r="M186" s="52" t="str">
        <x:f>IF($A186="","",IFERROR(VLOOKUP($A186,Invoices!$A$7:$W$156,4,FALSE),""))</x:f>
      </x:c>
      <x:c r="N186" s="52" t="str">
        <x:f>IF($A186="","",IFERROR(VLOOKUP($A186,Invoices!$A$7:$W$156,5,FALSE),""))</x:f>
      </x:c>
      <x:c r="O186" s="52" t="str">
        <x:f>IF($A186="","",IF(OR($B186="",$C186&lt;=0,$D186&lt;0,$F186="",$K186="",COUNTIFS($A$7:$A$306,$A186,$B$7:$B$306,$B186)&gt;1),"REVIEW","OK"))</x:f>
      </x:c>
    </x:row>
    <x:row r="187">
      <x:c r="A187" s="46"/>
      <x:c r="B187" s="46"/>
      <x:c r="C187" s="68"/>
      <x:c r="D187" s="58"/>
      <x:c r="E187" s="60" t="str">
        <x:f>IF($A187="","",$C187*$D187)</x:f>
      </x:c>
      <x:c r="F187" s="104" t="str">
        <x:f>IF($A187="","",IFERROR(VLOOKUP($B187,Setup!$A$7:$H$23,2,FALSE),""))</x:f>
      </x:c>
      <x:c r="G187" s="52" t="str">
        <x:f>IF($A187="","",IFERROR(VLOOKUP($B187,Setup!$A$7:$H$23,5,FALSE),""))</x:f>
      </x:c>
      <x:c r="H187" s="60" t="str">
        <x:f>IF($A187="","",IFERROR(VLOOKUP($B187,Setup!$A$7:$H$23,6,FALSE),""))</x:f>
      </x:c>
      <x:c r="I187" s="60" t="str">
        <x:f>IF($A187="","",$C187*$H187)</x:f>
      </x:c>
      <x:c r="J187" s="60" t="str">
        <x:f>IF($A187="","",$E187-$I187)</x:f>
      </x:c>
      <x:c r="K187" s="66" t="str">
        <x:f>IF($A187="","",IFERROR(VLOOKUP($A187,Invoices!$A$7:$W$156,2,FALSE),""))</x:f>
      </x:c>
      <x:c r="L187" s="52" t="str">
        <x:f>IF($A187="","",IFERROR(VLOOKUP($A187,Invoices!$A$7:$W$156,3,FALSE),""))</x:f>
      </x:c>
      <x:c r="M187" s="52" t="str">
        <x:f>IF($A187="","",IFERROR(VLOOKUP($A187,Invoices!$A$7:$W$156,4,FALSE),""))</x:f>
      </x:c>
      <x:c r="N187" s="52" t="str">
        <x:f>IF($A187="","",IFERROR(VLOOKUP($A187,Invoices!$A$7:$W$156,5,FALSE),""))</x:f>
      </x:c>
      <x:c r="O187" s="52" t="str">
        <x:f>IF($A187="","",IF(OR($B187="",$C187&lt;=0,$D187&lt;0,$F187="",$K187="",COUNTIFS($A$7:$A$306,$A187,$B$7:$B$306,$B187)&gt;1),"REVIEW","OK"))</x:f>
      </x:c>
    </x:row>
    <x:row r="188">
      <x:c r="A188" s="46"/>
      <x:c r="B188" s="46"/>
      <x:c r="C188" s="68"/>
      <x:c r="D188" s="58"/>
      <x:c r="E188" s="60" t="str">
        <x:f>IF($A188="","",$C188*$D188)</x:f>
      </x:c>
      <x:c r="F188" s="104" t="str">
        <x:f>IF($A188="","",IFERROR(VLOOKUP($B188,Setup!$A$7:$H$23,2,FALSE),""))</x:f>
      </x:c>
      <x:c r="G188" s="52" t="str">
        <x:f>IF($A188="","",IFERROR(VLOOKUP($B188,Setup!$A$7:$H$23,5,FALSE),""))</x:f>
      </x:c>
      <x:c r="H188" s="60" t="str">
        <x:f>IF($A188="","",IFERROR(VLOOKUP($B188,Setup!$A$7:$H$23,6,FALSE),""))</x:f>
      </x:c>
      <x:c r="I188" s="60" t="str">
        <x:f>IF($A188="","",$C188*$H188)</x:f>
      </x:c>
      <x:c r="J188" s="60" t="str">
        <x:f>IF($A188="","",$E188-$I188)</x:f>
      </x:c>
      <x:c r="K188" s="66" t="str">
        <x:f>IF($A188="","",IFERROR(VLOOKUP($A188,Invoices!$A$7:$W$156,2,FALSE),""))</x:f>
      </x:c>
      <x:c r="L188" s="52" t="str">
        <x:f>IF($A188="","",IFERROR(VLOOKUP($A188,Invoices!$A$7:$W$156,3,FALSE),""))</x:f>
      </x:c>
      <x:c r="M188" s="52" t="str">
        <x:f>IF($A188="","",IFERROR(VLOOKUP($A188,Invoices!$A$7:$W$156,4,FALSE),""))</x:f>
      </x:c>
      <x:c r="N188" s="52" t="str">
        <x:f>IF($A188="","",IFERROR(VLOOKUP($A188,Invoices!$A$7:$W$156,5,FALSE),""))</x:f>
      </x:c>
      <x:c r="O188" s="52" t="str">
        <x:f>IF($A188="","",IF(OR($B188="",$C188&lt;=0,$D188&lt;0,$F188="",$K188="",COUNTIFS($A$7:$A$306,$A188,$B$7:$B$306,$B188)&gt;1),"REVIEW","OK"))</x:f>
      </x:c>
    </x:row>
    <x:row r="189">
      <x:c r="A189" s="46"/>
      <x:c r="B189" s="46"/>
      <x:c r="C189" s="68"/>
      <x:c r="D189" s="58"/>
      <x:c r="E189" s="60" t="str">
        <x:f>IF($A189="","",$C189*$D189)</x:f>
      </x:c>
      <x:c r="F189" s="104" t="str">
        <x:f>IF($A189="","",IFERROR(VLOOKUP($B189,Setup!$A$7:$H$23,2,FALSE),""))</x:f>
      </x:c>
      <x:c r="G189" s="52" t="str">
        <x:f>IF($A189="","",IFERROR(VLOOKUP($B189,Setup!$A$7:$H$23,5,FALSE),""))</x:f>
      </x:c>
      <x:c r="H189" s="60" t="str">
        <x:f>IF($A189="","",IFERROR(VLOOKUP($B189,Setup!$A$7:$H$23,6,FALSE),""))</x:f>
      </x:c>
      <x:c r="I189" s="60" t="str">
        <x:f>IF($A189="","",$C189*$H189)</x:f>
      </x:c>
      <x:c r="J189" s="60" t="str">
        <x:f>IF($A189="","",$E189-$I189)</x:f>
      </x:c>
      <x:c r="K189" s="66" t="str">
        <x:f>IF($A189="","",IFERROR(VLOOKUP($A189,Invoices!$A$7:$W$156,2,FALSE),""))</x:f>
      </x:c>
      <x:c r="L189" s="52" t="str">
        <x:f>IF($A189="","",IFERROR(VLOOKUP($A189,Invoices!$A$7:$W$156,3,FALSE),""))</x:f>
      </x:c>
      <x:c r="M189" s="52" t="str">
        <x:f>IF($A189="","",IFERROR(VLOOKUP($A189,Invoices!$A$7:$W$156,4,FALSE),""))</x:f>
      </x:c>
      <x:c r="N189" s="52" t="str">
        <x:f>IF($A189="","",IFERROR(VLOOKUP($A189,Invoices!$A$7:$W$156,5,FALSE),""))</x:f>
      </x:c>
      <x:c r="O189" s="52" t="str">
        <x:f>IF($A189="","",IF(OR($B189="",$C189&lt;=0,$D189&lt;0,$F189="",$K189="",COUNTIFS($A$7:$A$306,$A189,$B$7:$B$306,$B189)&gt;1),"REVIEW","OK"))</x:f>
      </x:c>
    </x:row>
    <x:row r="190">
      <x:c r="A190" s="46"/>
      <x:c r="B190" s="46"/>
      <x:c r="C190" s="68"/>
      <x:c r="D190" s="58"/>
      <x:c r="E190" s="60" t="str">
        <x:f>IF($A190="","",$C190*$D190)</x:f>
      </x:c>
      <x:c r="F190" s="104" t="str">
        <x:f>IF($A190="","",IFERROR(VLOOKUP($B190,Setup!$A$7:$H$23,2,FALSE),""))</x:f>
      </x:c>
      <x:c r="G190" s="52" t="str">
        <x:f>IF($A190="","",IFERROR(VLOOKUP($B190,Setup!$A$7:$H$23,5,FALSE),""))</x:f>
      </x:c>
      <x:c r="H190" s="60" t="str">
        <x:f>IF($A190="","",IFERROR(VLOOKUP($B190,Setup!$A$7:$H$23,6,FALSE),""))</x:f>
      </x:c>
      <x:c r="I190" s="60" t="str">
        <x:f>IF($A190="","",$C190*$H190)</x:f>
      </x:c>
      <x:c r="J190" s="60" t="str">
        <x:f>IF($A190="","",$E190-$I190)</x:f>
      </x:c>
      <x:c r="K190" s="66" t="str">
        <x:f>IF($A190="","",IFERROR(VLOOKUP($A190,Invoices!$A$7:$W$156,2,FALSE),""))</x:f>
      </x:c>
      <x:c r="L190" s="52" t="str">
        <x:f>IF($A190="","",IFERROR(VLOOKUP($A190,Invoices!$A$7:$W$156,3,FALSE),""))</x:f>
      </x:c>
      <x:c r="M190" s="52" t="str">
        <x:f>IF($A190="","",IFERROR(VLOOKUP($A190,Invoices!$A$7:$W$156,4,FALSE),""))</x:f>
      </x:c>
      <x:c r="N190" s="52" t="str">
        <x:f>IF($A190="","",IFERROR(VLOOKUP($A190,Invoices!$A$7:$W$156,5,FALSE),""))</x:f>
      </x:c>
      <x:c r="O190" s="52" t="str">
        <x:f>IF($A190="","",IF(OR($B190="",$C190&lt;=0,$D190&lt;0,$F190="",$K190="",COUNTIFS($A$7:$A$306,$A190,$B$7:$B$306,$B190)&gt;1),"REVIEW","OK"))</x:f>
      </x:c>
    </x:row>
    <x:row r="191">
      <x:c r="A191" s="46"/>
      <x:c r="B191" s="46"/>
      <x:c r="C191" s="68"/>
      <x:c r="D191" s="58"/>
      <x:c r="E191" s="60" t="str">
        <x:f>IF($A191="","",$C191*$D191)</x:f>
      </x:c>
      <x:c r="F191" s="104" t="str">
        <x:f>IF($A191="","",IFERROR(VLOOKUP($B191,Setup!$A$7:$H$23,2,FALSE),""))</x:f>
      </x:c>
      <x:c r="G191" s="52" t="str">
        <x:f>IF($A191="","",IFERROR(VLOOKUP($B191,Setup!$A$7:$H$23,5,FALSE),""))</x:f>
      </x:c>
      <x:c r="H191" s="60" t="str">
        <x:f>IF($A191="","",IFERROR(VLOOKUP($B191,Setup!$A$7:$H$23,6,FALSE),""))</x:f>
      </x:c>
      <x:c r="I191" s="60" t="str">
        <x:f>IF($A191="","",$C191*$H191)</x:f>
      </x:c>
      <x:c r="J191" s="60" t="str">
        <x:f>IF($A191="","",$E191-$I191)</x:f>
      </x:c>
      <x:c r="K191" s="66" t="str">
        <x:f>IF($A191="","",IFERROR(VLOOKUP($A191,Invoices!$A$7:$W$156,2,FALSE),""))</x:f>
      </x:c>
      <x:c r="L191" s="52" t="str">
        <x:f>IF($A191="","",IFERROR(VLOOKUP($A191,Invoices!$A$7:$W$156,3,FALSE),""))</x:f>
      </x:c>
      <x:c r="M191" s="52" t="str">
        <x:f>IF($A191="","",IFERROR(VLOOKUP($A191,Invoices!$A$7:$W$156,4,FALSE),""))</x:f>
      </x:c>
      <x:c r="N191" s="52" t="str">
        <x:f>IF($A191="","",IFERROR(VLOOKUP($A191,Invoices!$A$7:$W$156,5,FALSE),""))</x:f>
      </x:c>
      <x:c r="O191" s="52" t="str">
        <x:f>IF($A191="","",IF(OR($B191="",$C191&lt;=0,$D191&lt;0,$F191="",$K191="",COUNTIFS($A$7:$A$306,$A191,$B$7:$B$306,$B191)&gt;1),"REVIEW","OK"))</x:f>
      </x:c>
    </x:row>
    <x:row r="192">
      <x:c r="A192" s="46"/>
      <x:c r="B192" s="46"/>
      <x:c r="C192" s="68"/>
      <x:c r="D192" s="58"/>
      <x:c r="E192" s="60" t="str">
        <x:f>IF($A192="","",$C192*$D192)</x:f>
      </x:c>
      <x:c r="F192" s="104" t="str">
        <x:f>IF($A192="","",IFERROR(VLOOKUP($B192,Setup!$A$7:$H$23,2,FALSE),""))</x:f>
      </x:c>
      <x:c r="G192" s="52" t="str">
        <x:f>IF($A192="","",IFERROR(VLOOKUP($B192,Setup!$A$7:$H$23,5,FALSE),""))</x:f>
      </x:c>
      <x:c r="H192" s="60" t="str">
        <x:f>IF($A192="","",IFERROR(VLOOKUP($B192,Setup!$A$7:$H$23,6,FALSE),""))</x:f>
      </x:c>
      <x:c r="I192" s="60" t="str">
        <x:f>IF($A192="","",$C192*$H192)</x:f>
      </x:c>
      <x:c r="J192" s="60" t="str">
        <x:f>IF($A192="","",$E192-$I192)</x:f>
      </x:c>
      <x:c r="K192" s="66" t="str">
        <x:f>IF($A192="","",IFERROR(VLOOKUP($A192,Invoices!$A$7:$W$156,2,FALSE),""))</x:f>
      </x:c>
      <x:c r="L192" s="52" t="str">
        <x:f>IF($A192="","",IFERROR(VLOOKUP($A192,Invoices!$A$7:$W$156,3,FALSE),""))</x:f>
      </x:c>
      <x:c r="M192" s="52" t="str">
        <x:f>IF($A192="","",IFERROR(VLOOKUP($A192,Invoices!$A$7:$W$156,4,FALSE),""))</x:f>
      </x:c>
      <x:c r="N192" s="52" t="str">
        <x:f>IF($A192="","",IFERROR(VLOOKUP($A192,Invoices!$A$7:$W$156,5,FALSE),""))</x:f>
      </x:c>
      <x:c r="O192" s="52" t="str">
        <x:f>IF($A192="","",IF(OR($B192="",$C192&lt;=0,$D192&lt;0,$F192="",$K192="",COUNTIFS($A$7:$A$306,$A192,$B$7:$B$306,$B192)&gt;1),"REVIEW","OK"))</x:f>
      </x:c>
    </x:row>
    <x:row r="193">
      <x:c r="A193" s="46"/>
      <x:c r="B193" s="46"/>
      <x:c r="C193" s="68"/>
      <x:c r="D193" s="58"/>
      <x:c r="E193" s="60" t="str">
        <x:f>IF($A193="","",$C193*$D193)</x:f>
      </x:c>
      <x:c r="F193" s="104" t="str">
        <x:f>IF($A193="","",IFERROR(VLOOKUP($B193,Setup!$A$7:$H$23,2,FALSE),""))</x:f>
      </x:c>
      <x:c r="G193" s="52" t="str">
        <x:f>IF($A193="","",IFERROR(VLOOKUP($B193,Setup!$A$7:$H$23,5,FALSE),""))</x:f>
      </x:c>
      <x:c r="H193" s="60" t="str">
        <x:f>IF($A193="","",IFERROR(VLOOKUP($B193,Setup!$A$7:$H$23,6,FALSE),""))</x:f>
      </x:c>
      <x:c r="I193" s="60" t="str">
        <x:f>IF($A193="","",$C193*$H193)</x:f>
      </x:c>
      <x:c r="J193" s="60" t="str">
        <x:f>IF($A193="","",$E193-$I193)</x:f>
      </x:c>
      <x:c r="K193" s="66" t="str">
        <x:f>IF($A193="","",IFERROR(VLOOKUP($A193,Invoices!$A$7:$W$156,2,FALSE),""))</x:f>
      </x:c>
      <x:c r="L193" s="52" t="str">
        <x:f>IF($A193="","",IFERROR(VLOOKUP($A193,Invoices!$A$7:$W$156,3,FALSE),""))</x:f>
      </x:c>
      <x:c r="M193" s="52" t="str">
        <x:f>IF($A193="","",IFERROR(VLOOKUP($A193,Invoices!$A$7:$W$156,4,FALSE),""))</x:f>
      </x:c>
      <x:c r="N193" s="52" t="str">
        <x:f>IF($A193="","",IFERROR(VLOOKUP($A193,Invoices!$A$7:$W$156,5,FALSE),""))</x:f>
      </x:c>
      <x:c r="O193" s="52" t="str">
        <x:f>IF($A193="","",IF(OR($B193="",$C193&lt;=0,$D193&lt;0,$F193="",$K193="",COUNTIFS($A$7:$A$306,$A193,$B$7:$B$306,$B193)&gt;1),"REVIEW","OK"))</x:f>
      </x:c>
    </x:row>
    <x:row r="194">
      <x:c r="A194" s="46"/>
      <x:c r="B194" s="46"/>
      <x:c r="C194" s="68"/>
      <x:c r="D194" s="58"/>
      <x:c r="E194" s="60" t="str">
        <x:f>IF($A194="","",$C194*$D194)</x:f>
      </x:c>
      <x:c r="F194" s="104" t="str">
        <x:f>IF($A194="","",IFERROR(VLOOKUP($B194,Setup!$A$7:$H$23,2,FALSE),""))</x:f>
      </x:c>
      <x:c r="G194" s="52" t="str">
        <x:f>IF($A194="","",IFERROR(VLOOKUP($B194,Setup!$A$7:$H$23,5,FALSE),""))</x:f>
      </x:c>
      <x:c r="H194" s="60" t="str">
        <x:f>IF($A194="","",IFERROR(VLOOKUP($B194,Setup!$A$7:$H$23,6,FALSE),""))</x:f>
      </x:c>
      <x:c r="I194" s="60" t="str">
        <x:f>IF($A194="","",$C194*$H194)</x:f>
      </x:c>
      <x:c r="J194" s="60" t="str">
        <x:f>IF($A194="","",$E194-$I194)</x:f>
      </x:c>
      <x:c r="K194" s="66" t="str">
        <x:f>IF($A194="","",IFERROR(VLOOKUP($A194,Invoices!$A$7:$W$156,2,FALSE),""))</x:f>
      </x:c>
      <x:c r="L194" s="52" t="str">
        <x:f>IF($A194="","",IFERROR(VLOOKUP($A194,Invoices!$A$7:$W$156,3,FALSE),""))</x:f>
      </x:c>
      <x:c r="M194" s="52" t="str">
        <x:f>IF($A194="","",IFERROR(VLOOKUP($A194,Invoices!$A$7:$W$156,4,FALSE),""))</x:f>
      </x:c>
      <x:c r="N194" s="52" t="str">
        <x:f>IF($A194="","",IFERROR(VLOOKUP($A194,Invoices!$A$7:$W$156,5,FALSE),""))</x:f>
      </x:c>
      <x:c r="O194" s="52" t="str">
        <x:f>IF($A194="","",IF(OR($B194="",$C194&lt;=0,$D194&lt;0,$F194="",$K194="",COUNTIFS($A$7:$A$306,$A194,$B$7:$B$306,$B194)&gt;1),"REVIEW","OK"))</x:f>
      </x:c>
    </x:row>
    <x:row r="195">
      <x:c r="A195" s="46"/>
      <x:c r="B195" s="46"/>
      <x:c r="C195" s="68"/>
      <x:c r="D195" s="58"/>
      <x:c r="E195" s="60" t="str">
        <x:f>IF($A195="","",$C195*$D195)</x:f>
      </x:c>
      <x:c r="F195" s="104" t="str">
        <x:f>IF($A195="","",IFERROR(VLOOKUP($B195,Setup!$A$7:$H$23,2,FALSE),""))</x:f>
      </x:c>
      <x:c r="G195" s="52" t="str">
        <x:f>IF($A195="","",IFERROR(VLOOKUP($B195,Setup!$A$7:$H$23,5,FALSE),""))</x:f>
      </x:c>
      <x:c r="H195" s="60" t="str">
        <x:f>IF($A195="","",IFERROR(VLOOKUP($B195,Setup!$A$7:$H$23,6,FALSE),""))</x:f>
      </x:c>
      <x:c r="I195" s="60" t="str">
        <x:f>IF($A195="","",$C195*$H195)</x:f>
      </x:c>
      <x:c r="J195" s="60" t="str">
        <x:f>IF($A195="","",$E195-$I195)</x:f>
      </x:c>
      <x:c r="K195" s="66" t="str">
        <x:f>IF($A195="","",IFERROR(VLOOKUP($A195,Invoices!$A$7:$W$156,2,FALSE),""))</x:f>
      </x:c>
      <x:c r="L195" s="52" t="str">
        <x:f>IF($A195="","",IFERROR(VLOOKUP($A195,Invoices!$A$7:$W$156,3,FALSE),""))</x:f>
      </x:c>
      <x:c r="M195" s="52" t="str">
        <x:f>IF($A195="","",IFERROR(VLOOKUP($A195,Invoices!$A$7:$W$156,4,FALSE),""))</x:f>
      </x:c>
      <x:c r="N195" s="52" t="str">
        <x:f>IF($A195="","",IFERROR(VLOOKUP($A195,Invoices!$A$7:$W$156,5,FALSE),""))</x:f>
      </x:c>
      <x:c r="O195" s="52" t="str">
        <x:f>IF($A195="","",IF(OR($B195="",$C195&lt;=0,$D195&lt;0,$F195="",$K195="",COUNTIFS($A$7:$A$306,$A195,$B$7:$B$306,$B195)&gt;1),"REVIEW","OK"))</x:f>
      </x:c>
    </x:row>
    <x:row r="196">
      <x:c r="A196" s="46"/>
      <x:c r="B196" s="46"/>
      <x:c r="C196" s="68"/>
      <x:c r="D196" s="58"/>
      <x:c r="E196" s="60" t="str">
        <x:f>IF($A196="","",$C196*$D196)</x:f>
      </x:c>
      <x:c r="F196" s="104" t="str">
        <x:f>IF($A196="","",IFERROR(VLOOKUP($B196,Setup!$A$7:$H$23,2,FALSE),""))</x:f>
      </x:c>
      <x:c r="G196" s="52" t="str">
        <x:f>IF($A196="","",IFERROR(VLOOKUP($B196,Setup!$A$7:$H$23,5,FALSE),""))</x:f>
      </x:c>
      <x:c r="H196" s="60" t="str">
        <x:f>IF($A196="","",IFERROR(VLOOKUP($B196,Setup!$A$7:$H$23,6,FALSE),""))</x:f>
      </x:c>
      <x:c r="I196" s="60" t="str">
        <x:f>IF($A196="","",$C196*$H196)</x:f>
      </x:c>
      <x:c r="J196" s="60" t="str">
        <x:f>IF($A196="","",$E196-$I196)</x:f>
      </x:c>
      <x:c r="K196" s="66" t="str">
        <x:f>IF($A196="","",IFERROR(VLOOKUP($A196,Invoices!$A$7:$W$156,2,FALSE),""))</x:f>
      </x:c>
      <x:c r="L196" s="52" t="str">
        <x:f>IF($A196="","",IFERROR(VLOOKUP($A196,Invoices!$A$7:$W$156,3,FALSE),""))</x:f>
      </x:c>
      <x:c r="M196" s="52" t="str">
        <x:f>IF($A196="","",IFERROR(VLOOKUP($A196,Invoices!$A$7:$W$156,4,FALSE),""))</x:f>
      </x:c>
      <x:c r="N196" s="52" t="str">
        <x:f>IF($A196="","",IFERROR(VLOOKUP($A196,Invoices!$A$7:$W$156,5,FALSE),""))</x:f>
      </x:c>
      <x:c r="O196" s="52" t="str">
        <x:f>IF($A196="","",IF(OR($B196="",$C196&lt;=0,$D196&lt;0,$F196="",$K196="",COUNTIFS($A$7:$A$306,$A196,$B$7:$B$306,$B196)&gt;1),"REVIEW","OK"))</x:f>
      </x:c>
    </x:row>
    <x:row r="197">
      <x:c r="A197" s="46"/>
      <x:c r="B197" s="46"/>
      <x:c r="C197" s="68"/>
      <x:c r="D197" s="58"/>
      <x:c r="E197" s="60" t="str">
        <x:f>IF($A197="","",$C197*$D197)</x:f>
      </x:c>
      <x:c r="F197" s="104" t="str">
        <x:f>IF($A197="","",IFERROR(VLOOKUP($B197,Setup!$A$7:$H$23,2,FALSE),""))</x:f>
      </x:c>
      <x:c r="G197" s="52" t="str">
        <x:f>IF($A197="","",IFERROR(VLOOKUP($B197,Setup!$A$7:$H$23,5,FALSE),""))</x:f>
      </x:c>
      <x:c r="H197" s="60" t="str">
        <x:f>IF($A197="","",IFERROR(VLOOKUP($B197,Setup!$A$7:$H$23,6,FALSE),""))</x:f>
      </x:c>
      <x:c r="I197" s="60" t="str">
        <x:f>IF($A197="","",$C197*$H197)</x:f>
      </x:c>
      <x:c r="J197" s="60" t="str">
        <x:f>IF($A197="","",$E197-$I197)</x:f>
      </x:c>
      <x:c r="K197" s="66" t="str">
        <x:f>IF($A197="","",IFERROR(VLOOKUP($A197,Invoices!$A$7:$W$156,2,FALSE),""))</x:f>
      </x:c>
      <x:c r="L197" s="52" t="str">
        <x:f>IF($A197="","",IFERROR(VLOOKUP($A197,Invoices!$A$7:$W$156,3,FALSE),""))</x:f>
      </x:c>
      <x:c r="M197" s="52" t="str">
        <x:f>IF($A197="","",IFERROR(VLOOKUP($A197,Invoices!$A$7:$W$156,4,FALSE),""))</x:f>
      </x:c>
      <x:c r="N197" s="52" t="str">
        <x:f>IF($A197="","",IFERROR(VLOOKUP($A197,Invoices!$A$7:$W$156,5,FALSE),""))</x:f>
      </x:c>
      <x:c r="O197" s="52" t="str">
        <x:f>IF($A197="","",IF(OR($B197="",$C197&lt;=0,$D197&lt;0,$F197="",$K197="",COUNTIFS($A$7:$A$306,$A197,$B$7:$B$306,$B197)&gt;1),"REVIEW","OK"))</x:f>
      </x:c>
    </x:row>
    <x:row r="198">
      <x:c r="A198" s="46"/>
      <x:c r="B198" s="46"/>
      <x:c r="C198" s="68"/>
      <x:c r="D198" s="58"/>
      <x:c r="E198" s="60" t="str">
        <x:f>IF($A198="","",$C198*$D198)</x:f>
      </x:c>
      <x:c r="F198" s="104" t="str">
        <x:f>IF($A198="","",IFERROR(VLOOKUP($B198,Setup!$A$7:$H$23,2,FALSE),""))</x:f>
      </x:c>
      <x:c r="G198" s="52" t="str">
        <x:f>IF($A198="","",IFERROR(VLOOKUP($B198,Setup!$A$7:$H$23,5,FALSE),""))</x:f>
      </x:c>
      <x:c r="H198" s="60" t="str">
        <x:f>IF($A198="","",IFERROR(VLOOKUP($B198,Setup!$A$7:$H$23,6,FALSE),""))</x:f>
      </x:c>
      <x:c r="I198" s="60" t="str">
        <x:f>IF($A198="","",$C198*$H198)</x:f>
      </x:c>
      <x:c r="J198" s="60" t="str">
        <x:f>IF($A198="","",$E198-$I198)</x:f>
      </x:c>
      <x:c r="K198" s="66" t="str">
        <x:f>IF($A198="","",IFERROR(VLOOKUP($A198,Invoices!$A$7:$W$156,2,FALSE),""))</x:f>
      </x:c>
      <x:c r="L198" s="52" t="str">
        <x:f>IF($A198="","",IFERROR(VLOOKUP($A198,Invoices!$A$7:$W$156,3,FALSE),""))</x:f>
      </x:c>
      <x:c r="M198" s="52" t="str">
        <x:f>IF($A198="","",IFERROR(VLOOKUP($A198,Invoices!$A$7:$W$156,4,FALSE),""))</x:f>
      </x:c>
      <x:c r="N198" s="52" t="str">
        <x:f>IF($A198="","",IFERROR(VLOOKUP($A198,Invoices!$A$7:$W$156,5,FALSE),""))</x:f>
      </x:c>
      <x:c r="O198" s="52" t="str">
        <x:f>IF($A198="","",IF(OR($B198="",$C198&lt;=0,$D198&lt;0,$F198="",$K198="",COUNTIFS($A$7:$A$306,$A198,$B$7:$B$306,$B198)&gt;1),"REVIEW","OK"))</x:f>
      </x:c>
    </x:row>
    <x:row r="199">
      <x:c r="A199" s="46"/>
      <x:c r="B199" s="46"/>
      <x:c r="C199" s="68"/>
      <x:c r="D199" s="58"/>
      <x:c r="E199" s="60" t="str">
        <x:f>IF($A199="","",$C199*$D199)</x:f>
      </x:c>
      <x:c r="F199" s="104" t="str">
        <x:f>IF($A199="","",IFERROR(VLOOKUP($B199,Setup!$A$7:$H$23,2,FALSE),""))</x:f>
      </x:c>
      <x:c r="G199" s="52" t="str">
        <x:f>IF($A199="","",IFERROR(VLOOKUP($B199,Setup!$A$7:$H$23,5,FALSE),""))</x:f>
      </x:c>
      <x:c r="H199" s="60" t="str">
        <x:f>IF($A199="","",IFERROR(VLOOKUP($B199,Setup!$A$7:$H$23,6,FALSE),""))</x:f>
      </x:c>
      <x:c r="I199" s="60" t="str">
        <x:f>IF($A199="","",$C199*$H199)</x:f>
      </x:c>
      <x:c r="J199" s="60" t="str">
        <x:f>IF($A199="","",$E199-$I199)</x:f>
      </x:c>
      <x:c r="K199" s="66" t="str">
        <x:f>IF($A199="","",IFERROR(VLOOKUP($A199,Invoices!$A$7:$W$156,2,FALSE),""))</x:f>
      </x:c>
      <x:c r="L199" s="52" t="str">
        <x:f>IF($A199="","",IFERROR(VLOOKUP($A199,Invoices!$A$7:$W$156,3,FALSE),""))</x:f>
      </x:c>
      <x:c r="M199" s="52" t="str">
        <x:f>IF($A199="","",IFERROR(VLOOKUP($A199,Invoices!$A$7:$W$156,4,FALSE),""))</x:f>
      </x:c>
      <x:c r="N199" s="52" t="str">
        <x:f>IF($A199="","",IFERROR(VLOOKUP($A199,Invoices!$A$7:$W$156,5,FALSE),""))</x:f>
      </x:c>
      <x:c r="O199" s="52" t="str">
        <x:f>IF($A199="","",IF(OR($B199="",$C199&lt;=0,$D199&lt;0,$F199="",$K199="",COUNTIFS($A$7:$A$306,$A199,$B$7:$B$306,$B199)&gt;1),"REVIEW","OK"))</x:f>
      </x:c>
    </x:row>
    <x:row r="200">
      <x:c r="A200" s="46"/>
      <x:c r="B200" s="46"/>
      <x:c r="C200" s="68"/>
      <x:c r="D200" s="58"/>
      <x:c r="E200" s="60" t="str">
        <x:f>IF($A200="","",$C200*$D200)</x:f>
      </x:c>
      <x:c r="F200" s="104" t="str">
        <x:f>IF($A200="","",IFERROR(VLOOKUP($B200,Setup!$A$7:$H$23,2,FALSE),""))</x:f>
      </x:c>
      <x:c r="G200" s="52" t="str">
        <x:f>IF($A200="","",IFERROR(VLOOKUP($B200,Setup!$A$7:$H$23,5,FALSE),""))</x:f>
      </x:c>
      <x:c r="H200" s="60" t="str">
        <x:f>IF($A200="","",IFERROR(VLOOKUP($B200,Setup!$A$7:$H$23,6,FALSE),""))</x:f>
      </x:c>
      <x:c r="I200" s="60" t="str">
        <x:f>IF($A200="","",$C200*$H200)</x:f>
      </x:c>
      <x:c r="J200" s="60" t="str">
        <x:f>IF($A200="","",$E200-$I200)</x:f>
      </x:c>
      <x:c r="K200" s="66" t="str">
        <x:f>IF($A200="","",IFERROR(VLOOKUP($A200,Invoices!$A$7:$W$156,2,FALSE),""))</x:f>
      </x:c>
      <x:c r="L200" s="52" t="str">
        <x:f>IF($A200="","",IFERROR(VLOOKUP($A200,Invoices!$A$7:$W$156,3,FALSE),""))</x:f>
      </x:c>
      <x:c r="M200" s="52" t="str">
        <x:f>IF($A200="","",IFERROR(VLOOKUP($A200,Invoices!$A$7:$W$156,4,FALSE),""))</x:f>
      </x:c>
      <x:c r="N200" s="52" t="str">
        <x:f>IF($A200="","",IFERROR(VLOOKUP($A200,Invoices!$A$7:$W$156,5,FALSE),""))</x:f>
      </x:c>
      <x:c r="O200" s="52" t="str">
        <x:f>IF($A200="","",IF(OR($B200="",$C200&lt;=0,$D200&lt;0,$F200="",$K200="",COUNTIFS($A$7:$A$306,$A200,$B$7:$B$306,$B200)&gt;1),"REVIEW","OK"))</x:f>
      </x:c>
    </x:row>
    <x:row r="201">
      <x:c r="A201" s="46"/>
      <x:c r="B201" s="46"/>
      <x:c r="C201" s="68"/>
      <x:c r="D201" s="58"/>
      <x:c r="E201" s="60" t="str">
        <x:f>IF($A201="","",$C201*$D201)</x:f>
      </x:c>
      <x:c r="F201" s="104" t="str">
        <x:f>IF($A201="","",IFERROR(VLOOKUP($B201,Setup!$A$7:$H$23,2,FALSE),""))</x:f>
      </x:c>
      <x:c r="G201" s="52" t="str">
        <x:f>IF($A201="","",IFERROR(VLOOKUP($B201,Setup!$A$7:$H$23,5,FALSE),""))</x:f>
      </x:c>
      <x:c r="H201" s="60" t="str">
        <x:f>IF($A201="","",IFERROR(VLOOKUP($B201,Setup!$A$7:$H$23,6,FALSE),""))</x:f>
      </x:c>
      <x:c r="I201" s="60" t="str">
        <x:f>IF($A201="","",$C201*$H201)</x:f>
      </x:c>
      <x:c r="J201" s="60" t="str">
        <x:f>IF($A201="","",$E201-$I201)</x:f>
      </x:c>
      <x:c r="K201" s="66" t="str">
        <x:f>IF($A201="","",IFERROR(VLOOKUP($A201,Invoices!$A$7:$W$156,2,FALSE),""))</x:f>
      </x:c>
      <x:c r="L201" s="52" t="str">
        <x:f>IF($A201="","",IFERROR(VLOOKUP($A201,Invoices!$A$7:$W$156,3,FALSE),""))</x:f>
      </x:c>
      <x:c r="M201" s="52" t="str">
        <x:f>IF($A201="","",IFERROR(VLOOKUP($A201,Invoices!$A$7:$W$156,4,FALSE),""))</x:f>
      </x:c>
      <x:c r="N201" s="52" t="str">
        <x:f>IF($A201="","",IFERROR(VLOOKUP($A201,Invoices!$A$7:$W$156,5,FALSE),""))</x:f>
      </x:c>
      <x:c r="O201" s="52" t="str">
        <x:f>IF($A201="","",IF(OR($B201="",$C201&lt;=0,$D201&lt;0,$F201="",$K201="",COUNTIFS($A$7:$A$306,$A201,$B$7:$B$306,$B201)&gt;1),"REVIEW","OK"))</x:f>
      </x:c>
    </x:row>
    <x:row r="202">
      <x:c r="A202" s="46"/>
      <x:c r="B202" s="46"/>
      <x:c r="C202" s="68"/>
      <x:c r="D202" s="58"/>
      <x:c r="E202" s="60" t="str">
        <x:f>IF($A202="","",$C202*$D202)</x:f>
      </x:c>
      <x:c r="F202" s="104" t="str">
        <x:f>IF($A202="","",IFERROR(VLOOKUP($B202,Setup!$A$7:$H$23,2,FALSE),""))</x:f>
      </x:c>
      <x:c r="G202" s="52" t="str">
        <x:f>IF($A202="","",IFERROR(VLOOKUP($B202,Setup!$A$7:$H$23,5,FALSE),""))</x:f>
      </x:c>
      <x:c r="H202" s="60" t="str">
        <x:f>IF($A202="","",IFERROR(VLOOKUP($B202,Setup!$A$7:$H$23,6,FALSE),""))</x:f>
      </x:c>
      <x:c r="I202" s="60" t="str">
        <x:f>IF($A202="","",$C202*$H202)</x:f>
      </x:c>
      <x:c r="J202" s="60" t="str">
        <x:f>IF($A202="","",$E202-$I202)</x:f>
      </x:c>
      <x:c r="K202" s="66" t="str">
        <x:f>IF($A202="","",IFERROR(VLOOKUP($A202,Invoices!$A$7:$W$156,2,FALSE),""))</x:f>
      </x:c>
      <x:c r="L202" s="52" t="str">
        <x:f>IF($A202="","",IFERROR(VLOOKUP($A202,Invoices!$A$7:$W$156,3,FALSE),""))</x:f>
      </x:c>
      <x:c r="M202" s="52" t="str">
        <x:f>IF($A202="","",IFERROR(VLOOKUP($A202,Invoices!$A$7:$W$156,4,FALSE),""))</x:f>
      </x:c>
      <x:c r="N202" s="52" t="str">
        <x:f>IF($A202="","",IFERROR(VLOOKUP($A202,Invoices!$A$7:$W$156,5,FALSE),""))</x:f>
      </x:c>
      <x:c r="O202" s="52" t="str">
        <x:f>IF($A202="","",IF(OR($B202="",$C202&lt;=0,$D202&lt;0,$F202="",$K202="",COUNTIFS($A$7:$A$306,$A202,$B$7:$B$306,$B202)&gt;1),"REVIEW","OK"))</x:f>
      </x:c>
    </x:row>
    <x:row r="203">
      <x:c r="A203" s="46"/>
      <x:c r="B203" s="46"/>
      <x:c r="C203" s="68"/>
      <x:c r="D203" s="58"/>
      <x:c r="E203" s="60" t="str">
        <x:f>IF($A203="","",$C203*$D203)</x:f>
      </x:c>
      <x:c r="F203" s="104" t="str">
        <x:f>IF($A203="","",IFERROR(VLOOKUP($B203,Setup!$A$7:$H$23,2,FALSE),""))</x:f>
      </x:c>
      <x:c r="G203" s="52" t="str">
        <x:f>IF($A203="","",IFERROR(VLOOKUP($B203,Setup!$A$7:$H$23,5,FALSE),""))</x:f>
      </x:c>
      <x:c r="H203" s="60" t="str">
        <x:f>IF($A203="","",IFERROR(VLOOKUP($B203,Setup!$A$7:$H$23,6,FALSE),""))</x:f>
      </x:c>
      <x:c r="I203" s="60" t="str">
        <x:f>IF($A203="","",$C203*$H203)</x:f>
      </x:c>
      <x:c r="J203" s="60" t="str">
        <x:f>IF($A203="","",$E203-$I203)</x:f>
      </x:c>
      <x:c r="K203" s="66" t="str">
        <x:f>IF($A203="","",IFERROR(VLOOKUP($A203,Invoices!$A$7:$W$156,2,FALSE),""))</x:f>
      </x:c>
      <x:c r="L203" s="52" t="str">
        <x:f>IF($A203="","",IFERROR(VLOOKUP($A203,Invoices!$A$7:$W$156,3,FALSE),""))</x:f>
      </x:c>
      <x:c r="M203" s="52" t="str">
        <x:f>IF($A203="","",IFERROR(VLOOKUP($A203,Invoices!$A$7:$W$156,4,FALSE),""))</x:f>
      </x:c>
      <x:c r="N203" s="52" t="str">
        <x:f>IF($A203="","",IFERROR(VLOOKUP($A203,Invoices!$A$7:$W$156,5,FALSE),""))</x:f>
      </x:c>
      <x:c r="O203" s="52" t="str">
        <x:f>IF($A203="","",IF(OR($B203="",$C203&lt;=0,$D203&lt;0,$F203="",$K203="",COUNTIFS($A$7:$A$306,$A203,$B$7:$B$306,$B203)&gt;1),"REVIEW","OK"))</x:f>
      </x:c>
    </x:row>
    <x:row r="204">
      <x:c r="A204" s="46"/>
      <x:c r="B204" s="46"/>
      <x:c r="C204" s="68"/>
      <x:c r="D204" s="58"/>
      <x:c r="E204" s="60" t="str">
        <x:f>IF($A204="","",$C204*$D204)</x:f>
      </x:c>
      <x:c r="F204" s="104" t="str">
        <x:f>IF($A204="","",IFERROR(VLOOKUP($B204,Setup!$A$7:$H$23,2,FALSE),""))</x:f>
      </x:c>
      <x:c r="G204" s="52" t="str">
        <x:f>IF($A204="","",IFERROR(VLOOKUP($B204,Setup!$A$7:$H$23,5,FALSE),""))</x:f>
      </x:c>
      <x:c r="H204" s="60" t="str">
        <x:f>IF($A204="","",IFERROR(VLOOKUP($B204,Setup!$A$7:$H$23,6,FALSE),""))</x:f>
      </x:c>
      <x:c r="I204" s="60" t="str">
        <x:f>IF($A204="","",$C204*$H204)</x:f>
      </x:c>
      <x:c r="J204" s="60" t="str">
        <x:f>IF($A204="","",$E204-$I204)</x:f>
      </x:c>
      <x:c r="K204" s="66" t="str">
        <x:f>IF($A204="","",IFERROR(VLOOKUP($A204,Invoices!$A$7:$W$156,2,FALSE),""))</x:f>
      </x:c>
      <x:c r="L204" s="52" t="str">
        <x:f>IF($A204="","",IFERROR(VLOOKUP($A204,Invoices!$A$7:$W$156,3,FALSE),""))</x:f>
      </x:c>
      <x:c r="M204" s="52" t="str">
        <x:f>IF($A204="","",IFERROR(VLOOKUP($A204,Invoices!$A$7:$W$156,4,FALSE),""))</x:f>
      </x:c>
      <x:c r="N204" s="52" t="str">
        <x:f>IF($A204="","",IFERROR(VLOOKUP($A204,Invoices!$A$7:$W$156,5,FALSE),""))</x:f>
      </x:c>
      <x:c r="O204" s="52" t="str">
        <x:f>IF($A204="","",IF(OR($B204="",$C204&lt;=0,$D204&lt;0,$F204="",$K204="",COUNTIFS($A$7:$A$306,$A204,$B$7:$B$306,$B204)&gt;1),"REVIEW","OK"))</x:f>
      </x:c>
    </x:row>
    <x:row r="205">
      <x:c r="A205" s="46"/>
      <x:c r="B205" s="46"/>
      <x:c r="C205" s="68"/>
      <x:c r="D205" s="58"/>
      <x:c r="E205" s="60" t="str">
        <x:f>IF($A205="","",$C205*$D205)</x:f>
      </x:c>
      <x:c r="F205" s="104" t="str">
        <x:f>IF($A205="","",IFERROR(VLOOKUP($B205,Setup!$A$7:$H$23,2,FALSE),""))</x:f>
      </x:c>
      <x:c r="G205" s="52" t="str">
        <x:f>IF($A205="","",IFERROR(VLOOKUP($B205,Setup!$A$7:$H$23,5,FALSE),""))</x:f>
      </x:c>
      <x:c r="H205" s="60" t="str">
        <x:f>IF($A205="","",IFERROR(VLOOKUP($B205,Setup!$A$7:$H$23,6,FALSE),""))</x:f>
      </x:c>
      <x:c r="I205" s="60" t="str">
        <x:f>IF($A205="","",$C205*$H205)</x:f>
      </x:c>
      <x:c r="J205" s="60" t="str">
        <x:f>IF($A205="","",$E205-$I205)</x:f>
      </x:c>
      <x:c r="K205" s="66" t="str">
        <x:f>IF($A205="","",IFERROR(VLOOKUP($A205,Invoices!$A$7:$W$156,2,FALSE),""))</x:f>
      </x:c>
      <x:c r="L205" s="52" t="str">
        <x:f>IF($A205="","",IFERROR(VLOOKUP($A205,Invoices!$A$7:$W$156,3,FALSE),""))</x:f>
      </x:c>
      <x:c r="M205" s="52" t="str">
        <x:f>IF($A205="","",IFERROR(VLOOKUP($A205,Invoices!$A$7:$W$156,4,FALSE),""))</x:f>
      </x:c>
      <x:c r="N205" s="52" t="str">
        <x:f>IF($A205="","",IFERROR(VLOOKUP($A205,Invoices!$A$7:$W$156,5,FALSE),""))</x:f>
      </x:c>
      <x:c r="O205" s="52" t="str">
        <x:f>IF($A205="","",IF(OR($B205="",$C205&lt;=0,$D205&lt;0,$F205="",$K205="",COUNTIFS($A$7:$A$306,$A205,$B$7:$B$306,$B205)&gt;1),"REVIEW","OK"))</x:f>
      </x:c>
    </x:row>
    <x:row r="206">
      <x:c r="A206" s="46"/>
      <x:c r="B206" s="46"/>
      <x:c r="C206" s="68"/>
      <x:c r="D206" s="58"/>
      <x:c r="E206" s="60" t="str">
        <x:f>IF($A206="","",$C206*$D206)</x:f>
      </x:c>
      <x:c r="F206" s="104" t="str">
        <x:f>IF($A206="","",IFERROR(VLOOKUP($B206,Setup!$A$7:$H$23,2,FALSE),""))</x:f>
      </x:c>
      <x:c r="G206" s="52" t="str">
        <x:f>IF($A206="","",IFERROR(VLOOKUP($B206,Setup!$A$7:$H$23,5,FALSE),""))</x:f>
      </x:c>
      <x:c r="H206" s="60" t="str">
        <x:f>IF($A206="","",IFERROR(VLOOKUP($B206,Setup!$A$7:$H$23,6,FALSE),""))</x:f>
      </x:c>
      <x:c r="I206" s="60" t="str">
        <x:f>IF($A206="","",$C206*$H206)</x:f>
      </x:c>
      <x:c r="J206" s="60" t="str">
        <x:f>IF($A206="","",$E206-$I206)</x:f>
      </x:c>
      <x:c r="K206" s="66" t="str">
        <x:f>IF($A206="","",IFERROR(VLOOKUP($A206,Invoices!$A$7:$W$156,2,FALSE),""))</x:f>
      </x:c>
      <x:c r="L206" s="52" t="str">
        <x:f>IF($A206="","",IFERROR(VLOOKUP($A206,Invoices!$A$7:$W$156,3,FALSE),""))</x:f>
      </x:c>
      <x:c r="M206" s="52" t="str">
        <x:f>IF($A206="","",IFERROR(VLOOKUP($A206,Invoices!$A$7:$W$156,4,FALSE),""))</x:f>
      </x:c>
      <x:c r="N206" s="52" t="str">
        <x:f>IF($A206="","",IFERROR(VLOOKUP($A206,Invoices!$A$7:$W$156,5,FALSE),""))</x:f>
      </x:c>
      <x:c r="O206" s="52" t="str">
        <x:f>IF($A206="","",IF(OR($B206="",$C206&lt;=0,$D206&lt;0,$F206="",$K206="",COUNTIFS($A$7:$A$306,$A206,$B$7:$B$306,$B206)&gt;1),"REVIEW","OK"))</x:f>
      </x:c>
    </x:row>
    <x:row r="207">
      <x:c r="A207" s="46"/>
      <x:c r="B207" s="46"/>
      <x:c r="C207" s="68"/>
      <x:c r="D207" s="58"/>
      <x:c r="E207" s="60" t="str">
        <x:f>IF($A207="","",$C207*$D207)</x:f>
      </x:c>
      <x:c r="F207" s="104" t="str">
        <x:f>IF($A207="","",IFERROR(VLOOKUP($B207,Setup!$A$7:$H$23,2,FALSE),""))</x:f>
      </x:c>
      <x:c r="G207" s="52" t="str">
        <x:f>IF($A207="","",IFERROR(VLOOKUP($B207,Setup!$A$7:$H$23,5,FALSE),""))</x:f>
      </x:c>
      <x:c r="H207" s="60" t="str">
        <x:f>IF($A207="","",IFERROR(VLOOKUP($B207,Setup!$A$7:$H$23,6,FALSE),""))</x:f>
      </x:c>
      <x:c r="I207" s="60" t="str">
        <x:f>IF($A207="","",$C207*$H207)</x:f>
      </x:c>
      <x:c r="J207" s="60" t="str">
        <x:f>IF($A207="","",$E207-$I207)</x:f>
      </x:c>
      <x:c r="K207" s="66" t="str">
        <x:f>IF($A207="","",IFERROR(VLOOKUP($A207,Invoices!$A$7:$W$156,2,FALSE),""))</x:f>
      </x:c>
      <x:c r="L207" s="52" t="str">
        <x:f>IF($A207="","",IFERROR(VLOOKUP($A207,Invoices!$A$7:$W$156,3,FALSE),""))</x:f>
      </x:c>
      <x:c r="M207" s="52" t="str">
        <x:f>IF($A207="","",IFERROR(VLOOKUP($A207,Invoices!$A$7:$W$156,4,FALSE),""))</x:f>
      </x:c>
      <x:c r="N207" s="52" t="str">
        <x:f>IF($A207="","",IFERROR(VLOOKUP($A207,Invoices!$A$7:$W$156,5,FALSE),""))</x:f>
      </x:c>
      <x:c r="O207" s="52" t="str">
        <x:f>IF($A207="","",IF(OR($B207="",$C207&lt;=0,$D207&lt;0,$F207="",$K207="",COUNTIFS($A$7:$A$306,$A207,$B$7:$B$306,$B207)&gt;1),"REVIEW","OK"))</x:f>
      </x:c>
    </x:row>
    <x:row r="208">
      <x:c r="A208" s="46"/>
      <x:c r="B208" s="46"/>
      <x:c r="C208" s="68"/>
      <x:c r="D208" s="58"/>
      <x:c r="E208" s="60" t="str">
        <x:f>IF($A208="","",$C208*$D208)</x:f>
      </x:c>
      <x:c r="F208" s="104" t="str">
        <x:f>IF($A208="","",IFERROR(VLOOKUP($B208,Setup!$A$7:$H$23,2,FALSE),""))</x:f>
      </x:c>
      <x:c r="G208" s="52" t="str">
        <x:f>IF($A208="","",IFERROR(VLOOKUP($B208,Setup!$A$7:$H$23,5,FALSE),""))</x:f>
      </x:c>
      <x:c r="H208" s="60" t="str">
        <x:f>IF($A208="","",IFERROR(VLOOKUP($B208,Setup!$A$7:$H$23,6,FALSE),""))</x:f>
      </x:c>
      <x:c r="I208" s="60" t="str">
        <x:f>IF($A208="","",$C208*$H208)</x:f>
      </x:c>
      <x:c r="J208" s="60" t="str">
        <x:f>IF($A208="","",$E208-$I208)</x:f>
      </x:c>
      <x:c r="K208" s="66" t="str">
        <x:f>IF($A208="","",IFERROR(VLOOKUP($A208,Invoices!$A$7:$W$156,2,FALSE),""))</x:f>
      </x:c>
      <x:c r="L208" s="52" t="str">
        <x:f>IF($A208="","",IFERROR(VLOOKUP($A208,Invoices!$A$7:$W$156,3,FALSE),""))</x:f>
      </x:c>
      <x:c r="M208" s="52" t="str">
        <x:f>IF($A208="","",IFERROR(VLOOKUP($A208,Invoices!$A$7:$W$156,4,FALSE),""))</x:f>
      </x:c>
      <x:c r="N208" s="52" t="str">
        <x:f>IF($A208="","",IFERROR(VLOOKUP($A208,Invoices!$A$7:$W$156,5,FALSE),""))</x:f>
      </x:c>
      <x:c r="O208" s="52" t="str">
        <x:f>IF($A208="","",IF(OR($B208="",$C208&lt;=0,$D208&lt;0,$F208="",$K208="",COUNTIFS($A$7:$A$306,$A208,$B$7:$B$306,$B208)&gt;1),"REVIEW","OK"))</x:f>
      </x:c>
    </x:row>
    <x:row r="209">
      <x:c r="A209" s="46"/>
      <x:c r="B209" s="46"/>
      <x:c r="C209" s="68"/>
      <x:c r="D209" s="58"/>
      <x:c r="E209" s="60" t="str">
        <x:f>IF($A209="","",$C209*$D209)</x:f>
      </x:c>
      <x:c r="F209" s="104" t="str">
        <x:f>IF($A209="","",IFERROR(VLOOKUP($B209,Setup!$A$7:$H$23,2,FALSE),""))</x:f>
      </x:c>
      <x:c r="G209" s="52" t="str">
        <x:f>IF($A209="","",IFERROR(VLOOKUP($B209,Setup!$A$7:$H$23,5,FALSE),""))</x:f>
      </x:c>
      <x:c r="H209" s="60" t="str">
        <x:f>IF($A209="","",IFERROR(VLOOKUP($B209,Setup!$A$7:$H$23,6,FALSE),""))</x:f>
      </x:c>
      <x:c r="I209" s="60" t="str">
        <x:f>IF($A209="","",$C209*$H209)</x:f>
      </x:c>
      <x:c r="J209" s="60" t="str">
        <x:f>IF($A209="","",$E209-$I209)</x:f>
      </x:c>
      <x:c r="K209" s="66" t="str">
        <x:f>IF($A209="","",IFERROR(VLOOKUP($A209,Invoices!$A$7:$W$156,2,FALSE),""))</x:f>
      </x:c>
      <x:c r="L209" s="52" t="str">
        <x:f>IF($A209="","",IFERROR(VLOOKUP($A209,Invoices!$A$7:$W$156,3,FALSE),""))</x:f>
      </x:c>
      <x:c r="M209" s="52" t="str">
        <x:f>IF($A209="","",IFERROR(VLOOKUP($A209,Invoices!$A$7:$W$156,4,FALSE),""))</x:f>
      </x:c>
      <x:c r="N209" s="52" t="str">
        <x:f>IF($A209="","",IFERROR(VLOOKUP($A209,Invoices!$A$7:$W$156,5,FALSE),""))</x:f>
      </x:c>
      <x:c r="O209" s="52" t="str">
        <x:f>IF($A209="","",IF(OR($B209="",$C209&lt;=0,$D209&lt;0,$F209="",$K209="",COUNTIFS($A$7:$A$306,$A209,$B$7:$B$306,$B209)&gt;1),"REVIEW","OK"))</x:f>
      </x:c>
    </x:row>
    <x:row r="210">
      <x:c r="A210" s="46"/>
      <x:c r="B210" s="46"/>
      <x:c r="C210" s="68"/>
      <x:c r="D210" s="58"/>
      <x:c r="E210" s="60" t="str">
        <x:f>IF($A210="","",$C210*$D210)</x:f>
      </x:c>
      <x:c r="F210" s="104" t="str">
        <x:f>IF($A210="","",IFERROR(VLOOKUP($B210,Setup!$A$7:$H$23,2,FALSE),""))</x:f>
      </x:c>
      <x:c r="G210" s="52" t="str">
        <x:f>IF($A210="","",IFERROR(VLOOKUP($B210,Setup!$A$7:$H$23,5,FALSE),""))</x:f>
      </x:c>
      <x:c r="H210" s="60" t="str">
        <x:f>IF($A210="","",IFERROR(VLOOKUP($B210,Setup!$A$7:$H$23,6,FALSE),""))</x:f>
      </x:c>
      <x:c r="I210" s="60" t="str">
        <x:f>IF($A210="","",$C210*$H210)</x:f>
      </x:c>
      <x:c r="J210" s="60" t="str">
        <x:f>IF($A210="","",$E210-$I210)</x:f>
      </x:c>
      <x:c r="K210" s="66" t="str">
        <x:f>IF($A210="","",IFERROR(VLOOKUP($A210,Invoices!$A$7:$W$156,2,FALSE),""))</x:f>
      </x:c>
      <x:c r="L210" s="52" t="str">
        <x:f>IF($A210="","",IFERROR(VLOOKUP($A210,Invoices!$A$7:$W$156,3,FALSE),""))</x:f>
      </x:c>
      <x:c r="M210" s="52" t="str">
        <x:f>IF($A210="","",IFERROR(VLOOKUP($A210,Invoices!$A$7:$W$156,4,FALSE),""))</x:f>
      </x:c>
      <x:c r="N210" s="52" t="str">
        <x:f>IF($A210="","",IFERROR(VLOOKUP($A210,Invoices!$A$7:$W$156,5,FALSE),""))</x:f>
      </x:c>
      <x:c r="O210" s="52" t="str">
        <x:f>IF($A210="","",IF(OR($B210="",$C210&lt;=0,$D210&lt;0,$F210="",$K210="",COUNTIFS($A$7:$A$306,$A210,$B$7:$B$306,$B210)&gt;1),"REVIEW","OK"))</x:f>
      </x:c>
    </x:row>
    <x:row r="211">
      <x:c r="A211" s="46"/>
      <x:c r="B211" s="46"/>
      <x:c r="C211" s="68"/>
      <x:c r="D211" s="58"/>
      <x:c r="E211" s="60" t="str">
        <x:f>IF($A211="","",$C211*$D211)</x:f>
      </x:c>
      <x:c r="F211" s="104" t="str">
        <x:f>IF($A211="","",IFERROR(VLOOKUP($B211,Setup!$A$7:$H$23,2,FALSE),""))</x:f>
      </x:c>
      <x:c r="G211" s="52" t="str">
        <x:f>IF($A211="","",IFERROR(VLOOKUP($B211,Setup!$A$7:$H$23,5,FALSE),""))</x:f>
      </x:c>
      <x:c r="H211" s="60" t="str">
        <x:f>IF($A211="","",IFERROR(VLOOKUP($B211,Setup!$A$7:$H$23,6,FALSE),""))</x:f>
      </x:c>
      <x:c r="I211" s="60" t="str">
        <x:f>IF($A211="","",$C211*$H211)</x:f>
      </x:c>
      <x:c r="J211" s="60" t="str">
        <x:f>IF($A211="","",$E211-$I211)</x:f>
      </x:c>
      <x:c r="K211" s="66" t="str">
        <x:f>IF($A211="","",IFERROR(VLOOKUP($A211,Invoices!$A$7:$W$156,2,FALSE),""))</x:f>
      </x:c>
      <x:c r="L211" s="52" t="str">
        <x:f>IF($A211="","",IFERROR(VLOOKUP($A211,Invoices!$A$7:$W$156,3,FALSE),""))</x:f>
      </x:c>
      <x:c r="M211" s="52" t="str">
        <x:f>IF($A211="","",IFERROR(VLOOKUP($A211,Invoices!$A$7:$W$156,4,FALSE),""))</x:f>
      </x:c>
      <x:c r="N211" s="52" t="str">
        <x:f>IF($A211="","",IFERROR(VLOOKUP($A211,Invoices!$A$7:$W$156,5,FALSE),""))</x:f>
      </x:c>
      <x:c r="O211" s="52" t="str">
        <x:f>IF($A211="","",IF(OR($B211="",$C211&lt;=0,$D211&lt;0,$F211="",$K211="",COUNTIFS($A$7:$A$306,$A211,$B$7:$B$306,$B211)&gt;1),"REVIEW","OK"))</x:f>
      </x:c>
    </x:row>
    <x:row r="212">
      <x:c r="A212" s="46"/>
      <x:c r="B212" s="46"/>
      <x:c r="C212" s="68"/>
      <x:c r="D212" s="58"/>
      <x:c r="E212" s="60" t="str">
        <x:f>IF($A212="","",$C212*$D212)</x:f>
      </x:c>
      <x:c r="F212" s="104" t="str">
        <x:f>IF($A212="","",IFERROR(VLOOKUP($B212,Setup!$A$7:$H$23,2,FALSE),""))</x:f>
      </x:c>
      <x:c r="G212" s="52" t="str">
        <x:f>IF($A212="","",IFERROR(VLOOKUP($B212,Setup!$A$7:$H$23,5,FALSE),""))</x:f>
      </x:c>
      <x:c r="H212" s="60" t="str">
        <x:f>IF($A212="","",IFERROR(VLOOKUP($B212,Setup!$A$7:$H$23,6,FALSE),""))</x:f>
      </x:c>
      <x:c r="I212" s="60" t="str">
        <x:f>IF($A212="","",$C212*$H212)</x:f>
      </x:c>
      <x:c r="J212" s="60" t="str">
        <x:f>IF($A212="","",$E212-$I212)</x:f>
      </x:c>
      <x:c r="K212" s="66" t="str">
        <x:f>IF($A212="","",IFERROR(VLOOKUP($A212,Invoices!$A$7:$W$156,2,FALSE),""))</x:f>
      </x:c>
      <x:c r="L212" s="52" t="str">
        <x:f>IF($A212="","",IFERROR(VLOOKUP($A212,Invoices!$A$7:$W$156,3,FALSE),""))</x:f>
      </x:c>
      <x:c r="M212" s="52" t="str">
        <x:f>IF($A212="","",IFERROR(VLOOKUP($A212,Invoices!$A$7:$W$156,4,FALSE),""))</x:f>
      </x:c>
      <x:c r="N212" s="52" t="str">
        <x:f>IF($A212="","",IFERROR(VLOOKUP($A212,Invoices!$A$7:$W$156,5,FALSE),""))</x:f>
      </x:c>
      <x:c r="O212" s="52" t="str">
        <x:f>IF($A212="","",IF(OR($B212="",$C212&lt;=0,$D212&lt;0,$F212="",$K212="",COUNTIFS($A$7:$A$306,$A212,$B$7:$B$306,$B212)&gt;1),"REVIEW","OK"))</x:f>
      </x:c>
    </x:row>
    <x:row r="213">
      <x:c r="A213" s="46"/>
      <x:c r="B213" s="46"/>
      <x:c r="C213" s="68"/>
      <x:c r="D213" s="58"/>
      <x:c r="E213" s="60" t="str">
        <x:f>IF($A213="","",$C213*$D213)</x:f>
      </x:c>
      <x:c r="F213" s="104" t="str">
        <x:f>IF($A213="","",IFERROR(VLOOKUP($B213,Setup!$A$7:$H$23,2,FALSE),""))</x:f>
      </x:c>
      <x:c r="G213" s="52" t="str">
        <x:f>IF($A213="","",IFERROR(VLOOKUP($B213,Setup!$A$7:$H$23,5,FALSE),""))</x:f>
      </x:c>
      <x:c r="H213" s="60" t="str">
        <x:f>IF($A213="","",IFERROR(VLOOKUP($B213,Setup!$A$7:$H$23,6,FALSE),""))</x:f>
      </x:c>
      <x:c r="I213" s="60" t="str">
        <x:f>IF($A213="","",$C213*$H213)</x:f>
      </x:c>
      <x:c r="J213" s="60" t="str">
        <x:f>IF($A213="","",$E213-$I213)</x:f>
      </x:c>
      <x:c r="K213" s="66" t="str">
        <x:f>IF($A213="","",IFERROR(VLOOKUP($A213,Invoices!$A$7:$W$156,2,FALSE),""))</x:f>
      </x:c>
      <x:c r="L213" s="52" t="str">
        <x:f>IF($A213="","",IFERROR(VLOOKUP($A213,Invoices!$A$7:$W$156,3,FALSE),""))</x:f>
      </x:c>
      <x:c r="M213" s="52" t="str">
        <x:f>IF($A213="","",IFERROR(VLOOKUP($A213,Invoices!$A$7:$W$156,4,FALSE),""))</x:f>
      </x:c>
      <x:c r="N213" s="52" t="str">
        <x:f>IF($A213="","",IFERROR(VLOOKUP($A213,Invoices!$A$7:$W$156,5,FALSE),""))</x:f>
      </x:c>
      <x:c r="O213" s="52" t="str">
        <x:f>IF($A213="","",IF(OR($B213="",$C213&lt;=0,$D213&lt;0,$F213="",$K213="",COUNTIFS($A$7:$A$306,$A213,$B$7:$B$306,$B213)&gt;1),"REVIEW","OK"))</x:f>
      </x:c>
    </x:row>
    <x:row r="214">
      <x:c r="A214" s="46"/>
      <x:c r="B214" s="46"/>
      <x:c r="C214" s="68"/>
      <x:c r="D214" s="58"/>
      <x:c r="E214" s="60" t="str">
        <x:f>IF($A214="","",$C214*$D214)</x:f>
      </x:c>
      <x:c r="F214" s="104" t="str">
        <x:f>IF($A214="","",IFERROR(VLOOKUP($B214,Setup!$A$7:$H$23,2,FALSE),""))</x:f>
      </x:c>
      <x:c r="G214" s="52" t="str">
        <x:f>IF($A214="","",IFERROR(VLOOKUP($B214,Setup!$A$7:$H$23,5,FALSE),""))</x:f>
      </x:c>
      <x:c r="H214" s="60" t="str">
        <x:f>IF($A214="","",IFERROR(VLOOKUP($B214,Setup!$A$7:$H$23,6,FALSE),""))</x:f>
      </x:c>
      <x:c r="I214" s="60" t="str">
        <x:f>IF($A214="","",$C214*$H214)</x:f>
      </x:c>
      <x:c r="J214" s="60" t="str">
        <x:f>IF($A214="","",$E214-$I214)</x:f>
      </x:c>
      <x:c r="K214" s="66" t="str">
        <x:f>IF($A214="","",IFERROR(VLOOKUP($A214,Invoices!$A$7:$W$156,2,FALSE),""))</x:f>
      </x:c>
      <x:c r="L214" s="52" t="str">
        <x:f>IF($A214="","",IFERROR(VLOOKUP($A214,Invoices!$A$7:$W$156,3,FALSE),""))</x:f>
      </x:c>
      <x:c r="M214" s="52" t="str">
        <x:f>IF($A214="","",IFERROR(VLOOKUP($A214,Invoices!$A$7:$W$156,4,FALSE),""))</x:f>
      </x:c>
      <x:c r="N214" s="52" t="str">
        <x:f>IF($A214="","",IFERROR(VLOOKUP($A214,Invoices!$A$7:$W$156,5,FALSE),""))</x:f>
      </x:c>
      <x:c r="O214" s="52" t="str">
        <x:f>IF($A214="","",IF(OR($B214="",$C214&lt;=0,$D214&lt;0,$F214="",$K214="",COUNTIFS($A$7:$A$306,$A214,$B$7:$B$306,$B214)&gt;1),"REVIEW","OK"))</x:f>
      </x:c>
    </x:row>
    <x:row r="215">
      <x:c r="A215" s="46"/>
      <x:c r="B215" s="46"/>
      <x:c r="C215" s="68"/>
      <x:c r="D215" s="58"/>
      <x:c r="E215" s="60" t="str">
        <x:f>IF($A215="","",$C215*$D215)</x:f>
      </x:c>
      <x:c r="F215" s="104" t="str">
        <x:f>IF($A215="","",IFERROR(VLOOKUP($B215,Setup!$A$7:$H$23,2,FALSE),""))</x:f>
      </x:c>
      <x:c r="G215" s="52" t="str">
        <x:f>IF($A215="","",IFERROR(VLOOKUP($B215,Setup!$A$7:$H$23,5,FALSE),""))</x:f>
      </x:c>
      <x:c r="H215" s="60" t="str">
        <x:f>IF($A215="","",IFERROR(VLOOKUP($B215,Setup!$A$7:$H$23,6,FALSE),""))</x:f>
      </x:c>
      <x:c r="I215" s="60" t="str">
        <x:f>IF($A215="","",$C215*$H215)</x:f>
      </x:c>
      <x:c r="J215" s="60" t="str">
        <x:f>IF($A215="","",$E215-$I215)</x:f>
      </x:c>
      <x:c r="K215" s="66" t="str">
        <x:f>IF($A215="","",IFERROR(VLOOKUP($A215,Invoices!$A$7:$W$156,2,FALSE),""))</x:f>
      </x:c>
      <x:c r="L215" s="52" t="str">
        <x:f>IF($A215="","",IFERROR(VLOOKUP($A215,Invoices!$A$7:$W$156,3,FALSE),""))</x:f>
      </x:c>
      <x:c r="M215" s="52" t="str">
        <x:f>IF($A215="","",IFERROR(VLOOKUP($A215,Invoices!$A$7:$W$156,4,FALSE),""))</x:f>
      </x:c>
      <x:c r="N215" s="52" t="str">
        <x:f>IF($A215="","",IFERROR(VLOOKUP($A215,Invoices!$A$7:$W$156,5,FALSE),""))</x:f>
      </x:c>
      <x:c r="O215" s="52" t="str">
        <x:f>IF($A215="","",IF(OR($B215="",$C215&lt;=0,$D215&lt;0,$F215="",$K215="",COUNTIFS($A$7:$A$306,$A215,$B$7:$B$306,$B215)&gt;1),"REVIEW","OK"))</x:f>
      </x:c>
    </x:row>
    <x:row r="216">
      <x:c r="A216" s="46"/>
      <x:c r="B216" s="46"/>
      <x:c r="C216" s="68"/>
      <x:c r="D216" s="58"/>
      <x:c r="E216" s="60" t="str">
        <x:f>IF($A216="","",$C216*$D216)</x:f>
      </x:c>
      <x:c r="F216" s="104" t="str">
        <x:f>IF($A216="","",IFERROR(VLOOKUP($B216,Setup!$A$7:$H$23,2,FALSE),""))</x:f>
      </x:c>
      <x:c r="G216" s="52" t="str">
        <x:f>IF($A216="","",IFERROR(VLOOKUP($B216,Setup!$A$7:$H$23,5,FALSE),""))</x:f>
      </x:c>
      <x:c r="H216" s="60" t="str">
        <x:f>IF($A216="","",IFERROR(VLOOKUP($B216,Setup!$A$7:$H$23,6,FALSE),""))</x:f>
      </x:c>
      <x:c r="I216" s="60" t="str">
        <x:f>IF($A216="","",$C216*$H216)</x:f>
      </x:c>
      <x:c r="J216" s="60" t="str">
        <x:f>IF($A216="","",$E216-$I216)</x:f>
      </x:c>
      <x:c r="K216" s="66" t="str">
        <x:f>IF($A216="","",IFERROR(VLOOKUP($A216,Invoices!$A$7:$W$156,2,FALSE),""))</x:f>
      </x:c>
      <x:c r="L216" s="52" t="str">
        <x:f>IF($A216="","",IFERROR(VLOOKUP($A216,Invoices!$A$7:$W$156,3,FALSE),""))</x:f>
      </x:c>
      <x:c r="M216" s="52" t="str">
        <x:f>IF($A216="","",IFERROR(VLOOKUP($A216,Invoices!$A$7:$W$156,4,FALSE),""))</x:f>
      </x:c>
      <x:c r="N216" s="52" t="str">
        <x:f>IF($A216="","",IFERROR(VLOOKUP($A216,Invoices!$A$7:$W$156,5,FALSE),""))</x:f>
      </x:c>
      <x:c r="O216" s="52" t="str">
        <x:f>IF($A216="","",IF(OR($B216="",$C216&lt;=0,$D216&lt;0,$F216="",$K216="",COUNTIFS($A$7:$A$306,$A216,$B$7:$B$306,$B216)&gt;1),"REVIEW","OK"))</x:f>
      </x:c>
    </x:row>
    <x:row r="217">
      <x:c r="A217" s="46"/>
      <x:c r="B217" s="46"/>
      <x:c r="C217" s="68"/>
      <x:c r="D217" s="58"/>
      <x:c r="E217" s="60" t="str">
        <x:f>IF($A217="","",$C217*$D217)</x:f>
      </x:c>
      <x:c r="F217" s="104" t="str">
        <x:f>IF($A217="","",IFERROR(VLOOKUP($B217,Setup!$A$7:$H$23,2,FALSE),""))</x:f>
      </x:c>
      <x:c r="G217" s="52" t="str">
        <x:f>IF($A217="","",IFERROR(VLOOKUP($B217,Setup!$A$7:$H$23,5,FALSE),""))</x:f>
      </x:c>
      <x:c r="H217" s="60" t="str">
        <x:f>IF($A217="","",IFERROR(VLOOKUP($B217,Setup!$A$7:$H$23,6,FALSE),""))</x:f>
      </x:c>
      <x:c r="I217" s="60" t="str">
        <x:f>IF($A217="","",$C217*$H217)</x:f>
      </x:c>
      <x:c r="J217" s="60" t="str">
        <x:f>IF($A217="","",$E217-$I217)</x:f>
      </x:c>
      <x:c r="K217" s="66" t="str">
        <x:f>IF($A217="","",IFERROR(VLOOKUP($A217,Invoices!$A$7:$W$156,2,FALSE),""))</x:f>
      </x:c>
      <x:c r="L217" s="52" t="str">
        <x:f>IF($A217="","",IFERROR(VLOOKUP($A217,Invoices!$A$7:$W$156,3,FALSE),""))</x:f>
      </x:c>
      <x:c r="M217" s="52" t="str">
        <x:f>IF($A217="","",IFERROR(VLOOKUP($A217,Invoices!$A$7:$W$156,4,FALSE),""))</x:f>
      </x:c>
      <x:c r="N217" s="52" t="str">
        <x:f>IF($A217="","",IFERROR(VLOOKUP($A217,Invoices!$A$7:$W$156,5,FALSE),""))</x:f>
      </x:c>
      <x:c r="O217" s="52" t="str">
        <x:f>IF($A217="","",IF(OR($B217="",$C217&lt;=0,$D217&lt;0,$F217="",$K217="",COUNTIFS($A$7:$A$306,$A217,$B$7:$B$306,$B217)&gt;1),"REVIEW","OK"))</x:f>
      </x:c>
    </x:row>
    <x:row r="218">
      <x:c r="A218" s="46"/>
      <x:c r="B218" s="46"/>
      <x:c r="C218" s="68"/>
      <x:c r="D218" s="58"/>
      <x:c r="E218" s="60" t="str">
        <x:f>IF($A218="","",$C218*$D218)</x:f>
      </x:c>
      <x:c r="F218" s="104" t="str">
        <x:f>IF($A218="","",IFERROR(VLOOKUP($B218,Setup!$A$7:$H$23,2,FALSE),""))</x:f>
      </x:c>
      <x:c r="G218" s="52" t="str">
        <x:f>IF($A218="","",IFERROR(VLOOKUP($B218,Setup!$A$7:$H$23,5,FALSE),""))</x:f>
      </x:c>
      <x:c r="H218" s="60" t="str">
        <x:f>IF($A218="","",IFERROR(VLOOKUP($B218,Setup!$A$7:$H$23,6,FALSE),""))</x:f>
      </x:c>
      <x:c r="I218" s="60" t="str">
        <x:f>IF($A218="","",$C218*$H218)</x:f>
      </x:c>
      <x:c r="J218" s="60" t="str">
        <x:f>IF($A218="","",$E218-$I218)</x:f>
      </x:c>
      <x:c r="K218" s="66" t="str">
        <x:f>IF($A218="","",IFERROR(VLOOKUP($A218,Invoices!$A$7:$W$156,2,FALSE),""))</x:f>
      </x:c>
      <x:c r="L218" s="52" t="str">
        <x:f>IF($A218="","",IFERROR(VLOOKUP($A218,Invoices!$A$7:$W$156,3,FALSE),""))</x:f>
      </x:c>
      <x:c r="M218" s="52" t="str">
        <x:f>IF($A218="","",IFERROR(VLOOKUP($A218,Invoices!$A$7:$W$156,4,FALSE),""))</x:f>
      </x:c>
      <x:c r="N218" s="52" t="str">
        <x:f>IF($A218="","",IFERROR(VLOOKUP($A218,Invoices!$A$7:$W$156,5,FALSE),""))</x:f>
      </x:c>
      <x:c r="O218" s="52" t="str">
        <x:f>IF($A218="","",IF(OR($B218="",$C218&lt;=0,$D218&lt;0,$F218="",$K218="",COUNTIFS($A$7:$A$306,$A218,$B$7:$B$306,$B218)&gt;1),"REVIEW","OK"))</x:f>
      </x:c>
    </x:row>
    <x:row r="219">
      <x:c r="A219" s="46"/>
      <x:c r="B219" s="46"/>
      <x:c r="C219" s="68"/>
      <x:c r="D219" s="58"/>
      <x:c r="E219" s="60" t="str">
        <x:f>IF($A219="","",$C219*$D219)</x:f>
      </x:c>
      <x:c r="F219" s="104" t="str">
        <x:f>IF($A219="","",IFERROR(VLOOKUP($B219,Setup!$A$7:$H$23,2,FALSE),""))</x:f>
      </x:c>
      <x:c r="G219" s="52" t="str">
        <x:f>IF($A219="","",IFERROR(VLOOKUP($B219,Setup!$A$7:$H$23,5,FALSE),""))</x:f>
      </x:c>
      <x:c r="H219" s="60" t="str">
        <x:f>IF($A219="","",IFERROR(VLOOKUP($B219,Setup!$A$7:$H$23,6,FALSE),""))</x:f>
      </x:c>
      <x:c r="I219" s="60" t="str">
        <x:f>IF($A219="","",$C219*$H219)</x:f>
      </x:c>
      <x:c r="J219" s="60" t="str">
        <x:f>IF($A219="","",$E219-$I219)</x:f>
      </x:c>
      <x:c r="K219" s="66" t="str">
        <x:f>IF($A219="","",IFERROR(VLOOKUP($A219,Invoices!$A$7:$W$156,2,FALSE),""))</x:f>
      </x:c>
      <x:c r="L219" s="52" t="str">
        <x:f>IF($A219="","",IFERROR(VLOOKUP($A219,Invoices!$A$7:$W$156,3,FALSE),""))</x:f>
      </x:c>
      <x:c r="M219" s="52" t="str">
        <x:f>IF($A219="","",IFERROR(VLOOKUP($A219,Invoices!$A$7:$W$156,4,FALSE),""))</x:f>
      </x:c>
      <x:c r="N219" s="52" t="str">
        <x:f>IF($A219="","",IFERROR(VLOOKUP($A219,Invoices!$A$7:$W$156,5,FALSE),""))</x:f>
      </x:c>
      <x:c r="O219" s="52" t="str">
        <x:f>IF($A219="","",IF(OR($B219="",$C219&lt;=0,$D219&lt;0,$F219="",$K219="",COUNTIFS($A$7:$A$306,$A219,$B$7:$B$306,$B219)&gt;1),"REVIEW","OK"))</x:f>
      </x:c>
    </x:row>
    <x:row r="220">
      <x:c r="A220" s="46"/>
      <x:c r="B220" s="46"/>
      <x:c r="C220" s="68"/>
      <x:c r="D220" s="58"/>
      <x:c r="E220" s="60" t="str">
        <x:f>IF($A220="","",$C220*$D220)</x:f>
      </x:c>
      <x:c r="F220" s="104" t="str">
        <x:f>IF($A220="","",IFERROR(VLOOKUP($B220,Setup!$A$7:$H$23,2,FALSE),""))</x:f>
      </x:c>
      <x:c r="G220" s="52" t="str">
        <x:f>IF($A220="","",IFERROR(VLOOKUP($B220,Setup!$A$7:$H$23,5,FALSE),""))</x:f>
      </x:c>
      <x:c r="H220" s="60" t="str">
        <x:f>IF($A220="","",IFERROR(VLOOKUP($B220,Setup!$A$7:$H$23,6,FALSE),""))</x:f>
      </x:c>
      <x:c r="I220" s="60" t="str">
        <x:f>IF($A220="","",$C220*$H220)</x:f>
      </x:c>
      <x:c r="J220" s="60" t="str">
        <x:f>IF($A220="","",$E220-$I220)</x:f>
      </x:c>
      <x:c r="K220" s="66" t="str">
        <x:f>IF($A220="","",IFERROR(VLOOKUP($A220,Invoices!$A$7:$W$156,2,FALSE),""))</x:f>
      </x:c>
      <x:c r="L220" s="52" t="str">
        <x:f>IF($A220="","",IFERROR(VLOOKUP($A220,Invoices!$A$7:$W$156,3,FALSE),""))</x:f>
      </x:c>
      <x:c r="M220" s="52" t="str">
        <x:f>IF($A220="","",IFERROR(VLOOKUP($A220,Invoices!$A$7:$W$156,4,FALSE),""))</x:f>
      </x:c>
      <x:c r="N220" s="52" t="str">
        <x:f>IF($A220="","",IFERROR(VLOOKUP($A220,Invoices!$A$7:$W$156,5,FALSE),""))</x:f>
      </x:c>
      <x:c r="O220" s="52" t="str">
        <x:f>IF($A220="","",IF(OR($B220="",$C220&lt;=0,$D220&lt;0,$F220="",$K220="",COUNTIFS($A$7:$A$306,$A220,$B$7:$B$306,$B220)&gt;1),"REVIEW","OK"))</x:f>
      </x:c>
    </x:row>
    <x:row r="221">
      <x:c r="A221" s="46"/>
      <x:c r="B221" s="46"/>
      <x:c r="C221" s="68"/>
      <x:c r="D221" s="58"/>
      <x:c r="E221" s="60" t="str">
        <x:f>IF($A221="","",$C221*$D221)</x:f>
      </x:c>
      <x:c r="F221" s="104" t="str">
        <x:f>IF($A221="","",IFERROR(VLOOKUP($B221,Setup!$A$7:$H$23,2,FALSE),""))</x:f>
      </x:c>
      <x:c r="G221" s="52" t="str">
        <x:f>IF($A221="","",IFERROR(VLOOKUP($B221,Setup!$A$7:$H$23,5,FALSE),""))</x:f>
      </x:c>
      <x:c r="H221" s="60" t="str">
        <x:f>IF($A221="","",IFERROR(VLOOKUP($B221,Setup!$A$7:$H$23,6,FALSE),""))</x:f>
      </x:c>
      <x:c r="I221" s="60" t="str">
        <x:f>IF($A221="","",$C221*$H221)</x:f>
      </x:c>
      <x:c r="J221" s="60" t="str">
        <x:f>IF($A221="","",$E221-$I221)</x:f>
      </x:c>
      <x:c r="K221" s="66" t="str">
        <x:f>IF($A221="","",IFERROR(VLOOKUP($A221,Invoices!$A$7:$W$156,2,FALSE),""))</x:f>
      </x:c>
      <x:c r="L221" s="52" t="str">
        <x:f>IF($A221="","",IFERROR(VLOOKUP($A221,Invoices!$A$7:$W$156,3,FALSE),""))</x:f>
      </x:c>
      <x:c r="M221" s="52" t="str">
        <x:f>IF($A221="","",IFERROR(VLOOKUP($A221,Invoices!$A$7:$W$156,4,FALSE),""))</x:f>
      </x:c>
      <x:c r="N221" s="52" t="str">
        <x:f>IF($A221="","",IFERROR(VLOOKUP($A221,Invoices!$A$7:$W$156,5,FALSE),""))</x:f>
      </x:c>
      <x:c r="O221" s="52" t="str">
        <x:f>IF($A221="","",IF(OR($B221="",$C221&lt;=0,$D221&lt;0,$F221="",$K221="",COUNTIFS($A$7:$A$306,$A221,$B$7:$B$306,$B221)&gt;1),"REVIEW","OK"))</x:f>
      </x:c>
    </x:row>
    <x:row r="222">
      <x:c r="A222" s="46"/>
      <x:c r="B222" s="46"/>
      <x:c r="C222" s="68"/>
      <x:c r="D222" s="58"/>
      <x:c r="E222" s="60" t="str">
        <x:f>IF($A222="","",$C222*$D222)</x:f>
      </x:c>
      <x:c r="F222" s="104" t="str">
        <x:f>IF($A222="","",IFERROR(VLOOKUP($B222,Setup!$A$7:$H$23,2,FALSE),""))</x:f>
      </x:c>
      <x:c r="G222" s="52" t="str">
        <x:f>IF($A222="","",IFERROR(VLOOKUP($B222,Setup!$A$7:$H$23,5,FALSE),""))</x:f>
      </x:c>
      <x:c r="H222" s="60" t="str">
        <x:f>IF($A222="","",IFERROR(VLOOKUP($B222,Setup!$A$7:$H$23,6,FALSE),""))</x:f>
      </x:c>
      <x:c r="I222" s="60" t="str">
        <x:f>IF($A222="","",$C222*$H222)</x:f>
      </x:c>
      <x:c r="J222" s="60" t="str">
        <x:f>IF($A222="","",$E222-$I222)</x:f>
      </x:c>
      <x:c r="K222" s="66" t="str">
        <x:f>IF($A222="","",IFERROR(VLOOKUP($A222,Invoices!$A$7:$W$156,2,FALSE),""))</x:f>
      </x:c>
      <x:c r="L222" s="52" t="str">
        <x:f>IF($A222="","",IFERROR(VLOOKUP($A222,Invoices!$A$7:$W$156,3,FALSE),""))</x:f>
      </x:c>
      <x:c r="M222" s="52" t="str">
        <x:f>IF($A222="","",IFERROR(VLOOKUP($A222,Invoices!$A$7:$W$156,4,FALSE),""))</x:f>
      </x:c>
      <x:c r="N222" s="52" t="str">
        <x:f>IF($A222="","",IFERROR(VLOOKUP($A222,Invoices!$A$7:$W$156,5,FALSE),""))</x:f>
      </x:c>
      <x:c r="O222" s="52" t="str">
        <x:f>IF($A222="","",IF(OR($B222="",$C222&lt;=0,$D222&lt;0,$F222="",$K222="",COUNTIFS($A$7:$A$306,$A222,$B$7:$B$306,$B222)&gt;1),"REVIEW","OK"))</x:f>
      </x:c>
    </x:row>
    <x:row r="223">
      <x:c r="A223" s="46"/>
      <x:c r="B223" s="46"/>
      <x:c r="C223" s="68"/>
      <x:c r="D223" s="58"/>
      <x:c r="E223" s="60" t="str">
        <x:f>IF($A223="","",$C223*$D223)</x:f>
      </x:c>
      <x:c r="F223" s="104" t="str">
        <x:f>IF($A223="","",IFERROR(VLOOKUP($B223,Setup!$A$7:$H$23,2,FALSE),""))</x:f>
      </x:c>
      <x:c r="G223" s="52" t="str">
        <x:f>IF($A223="","",IFERROR(VLOOKUP($B223,Setup!$A$7:$H$23,5,FALSE),""))</x:f>
      </x:c>
      <x:c r="H223" s="60" t="str">
        <x:f>IF($A223="","",IFERROR(VLOOKUP($B223,Setup!$A$7:$H$23,6,FALSE),""))</x:f>
      </x:c>
      <x:c r="I223" s="60" t="str">
        <x:f>IF($A223="","",$C223*$H223)</x:f>
      </x:c>
      <x:c r="J223" s="60" t="str">
        <x:f>IF($A223="","",$E223-$I223)</x:f>
      </x:c>
      <x:c r="K223" s="66" t="str">
        <x:f>IF($A223="","",IFERROR(VLOOKUP($A223,Invoices!$A$7:$W$156,2,FALSE),""))</x:f>
      </x:c>
      <x:c r="L223" s="52" t="str">
        <x:f>IF($A223="","",IFERROR(VLOOKUP($A223,Invoices!$A$7:$W$156,3,FALSE),""))</x:f>
      </x:c>
      <x:c r="M223" s="52" t="str">
        <x:f>IF($A223="","",IFERROR(VLOOKUP($A223,Invoices!$A$7:$W$156,4,FALSE),""))</x:f>
      </x:c>
      <x:c r="N223" s="52" t="str">
        <x:f>IF($A223="","",IFERROR(VLOOKUP($A223,Invoices!$A$7:$W$156,5,FALSE),""))</x:f>
      </x:c>
      <x:c r="O223" s="52" t="str">
        <x:f>IF($A223="","",IF(OR($B223="",$C223&lt;=0,$D223&lt;0,$F223="",$K223="",COUNTIFS($A$7:$A$306,$A223,$B$7:$B$306,$B223)&gt;1),"REVIEW","OK"))</x:f>
      </x:c>
    </x:row>
    <x:row r="224">
      <x:c r="A224" s="46"/>
      <x:c r="B224" s="46"/>
      <x:c r="C224" s="68"/>
      <x:c r="D224" s="58"/>
      <x:c r="E224" s="60" t="str">
        <x:f>IF($A224="","",$C224*$D224)</x:f>
      </x:c>
      <x:c r="F224" s="104" t="str">
        <x:f>IF($A224="","",IFERROR(VLOOKUP($B224,Setup!$A$7:$H$23,2,FALSE),""))</x:f>
      </x:c>
      <x:c r="G224" s="52" t="str">
        <x:f>IF($A224="","",IFERROR(VLOOKUP($B224,Setup!$A$7:$H$23,5,FALSE),""))</x:f>
      </x:c>
      <x:c r="H224" s="60" t="str">
        <x:f>IF($A224="","",IFERROR(VLOOKUP($B224,Setup!$A$7:$H$23,6,FALSE),""))</x:f>
      </x:c>
      <x:c r="I224" s="60" t="str">
        <x:f>IF($A224="","",$C224*$H224)</x:f>
      </x:c>
      <x:c r="J224" s="60" t="str">
        <x:f>IF($A224="","",$E224-$I224)</x:f>
      </x:c>
      <x:c r="K224" s="66" t="str">
        <x:f>IF($A224="","",IFERROR(VLOOKUP($A224,Invoices!$A$7:$W$156,2,FALSE),""))</x:f>
      </x:c>
      <x:c r="L224" s="52" t="str">
        <x:f>IF($A224="","",IFERROR(VLOOKUP($A224,Invoices!$A$7:$W$156,3,FALSE),""))</x:f>
      </x:c>
      <x:c r="M224" s="52" t="str">
        <x:f>IF($A224="","",IFERROR(VLOOKUP($A224,Invoices!$A$7:$W$156,4,FALSE),""))</x:f>
      </x:c>
      <x:c r="N224" s="52" t="str">
        <x:f>IF($A224="","",IFERROR(VLOOKUP($A224,Invoices!$A$7:$W$156,5,FALSE),""))</x:f>
      </x:c>
      <x:c r="O224" s="52" t="str">
        <x:f>IF($A224="","",IF(OR($B224="",$C224&lt;=0,$D224&lt;0,$F224="",$K224="",COUNTIFS($A$7:$A$306,$A224,$B$7:$B$306,$B224)&gt;1),"REVIEW","OK"))</x:f>
      </x:c>
    </x:row>
    <x:row r="225">
      <x:c r="A225" s="46"/>
      <x:c r="B225" s="46"/>
      <x:c r="C225" s="68"/>
      <x:c r="D225" s="58"/>
      <x:c r="E225" s="60" t="str">
        <x:f>IF($A225="","",$C225*$D225)</x:f>
      </x:c>
      <x:c r="F225" s="104" t="str">
        <x:f>IF($A225="","",IFERROR(VLOOKUP($B225,Setup!$A$7:$H$23,2,FALSE),""))</x:f>
      </x:c>
      <x:c r="G225" s="52" t="str">
        <x:f>IF($A225="","",IFERROR(VLOOKUP($B225,Setup!$A$7:$H$23,5,FALSE),""))</x:f>
      </x:c>
      <x:c r="H225" s="60" t="str">
        <x:f>IF($A225="","",IFERROR(VLOOKUP($B225,Setup!$A$7:$H$23,6,FALSE),""))</x:f>
      </x:c>
      <x:c r="I225" s="60" t="str">
        <x:f>IF($A225="","",$C225*$H225)</x:f>
      </x:c>
      <x:c r="J225" s="60" t="str">
        <x:f>IF($A225="","",$E225-$I225)</x:f>
      </x:c>
      <x:c r="K225" s="66" t="str">
        <x:f>IF($A225="","",IFERROR(VLOOKUP($A225,Invoices!$A$7:$W$156,2,FALSE),""))</x:f>
      </x:c>
      <x:c r="L225" s="52" t="str">
        <x:f>IF($A225="","",IFERROR(VLOOKUP($A225,Invoices!$A$7:$W$156,3,FALSE),""))</x:f>
      </x:c>
      <x:c r="M225" s="52" t="str">
        <x:f>IF($A225="","",IFERROR(VLOOKUP($A225,Invoices!$A$7:$W$156,4,FALSE),""))</x:f>
      </x:c>
      <x:c r="N225" s="52" t="str">
        <x:f>IF($A225="","",IFERROR(VLOOKUP($A225,Invoices!$A$7:$W$156,5,FALSE),""))</x:f>
      </x:c>
      <x:c r="O225" s="52" t="str">
        <x:f>IF($A225="","",IF(OR($B225="",$C225&lt;=0,$D225&lt;0,$F225="",$K225="",COUNTIFS($A$7:$A$306,$A225,$B$7:$B$306,$B225)&gt;1),"REVIEW","OK"))</x:f>
      </x:c>
    </x:row>
    <x:row r="226">
      <x:c r="A226" s="46"/>
      <x:c r="B226" s="46"/>
      <x:c r="C226" s="68"/>
      <x:c r="D226" s="58"/>
      <x:c r="E226" s="60" t="str">
        <x:f>IF($A226="","",$C226*$D226)</x:f>
      </x:c>
      <x:c r="F226" s="104" t="str">
        <x:f>IF($A226="","",IFERROR(VLOOKUP($B226,Setup!$A$7:$H$23,2,FALSE),""))</x:f>
      </x:c>
      <x:c r="G226" s="52" t="str">
        <x:f>IF($A226="","",IFERROR(VLOOKUP($B226,Setup!$A$7:$H$23,5,FALSE),""))</x:f>
      </x:c>
      <x:c r="H226" s="60" t="str">
        <x:f>IF($A226="","",IFERROR(VLOOKUP($B226,Setup!$A$7:$H$23,6,FALSE),""))</x:f>
      </x:c>
      <x:c r="I226" s="60" t="str">
        <x:f>IF($A226="","",$C226*$H226)</x:f>
      </x:c>
      <x:c r="J226" s="60" t="str">
        <x:f>IF($A226="","",$E226-$I226)</x:f>
      </x:c>
      <x:c r="K226" s="66" t="str">
        <x:f>IF($A226="","",IFERROR(VLOOKUP($A226,Invoices!$A$7:$W$156,2,FALSE),""))</x:f>
      </x:c>
      <x:c r="L226" s="52" t="str">
        <x:f>IF($A226="","",IFERROR(VLOOKUP($A226,Invoices!$A$7:$W$156,3,FALSE),""))</x:f>
      </x:c>
      <x:c r="M226" s="52" t="str">
        <x:f>IF($A226="","",IFERROR(VLOOKUP($A226,Invoices!$A$7:$W$156,4,FALSE),""))</x:f>
      </x:c>
      <x:c r="N226" s="52" t="str">
        <x:f>IF($A226="","",IFERROR(VLOOKUP($A226,Invoices!$A$7:$W$156,5,FALSE),""))</x:f>
      </x:c>
      <x:c r="O226" s="52" t="str">
        <x:f>IF($A226="","",IF(OR($B226="",$C226&lt;=0,$D226&lt;0,$F226="",$K226="",COUNTIFS($A$7:$A$306,$A226,$B$7:$B$306,$B226)&gt;1),"REVIEW","OK"))</x:f>
      </x:c>
    </x:row>
    <x:row r="227">
      <x:c r="A227" s="46"/>
      <x:c r="B227" s="46"/>
      <x:c r="C227" s="68"/>
      <x:c r="D227" s="58"/>
      <x:c r="E227" s="60" t="str">
        <x:f>IF($A227="","",$C227*$D227)</x:f>
      </x:c>
      <x:c r="F227" s="104" t="str">
        <x:f>IF($A227="","",IFERROR(VLOOKUP($B227,Setup!$A$7:$H$23,2,FALSE),""))</x:f>
      </x:c>
      <x:c r="G227" s="52" t="str">
        <x:f>IF($A227="","",IFERROR(VLOOKUP($B227,Setup!$A$7:$H$23,5,FALSE),""))</x:f>
      </x:c>
      <x:c r="H227" s="60" t="str">
        <x:f>IF($A227="","",IFERROR(VLOOKUP($B227,Setup!$A$7:$H$23,6,FALSE),""))</x:f>
      </x:c>
      <x:c r="I227" s="60" t="str">
        <x:f>IF($A227="","",$C227*$H227)</x:f>
      </x:c>
      <x:c r="J227" s="60" t="str">
        <x:f>IF($A227="","",$E227-$I227)</x:f>
      </x:c>
      <x:c r="K227" s="66" t="str">
        <x:f>IF($A227="","",IFERROR(VLOOKUP($A227,Invoices!$A$7:$W$156,2,FALSE),""))</x:f>
      </x:c>
      <x:c r="L227" s="52" t="str">
        <x:f>IF($A227="","",IFERROR(VLOOKUP($A227,Invoices!$A$7:$W$156,3,FALSE),""))</x:f>
      </x:c>
      <x:c r="M227" s="52" t="str">
        <x:f>IF($A227="","",IFERROR(VLOOKUP($A227,Invoices!$A$7:$W$156,4,FALSE),""))</x:f>
      </x:c>
      <x:c r="N227" s="52" t="str">
        <x:f>IF($A227="","",IFERROR(VLOOKUP($A227,Invoices!$A$7:$W$156,5,FALSE),""))</x:f>
      </x:c>
      <x:c r="O227" s="52" t="str">
        <x:f>IF($A227="","",IF(OR($B227="",$C227&lt;=0,$D227&lt;0,$F227="",$K227="",COUNTIFS($A$7:$A$306,$A227,$B$7:$B$306,$B227)&gt;1),"REVIEW","OK"))</x:f>
      </x:c>
    </x:row>
    <x:row r="228">
      <x:c r="A228" s="46"/>
      <x:c r="B228" s="46"/>
      <x:c r="C228" s="68"/>
      <x:c r="D228" s="58"/>
      <x:c r="E228" s="60" t="str">
        <x:f>IF($A228="","",$C228*$D228)</x:f>
      </x:c>
      <x:c r="F228" s="104" t="str">
        <x:f>IF($A228="","",IFERROR(VLOOKUP($B228,Setup!$A$7:$H$23,2,FALSE),""))</x:f>
      </x:c>
      <x:c r="G228" s="52" t="str">
        <x:f>IF($A228="","",IFERROR(VLOOKUP($B228,Setup!$A$7:$H$23,5,FALSE),""))</x:f>
      </x:c>
      <x:c r="H228" s="60" t="str">
        <x:f>IF($A228="","",IFERROR(VLOOKUP($B228,Setup!$A$7:$H$23,6,FALSE),""))</x:f>
      </x:c>
      <x:c r="I228" s="60" t="str">
        <x:f>IF($A228="","",$C228*$H228)</x:f>
      </x:c>
      <x:c r="J228" s="60" t="str">
        <x:f>IF($A228="","",$E228-$I228)</x:f>
      </x:c>
      <x:c r="K228" s="66" t="str">
        <x:f>IF($A228="","",IFERROR(VLOOKUP($A228,Invoices!$A$7:$W$156,2,FALSE),""))</x:f>
      </x:c>
      <x:c r="L228" s="52" t="str">
        <x:f>IF($A228="","",IFERROR(VLOOKUP($A228,Invoices!$A$7:$W$156,3,FALSE),""))</x:f>
      </x:c>
      <x:c r="M228" s="52" t="str">
        <x:f>IF($A228="","",IFERROR(VLOOKUP($A228,Invoices!$A$7:$W$156,4,FALSE),""))</x:f>
      </x:c>
      <x:c r="N228" s="52" t="str">
        <x:f>IF($A228="","",IFERROR(VLOOKUP($A228,Invoices!$A$7:$W$156,5,FALSE),""))</x:f>
      </x:c>
      <x:c r="O228" s="52" t="str">
        <x:f>IF($A228="","",IF(OR($B228="",$C228&lt;=0,$D228&lt;0,$F228="",$K228="",COUNTIFS($A$7:$A$306,$A228,$B$7:$B$306,$B228)&gt;1),"REVIEW","OK"))</x:f>
      </x:c>
    </x:row>
    <x:row r="229">
      <x:c r="A229" s="46"/>
      <x:c r="B229" s="46"/>
      <x:c r="C229" s="68"/>
      <x:c r="D229" s="58"/>
      <x:c r="E229" s="60" t="str">
        <x:f>IF($A229="","",$C229*$D229)</x:f>
      </x:c>
      <x:c r="F229" s="104" t="str">
        <x:f>IF($A229="","",IFERROR(VLOOKUP($B229,Setup!$A$7:$H$23,2,FALSE),""))</x:f>
      </x:c>
      <x:c r="G229" s="52" t="str">
        <x:f>IF($A229="","",IFERROR(VLOOKUP($B229,Setup!$A$7:$H$23,5,FALSE),""))</x:f>
      </x:c>
      <x:c r="H229" s="60" t="str">
        <x:f>IF($A229="","",IFERROR(VLOOKUP($B229,Setup!$A$7:$H$23,6,FALSE),""))</x:f>
      </x:c>
      <x:c r="I229" s="60" t="str">
        <x:f>IF($A229="","",$C229*$H229)</x:f>
      </x:c>
      <x:c r="J229" s="60" t="str">
        <x:f>IF($A229="","",$E229-$I229)</x:f>
      </x:c>
      <x:c r="K229" s="66" t="str">
        <x:f>IF($A229="","",IFERROR(VLOOKUP($A229,Invoices!$A$7:$W$156,2,FALSE),""))</x:f>
      </x:c>
      <x:c r="L229" s="52" t="str">
        <x:f>IF($A229="","",IFERROR(VLOOKUP($A229,Invoices!$A$7:$W$156,3,FALSE),""))</x:f>
      </x:c>
      <x:c r="M229" s="52" t="str">
        <x:f>IF($A229="","",IFERROR(VLOOKUP($A229,Invoices!$A$7:$W$156,4,FALSE),""))</x:f>
      </x:c>
      <x:c r="N229" s="52" t="str">
        <x:f>IF($A229="","",IFERROR(VLOOKUP($A229,Invoices!$A$7:$W$156,5,FALSE),""))</x:f>
      </x:c>
      <x:c r="O229" s="52" t="str">
        <x:f>IF($A229="","",IF(OR($B229="",$C229&lt;=0,$D229&lt;0,$F229="",$K229="",COUNTIFS($A$7:$A$306,$A229,$B$7:$B$306,$B229)&gt;1),"REVIEW","OK"))</x:f>
      </x:c>
    </x:row>
    <x:row r="230">
      <x:c r="A230" s="46"/>
      <x:c r="B230" s="46"/>
      <x:c r="C230" s="68"/>
      <x:c r="D230" s="58"/>
      <x:c r="E230" s="60" t="str">
        <x:f>IF($A230="","",$C230*$D230)</x:f>
      </x:c>
      <x:c r="F230" s="104" t="str">
        <x:f>IF($A230="","",IFERROR(VLOOKUP($B230,Setup!$A$7:$H$23,2,FALSE),""))</x:f>
      </x:c>
      <x:c r="G230" s="52" t="str">
        <x:f>IF($A230="","",IFERROR(VLOOKUP($B230,Setup!$A$7:$H$23,5,FALSE),""))</x:f>
      </x:c>
      <x:c r="H230" s="60" t="str">
        <x:f>IF($A230="","",IFERROR(VLOOKUP($B230,Setup!$A$7:$H$23,6,FALSE),""))</x:f>
      </x:c>
      <x:c r="I230" s="60" t="str">
        <x:f>IF($A230="","",$C230*$H230)</x:f>
      </x:c>
      <x:c r="J230" s="60" t="str">
        <x:f>IF($A230="","",$E230-$I230)</x:f>
      </x:c>
      <x:c r="K230" s="66" t="str">
        <x:f>IF($A230="","",IFERROR(VLOOKUP($A230,Invoices!$A$7:$W$156,2,FALSE),""))</x:f>
      </x:c>
      <x:c r="L230" s="52" t="str">
        <x:f>IF($A230="","",IFERROR(VLOOKUP($A230,Invoices!$A$7:$W$156,3,FALSE),""))</x:f>
      </x:c>
      <x:c r="M230" s="52" t="str">
        <x:f>IF($A230="","",IFERROR(VLOOKUP($A230,Invoices!$A$7:$W$156,4,FALSE),""))</x:f>
      </x:c>
      <x:c r="N230" s="52" t="str">
        <x:f>IF($A230="","",IFERROR(VLOOKUP($A230,Invoices!$A$7:$W$156,5,FALSE),""))</x:f>
      </x:c>
      <x:c r="O230" s="52" t="str">
        <x:f>IF($A230="","",IF(OR($B230="",$C230&lt;=0,$D230&lt;0,$F230="",$K230="",COUNTIFS($A$7:$A$306,$A230,$B$7:$B$306,$B230)&gt;1),"REVIEW","OK"))</x:f>
      </x:c>
    </x:row>
    <x:row r="231">
      <x:c r="A231" s="46"/>
      <x:c r="B231" s="46"/>
      <x:c r="C231" s="68"/>
      <x:c r="D231" s="58"/>
      <x:c r="E231" s="60" t="str">
        <x:f>IF($A231="","",$C231*$D231)</x:f>
      </x:c>
      <x:c r="F231" s="104" t="str">
        <x:f>IF($A231="","",IFERROR(VLOOKUP($B231,Setup!$A$7:$H$23,2,FALSE),""))</x:f>
      </x:c>
      <x:c r="G231" s="52" t="str">
        <x:f>IF($A231="","",IFERROR(VLOOKUP($B231,Setup!$A$7:$H$23,5,FALSE),""))</x:f>
      </x:c>
      <x:c r="H231" s="60" t="str">
        <x:f>IF($A231="","",IFERROR(VLOOKUP($B231,Setup!$A$7:$H$23,6,FALSE),""))</x:f>
      </x:c>
      <x:c r="I231" s="60" t="str">
        <x:f>IF($A231="","",$C231*$H231)</x:f>
      </x:c>
      <x:c r="J231" s="60" t="str">
        <x:f>IF($A231="","",$E231-$I231)</x:f>
      </x:c>
      <x:c r="K231" s="66" t="str">
        <x:f>IF($A231="","",IFERROR(VLOOKUP($A231,Invoices!$A$7:$W$156,2,FALSE),""))</x:f>
      </x:c>
      <x:c r="L231" s="52" t="str">
        <x:f>IF($A231="","",IFERROR(VLOOKUP($A231,Invoices!$A$7:$W$156,3,FALSE),""))</x:f>
      </x:c>
      <x:c r="M231" s="52" t="str">
        <x:f>IF($A231="","",IFERROR(VLOOKUP($A231,Invoices!$A$7:$W$156,4,FALSE),""))</x:f>
      </x:c>
      <x:c r="N231" s="52" t="str">
        <x:f>IF($A231="","",IFERROR(VLOOKUP($A231,Invoices!$A$7:$W$156,5,FALSE),""))</x:f>
      </x:c>
      <x:c r="O231" s="52" t="str">
        <x:f>IF($A231="","",IF(OR($B231="",$C231&lt;=0,$D231&lt;0,$F231="",$K231="",COUNTIFS($A$7:$A$306,$A231,$B$7:$B$306,$B231)&gt;1),"REVIEW","OK"))</x:f>
      </x:c>
    </x:row>
    <x:row r="232">
      <x:c r="A232" s="46"/>
      <x:c r="B232" s="46"/>
      <x:c r="C232" s="68"/>
      <x:c r="D232" s="58"/>
      <x:c r="E232" s="60" t="str">
        <x:f>IF($A232="","",$C232*$D232)</x:f>
      </x:c>
      <x:c r="F232" s="104" t="str">
        <x:f>IF($A232="","",IFERROR(VLOOKUP($B232,Setup!$A$7:$H$23,2,FALSE),""))</x:f>
      </x:c>
      <x:c r="G232" s="52" t="str">
        <x:f>IF($A232="","",IFERROR(VLOOKUP($B232,Setup!$A$7:$H$23,5,FALSE),""))</x:f>
      </x:c>
      <x:c r="H232" s="60" t="str">
        <x:f>IF($A232="","",IFERROR(VLOOKUP($B232,Setup!$A$7:$H$23,6,FALSE),""))</x:f>
      </x:c>
      <x:c r="I232" s="60" t="str">
        <x:f>IF($A232="","",$C232*$H232)</x:f>
      </x:c>
      <x:c r="J232" s="60" t="str">
        <x:f>IF($A232="","",$E232-$I232)</x:f>
      </x:c>
      <x:c r="K232" s="66" t="str">
        <x:f>IF($A232="","",IFERROR(VLOOKUP($A232,Invoices!$A$7:$W$156,2,FALSE),""))</x:f>
      </x:c>
      <x:c r="L232" s="52" t="str">
        <x:f>IF($A232="","",IFERROR(VLOOKUP($A232,Invoices!$A$7:$W$156,3,FALSE),""))</x:f>
      </x:c>
      <x:c r="M232" s="52" t="str">
        <x:f>IF($A232="","",IFERROR(VLOOKUP($A232,Invoices!$A$7:$W$156,4,FALSE),""))</x:f>
      </x:c>
      <x:c r="N232" s="52" t="str">
        <x:f>IF($A232="","",IFERROR(VLOOKUP($A232,Invoices!$A$7:$W$156,5,FALSE),""))</x:f>
      </x:c>
      <x:c r="O232" s="52" t="str">
        <x:f>IF($A232="","",IF(OR($B232="",$C232&lt;=0,$D232&lt;0,$F232="",$K232="",COUNTIFS($A$7:$A$306,$A232,$B$7:$B$306,$B232)&gt;1),"REVIEW","OK"))</x:f>
      </x:c>
    </x:row>
    <x:row r="233">
      <x:c r="A233" s="46"/>
      <x:c r="B233" s="46"/>
      <x:c r="C233" s="68"/>
      <x:c r="D233" s="58"/>
      <x:c r="E233" s="60" t="str">
        <x:f>IF($A233="","",$C233*$D233)</x:f>
      </x:c>
      <x:c r="F233" s="104" t="str">
        <x:f>IF($A233="","",IFERROR(VLOOKUP($B233,Setup!$A$7:$H$23,2,FALSE),""))</x:f>
      </x:c>
      <x:c r="G233" s="52" t="str">
        <x:f>IF($A233="","",IFERROR(VLOOKUP($B233,Setup!$A$7:$H$23,5,FALSE),""))</x:f>
      </x:c>
      <x:c r="H233" s="60" t="str">
        <x:f>IF($A233="","",IFERROR(VLOOKUP($B233,Setup!$A$7:$H$23,6,FALSE),""))</x:f>
      </x:c>
      <x:c r="I233" s="60" t="str">
        <x:f>IF($A233="","",$C233*$H233)</x:f>
      </x:c>
      <x:c r="J233" s="60" t="str">
        <x:f>IF($A233="","",$E233-$I233)</x:f>
      </x:c>
      <x:c r="K233" s="66" t="str">
        <x:f>IF($A233="","",IFERROR(VLOOKUP($A233,Invoices!$A$7:$W$156,2,FALSE),""))</x:f>
      </x:c>
      <x:c r="L233" s="52" t="str">
        <x:f>IF($A233="","",IFERROR(VLOOKUP($A233,Invoices!$A$7:$W$156,3,FALSE),""))</x:f>
      </x:c>
      <x:c r="M233" s="52" t="str">
        <x:f>IF($A233="","",IFERROR(VLOOKUP($A233,Invoices!$A$7:$W$156,4,FALSE),""))</x:f>
      </x:c>
      <x:c r="N233" s="52" t="str">
        <x:f>IF($A233="","",IFERROR(VLOOKUP($A233,Invoices!$A$7:$W$156,5,FALSE),""))</x:f>
      </x:c>
      <x:c r="O233" s="52" t="str">
        <x:f>IF($A233="","",IF(OR($B233="",$C233&lt;=0,$D233&lt;0,$F233="",$K233="",COUNTIFS($A$7:$A$306,$A233,$B$7:$B$306,$B233)&gt;1),"REVIEW","OK"))</x:f>
      </x:c>
    </x:row>
    <x:row r="234">
      <x:c r="A234" s="46"/>
      <x:c r="B234" s="46"/>
      <x:c r="C234" s="68"/>
      <x:c r="D234" s="58"/>
      <x:c r="E234" s="60" t="str">
        <x:f>IF($A234="","",$C234*$D234)</x:f>
      </x:c>
      <x:c r="F234" s="104" t="str">
        <x:f>IF($A234="","",IFERROR(VLOOKUP($B234,Setup!$A$7:$H$23,2,FALSE),""))</x:f>
      </x:c>
      <x:c r="G234" s="52" t="str">
        <x:f>IF($A234="","",IFERROR(VLOOKUP($B234,Setup!$A$7:$H$23,5,FALSE),""))</x:f>
      </x:c>
      <x:c r="H234" s="60" t="str">
        <x:f>IF($A234="","",IFERROR(VLOOKUP($B234,Setup!$A$7:$H$23,6,FALSE),""))</x:f>
      </x:c>
      <x:c r="I234" s="60" t="str">
        <x:f>IF($A234="","",$C234*$H234)</x:f>
      </x:c>
      <x:c r="J234" s="60" t="str">
        <x:f>IF($A234="","",$E234-$I234)</x:f>
      </x:c>
      <x:c r="K234" s="66" t="str">
        <x:f>IF($A234="","",IFERROR(VLOOKUP($A234,Invoices!$A$7:$W$156,2,FALSE),""))</x:f>
      </x:c>
      <x:c r="L234" s="52" t="str">
        <x:f>IF($A234="","",IFERROR(VLOOKUP($A234,Invoices!$A$7:$W$156,3,FALSE),""))</x:f>
      </x:c>
      <x:c r="M234" s="52" t="str">
        <x:f>IF($A234="","",IFERROR(VLOOKUP($A234,Invoices!$A$7:$W$156,4,FALSE),""))</x:f>
      </x:c>
      <x:c r="N234" s="52" t="str">
        <x:f>IF($A234="","",IFERROR(VLOOKUP($A234,Invoices!$A$7:$W$156,5,FALSE),""))</x:f>
      </x:c>
      <x:c r="O234" s="52" t="str">
        <x:f>IF($A234="","",IF(OR($B234="",$C234&lt;=0,$D234&lt;0,$F234="",$K234="",COUNTIFS($A$7:$A$306,$A234,$B$7:$B$306,$B234)&gt;1),"REVIEW","OK"))</x:f>
      </x:c>
    </x:row>
    <x:row r="235">
      <x:c r="A235" s="46"/>
      <x:c r="B235" s="46"/>
      <x:c r="C235" s="68"/>
      <x:c r="D235" s="58"/>
      <x:c r="E235" s="60" t="str">
        <x:f>IF($A235="","",$C235*$D235)</x:f>
      </x:c>
      <x:c r="F235" s="104" t="str">
        <x:f>IF($A235="","",IFERROR(VLOOKUP($B235,Setup!$A$7:$H$23,2,FALSE),""))</x:f>
      </x:c>
      <x:c r="G235" s="52" t="str">
        <x:f>IF($A235="","",IFERROR(VLOOKUP($B235,Setup!$A$7:$H$23,5,FALSE),""))</x:f>
      </x:c>
      <x:c r="H235" s="60" t="str">
        <x:f>IF($A235="","",IFERROR(VLOOKUP($B235,Setup!$A$7:$H$23,6,FALSE),""))</x:f>
      </x:c>
      <x:c r="I235" s="60" t="str">
        <x:f>IF($A235="","",$C235*$H235)</x:f>
      </x:c>
      <x:c r="J235" s="60" t="str">
        <x:f>IF($A235="","",$E235-$I235)</x:f>
      </x:c>
      <x:c r="K235" s="66" t="str">
        <x:f>IF($A235="","",IFERROR(VLOOKUP($A235,Invoices!$A$7:$W$156,2,FALSE),""))</x:f>
      </x:c>
      <x:c r="L235" s="52" t="str">
        <x:f>IF($A235="","",IFERROR(VLOOKUP($A235,Invoices!$A$7:$W$156,3,FALSE),""))</x:f>
      </x:c>
      <x:c r="M235" s="52" t="str">
        <x:f>IF($A235="","",IFERROR(VLOOKUP($A235,Invoices!$A$7:$W$156,4,FALSE),""))</x:f>
      </x:c>
      <x:c r="N235" s="52" t="str">
        <x:f>IF($A235="","",IFERROR(VLOOKUP($A235,Invoices!$A$7:$W$156,5,FALSE),""))</x:f>
      </x:c>
      <x:c r="O235" s="52" t="str">
        <x:f>IF($A235="","",IF(OR($B235="",$C235&lt;=0,$D235&lt;0,$F235="",$K235="",COUNTIFS($A$7:$A$306,$A235,$B$7:$B$306,$B235)&gt;1),"REVIEW","OK"))</x:f>
      </x:c>
    </x:row>
    <x:row r="236">
      <x:c r="A236" s="46"/>
      <x:c r="B236" s="46"/>
      <x:c r="C236" s="68"/>
      <x:c r="D236" s="58"/>
      <x:c r="E236" s="60" t="str">
        <x:f>IF($A236="","",$C236*$D236)</x:f>
      </x:c>
      <x:c r="F236" s="104" t="str">
        <x:f>IF($A236="","",IFERROR(VLOOKUP($B236,Setup!$A$7:$H$23,2,FALSE),""))</x:f>
      </x:c>
      <x:c r="G236" s="52" t="str">
        <x:f>IF($A236="","",IFERROR(VLOOKUP($B236,Setup!$A$7:$H$23,5,FALSE),""))</x:f>
      </x:c>
      <x:c r="H236" s="60" t="str">
        <x:f>IF($A236="","",IFERROR(VLOOKUP($B236,Setup!$A$7:$H$23,6,FALSE),""))</x:f>
      </x:c>
      <x:c r="I236" s="60" t="str">
        <x:f>IF($A236="","",$C236*$H236)</x:f>
      </x:c>
      <x:c r="J236" s="60" t="str">
        <x:f>IF($A236="","",$E236-$I236)</x:f>
      </x:c>
      <x:c r="K236" s="66" t="str">
        <x:f>IF($A236="","",IFERROR(VLOOKUP($A236,Invoices!$A$7:$W$156,2,FALSE),""))</x:f>
      </x:c>
      <x:c r="L236" s="52" t="str">
        <x:f>IF($A236="","",IFERROR(VLOOKUP($A236,Invoices!$A$7:$W$156,3,FALSE),""))</x:f>
      </x:c>
      <x:c r="M236" s="52" t="str">
        <x:f>IF($A236="","",IFERROR(VLOOKUP($A236,Invoices!$A$7:$W$156,4,FALSE),""))</x:f>
      </x:c>
      <x:c r="N236" s="52" t="str">
        <x:f>IF($A236="","",IFERROR(VLOOKUP($A236,Invoices!$A$7:$W$156,5,FALSE),""))</x:f>
      </x:c>
      <x:c r="O236" s="52" t="str">
        <x:f>IF($A236="","",IF(OR($B236="",$C236&lt;=0,$D236&lt;0,$F236="",$K236="",COUNTIFS($A$7:$A$306,$A236,$B$7:$B$306,$B236)&gt;1),"REVIEW","OK"))</x:f>
      </x:c>
    </x:row>
    <x:row r="237">
      <x:c r="A237" s="46"/>
      <x:c r="B237" s="46"/>
      <x:c r="C237" s="68"/>
      <x:c r="D237" s="58"/>
      <x:c r="E237" s="60" t="str">
        <x:f>IF($A237="","",$C237*$D237)</x:f>
      </x:c>
      <x:c r="F237" s="104" t="str">
        <x:f>IF($A237="","",IFERROR(VLOOKUP($B237,Setup!$A$7:$H$23,2,FALSE),""))</x:f>
      </x:c>
      <x:c r="G237" s="52" t="str">
        <x:f>IF($A237="","",IFERROR(VLOOKUP($B237,Setup!$A$7:$H$23,5,FALSE),""))</x:f>
      </x:c>
      <x:c r="H237" s="60" t="str">
        <x:f>IF($A237="","",IFERROR(VLOOKUP($B237,Setup!$A$7:$H$23,6,FALSE),""))</x:f>
      </x:c>
      <x:c r="I237" s="60" t="str">
        <x:f>IF($A237="","",$C237*$H237)</x:f>
      </x:c>
      <x:c r="J237" s="60" t="str">
        <x:f>IF($A237="","",$E237-$I237)</x:f>
      </x:c>
      <x:c r="K237" s="66" t="str">
        <x:f>IF($A237="","",IFERROR(VLOOKUP($A237,Invoices!$A$7:$W$156,2,FALSE),""))</x:f>
      </x:c>
      <x:c r="L237" s="52" t="str">
        <x:f>IF($A237="","",IFERROR(VLOOKUP($A237,Invoices!$A$7:$W$156,3,FALSE),""))</x:f>
      </x:c>
      <x:c r="M237" s="52" t="str">
        <x:f>IF($A237="","",IFERROR(VLOOKUP($A237,Invoices!$A$7:$W$156,4,FALSE),""))</x:f>
      </x:c>
      <x:c r="N237" s="52" t="str">
        <x:f>IF($A237="","",IFERROR(VLOOKUP($A237,Invoices!$A$7:$W$156,5,FALSE),""))</x:f>
      </x:c>
      <x:c r="O237" s="52" t="str">
        <x:f>IF($A237="","",IF(OR($B237="",$C237&lt;=0,$D237&lt;0,$F237="",$K237="",COUNTIFS($A$7:$A$306,$A237,$B$7:$B$306,$B237)&gt;1),"REVIEW","OK"))</x:f>
      </x:c>
    </x:row>
    <x:row r="238">
      <x:c r="A238" s="46"/>
      <x:c r="B238" s="46"/>
      <x:c r="C238" s="68"/>
      <x:c r="D238" s="58"/>
      <x:c r="E238" s="60" t="str">
        <x:f>IF($A238="","",$C238*$D238)</x:f>
      </x:c>
      <x:c r="F238" s="104" t="str">
        <x:f>IF($A238="","",IFERROR(VLOOKUP($B238,Setup!$A$7:$H$23,2,FALSE),""))</x:f>
      </x:c>
      <x:c r="G238" s="52" t="str">
        <x:f>IF($A238="","",IFERROR(VLOOKUP($B238,Setup!$A$7:$H$23,5,FALSE),""))</x:f>
      </x:c>
      <x:c r="H238" s="60" t="str">
        <x:f>IF($A238="","",IFERROR(VLOOKUP($B238,Setup!$A$7:$H$23,6,FALSE),""))</x:f>
      </x:c>
      <x:c r="I238" s="60" t="str">
        <x:f>IF($A238="","",$C238*$H238)</x:f>
      </x:c>
      <x:c r="J238" s="60" t="str">
        <x:f>IF($A238="","",$E238-$I238)</x:f>
      </x:c>
      <x:c r="K238" s="66" t="str">
        <x:f>IF($A238="","",IFERROR(VLOOKUP($A238,Invoices!$A$7:$W$156,2,FALSE),""))</x:f>
      </x:c>
      <x:c r="L238" s="52" t="str">
        <x:f>IF($A238="","",IFERROR(VLOOKUP($A238,Invoices!$A$7:$W$156,3,FALSE),""))</x:f>
      </x:c>
      <x:c r="M238" s="52" t="str">
        <x:f>IF($A238="","",IFERROR(VLOOKUP($A238,Invoices!$A$7:$W$156,4,FALSE),""))</x:f>
      </x:c>
      <x:c r="N238" s="52" t="str">
        <x:f>IF($A238="","",IFERROR(VLOOKUP($A238,Invoices!$A$7:$W$156,5,FALSE),""))</x:f>
      </x:c>
      <x:c r="O238" s="52" t="str">
        <x:f>IF($A238="","",IF(OR($B238="",$C238&lt;=0,$D238&lt;0,$F238="",$K238="",COUNTIFS($A$7:$A$306,$A238,$B$7:$B$306,$B238)&gt;1),"REVIEW","OK"))</x:f>
      </x:c>
    </x:row>
    <x:row r="239">
      <x:c r="A239" s="46"/>
      <x:c r="B239" s="46"/>
      <x:c r="C239" s="68"/>
      <x:c r="D239" s="58"/>
      <x:c r="E239" s="60" t="str">
        <x:f>IF($A239="","",$C239*$D239)</x:f>
      </x:c>
      <x:c r="F239" s="104" t="str">
        <x:f>IF($A239="","",IFERROR(VLOOKUP($B239,Setup!$A$7:$H$23,2,FALSE),""))</x:f>
      </x:c>
      <x:c r="G239" s="52" t="str">
        <x:f>IF($A239="","",IFERROR(VLOOKUP($B239,Setup!$A$7:$H$23,5,FALSE),""))</x:f>
      </x:c>
      <x:c r="H239" s="60" t="str">
        <x:f>IF($A239="","",IFERROR(VLOOKUP($B239,Setup!$A$7:$H$23,6,FALSE),""))</x:f>
      </x:c>
      <x:c r="I239" s="60" t="str">
        <x:f>IF($A239="","",$C239*$H239)</x:f>
      </x:c>
      <x:c r="J239" s="60" t="str">
        <x:f>IF($A239="","",$E239-$I239)</x:f>
      </x:c>
      <x:c r="K239" s="66" t="str">
        <x:f>IF($A239="","",IFERROR(VLOOKUP($A239,Invoices!$A$7:$W$156,2,FALSE),""))</x:f>
      </x:c>
      <x:c r="L239" s="52" t="str">
        <x:f>IF($A239="","",IFERROR(VLOOKUP($A239,Invoices!$A$7:$W$156,3,FALSE),""))</x:f>
      </x:c>
      <x:c r="M239" s="52" t="str">
        <x:f>IF($A239="","",IFERROR(VLOOKUP($A239,Invoices!$A$7:$W$156,4,FALSE),""))</x:f>
      </x:c>
      <x:c r="N239" s="52" t="str">
        <x:f>IF($A239="","",IFERROR(VLOOKUP($A239,Invoices!$A$7:$W$156,5,FALSE),""))</x:f>
      </x:c>
      <x:c r="O239" s="52" t="str">
        <x:f>IF($A239="","",IF(OR($B239="",$C239&lt;=0,$D239&lt;0,$F239="",$K239="",COUNTIFS($A$7:$A$306,$A239,$B$7:$B$306,$B239)&gt;1),"REVIEW","OK"))</x:f>
      </x:c>
    </x:row>
    <x:row r="240">
      <x:c r="A240" s="46"/>
      <x:c r="B240" s="46"/>
      <x:c r="C240" s="68"/>
      <x:c r="D240" s="58"/>
      <x:c r="E240" s="60" t="str">
        <x:f>IF($A240="","",$C240*$D240)</x:f>
      </x:c>
      <x:c r="F240" s="104" t="str">
        <x:f>IF($A240="","",IFERROR(VLOOKUP($B240,Setup!$A$7:$H$23,2,FALSE),""))</x:f>
      </x:c>
      <x:c r="G240" s="52" t="str">
        <x:f>IF($A240="","",IFERROR(VLOOKUP($B240,Setup!$A$7:$H$23,5,FALSE),""))</x:f>
      </x:c>
      <x:c r="H240" s="60" t="str">
        <x:f>IF($A240="","",IFERROR(VLOOKUP($B240,Setup!$A$7:$H$23,6,FALSE),""))</x:f>
      </x:c>
      <x:c r="I240" s="60" t="str">
        <x:f>IF($A240="","",$C240*$H240)</x:f>
      </x:c>
      <x:c r="J240" s="60" t="str">
        <x:f>IF($A240="","",$E240-$I240)</x:f>
      </x:c>
      <x:c r="K240" s="66" t="str">
        <x:f>IF($A240="","",IFERROR(VLOOKUP($A240,Invoices!$A$7:$W$156,2,FALSE),""))</x:f>
      </x:c>
      <x:c r="L240" s="52" t="str">
        <x:f>IF($A240="","",IFERROR(VLOOKUP($A240,Invoices!$A$7:$W$156,3,FALSE),""))</x:f>
      </x:c>
      <x:c r="M240" s="52" t="str">
        <x:f>IF($A240="","",IFERROR(VLOOKUP($A240,Invoices!$A$7:$W$156,4,FALSE),""))</x:f>
      </x:c>
      <x:c r="N240" s="52" t="str">
        <x:f>IF($A240="","",IFERROR(VLOOKUP($A240,Invoices!$A$7:$W$156,5,FALSE),""))</x:f>
      </x:c>
      <x:c r="O240" s="52" t="str">
        <x:f>IF($A240="","",IF(OR($B240="",$C240&lt;=0,$D240&lt;0,$F240="",$K240="",COUNTIFS($A$7:$A$306,$A240,$B$7:$B$306,$B240)&gt;1),"REVIEW","OK"))</x:f>
      </x:c>
    </x:row>
    <x:row r="241">
      <x:c r="A241" s="46"/>
      <x:c r="B241" s="46"/>
      <x:c r="C241" s="68"/>
      <x:c r="D241" s="58"/>
      <x:c r="E241" s="60" t="str">
        <x:f>IF($A241="","",$C241*$D241)</x:f>
      </x:c>
      <x:c r="F241" s="104" t="str">
        <x:f>IF($A241="","",IFERROR(VLOOKUP($B241,Setup!$A$7:$H$23,2,FALSE),""))</x:f>
      </x:c>
      <x:c r="G241" s="52" t="str">
        <x:f>IF($A241="","",IFERROR(VLOOKUP($B241,Setup!$A$7:$H$23,5,FALSE),""))</x:f>
      </x:c>
      <x:c r="H241" s="60" t="str">
        <x:f>IF($A241="","",IFERROR(VLOOKUP($B241,Setup!$A$7:$H$23,6,FALSE),""))</x:f>
      </x:c>
      <x:c r="I241" s="60" t="str">
        <x:f>IF($A241="","",$C241*$H241)</x:f>
      </x:c>
      <x:c r="J241" s="60" t="str">
        <x:f>IF($A241="","",$E241-$I241)</x:f>
      </x:c>
      <x:c r="K241" s="66" t="str">
        <x:f>IF($A241="","",IFERROR(VLOOKUP($A241,Invoices!$A$7:$W$156,2,FALSE),""))</x:f>
      </x:c>
      <x:c r="L241" s="52" t="str">
        <x:f>IF($A241="","",IFERROR(VLOOKUP($A241,Invoices!$A$7:$W$156,3,FALSE),""))</x:f>
      </x:c>
      <x:c r="M241" s="52" t="str">
        <x:f>IF($A241="","",IFERROR(VLOOKUP($A241,Invoices!$A$7:$W$156,4,FALSE),""))</x:f>
      </x:c>
      <x:c r="N241" s="52" t="str">
        <x:f>IF($A241="","",IFERROR(VLOOKUP($A241,Invoices!$A$7:$W$156,5,FALSE),""))</x:f>
      </x:c>
      <x:c r="O241" s="52" t="str">
        <x:f>IF($A241="","",IF(OR($B241="",$C241&lt;=0,$D241&lt;0,$F241="",$K241="",COUNTIFS($A$7:$A$306,$A241,$B$7:$B$306,$B241)&gt;1),"REVIEW","OK"))</x:f>
      </x:c>
    </x:row>
    <x:row r="242">
      <x:c r="A242" s="46"/>
      <x:c r="B242" s="46"/>
      <x:c r="C242" s="68"/>
      <x:c r="D242" s="58"/>
      <x:c r="E242" s="60" t="str">
        <x:f>IF($A242="","",$C242*$D242)</x:f>
      </x:c>
      <x:c r="F242" s="104" t="str">
        <x:f>IF($A242="","",IFERROR(VLOOKUP($B242,Setup!$A$7:$H$23,2,FALSE),""))</x:f>
      </x:c>
      <x:c r="G242" s="52" t="str">
        <x:f>IF($A242="","",IFERROR(VLOOKUP($B242,Setup!$A$7:$H$23,5,FALSE),""))</x:f>
      </x:c>
      <x:c r="H242" s="60" t="str">
        <x:f>IF($A242="","",IFERROR(VLOOKUP($B242,Setup!$A$7:$H$23,6,FALSE),""))</x:f>
      </x:c>
      <x:c r="I242" s="60" t="str">
        <x:f>IF($A242="","",$C242*$H242)</x:f>
      </x:c>
      <x:c r="J242" s="60" t="str">
        <x:f>IF($A242="","",$E242-$I242)</x:f>
      </x:c>
      <x:c r="K242" s="66" t="str">
        <x:f>IF($A242="","",IFERROR(VLOOKUP($A242,Invoices!$A$7:$W$156,2,FALSE),""))</x:f>
      </x:c>
      <x:c r="L242" s="52" t="str">
        <x:f>IF($A242="","",IFERROR(VLOOKUP($A242,Invoices!$A$7:$W$156,3,FALSE),""))</x:f>
      </x:c>
      <x:c r="M242" s="52" t="str">
        <x:f>IF($A242="","",IFERROR(VLOOKUP($A242,Invoices!$A$7:$W$156,4,FALSE),""))</x:f>
      </x:c>
      <x:c r="N242" s="52" t="str">
        <x:f>IF($A242="","",IFERROR(VLOOKUP($A242,Invoices!$A$7:$W$156,5,FALSE),""))</x:f>
      </x:c>
      <x:c r="O242" s="52" t="str">
        <x:f>IF($A242="","",IF(OR($B242="",$C242&lt;=0,$D242&lt;0,$F242="",$K242="",COUNTIFS($A$7:$A$306,$A242,$B$7:$B$306,$B242)&gt;1),"REVIEW","OK"))</x:f>
      </x:c>
    </x:row>
    <x:row r="243">
      <x:c r="A243" s="46"/>
      <x:c r="B243" s="46"/>
      <x:c r="C243" s="68"/>
      <x:c r="D243" s="58"/>
      <x:c r="E243" s="60" t="str">
        <x:f>IF($A243="","",$C243*$D243)</x:f>
      </x:c>
      <x:c r="F243" s="104" t="str">
        <x:f>IF($A243="","",IFERROR(VLOOKUP($B243,Setup!$A$7:$H$23,2,FALSE),""))</x:f>
      </x:c>
      <x:c r="G243" s="52" t="str">
        <x:f>IF($A243="","",IFERROR(VLOOKUP($B243,Setup!$A$7:$H$23,5,FALSE),""))</x:f>
      </x:c>
      <x:c r="H243" s="60" t="str">
        <x:f>IF($A243="","",IFERROR(VLOOKUP($B243,Setup!$A$7:$H$23,6,FALSE),""))</x:f>
      </x:c>
      <x:c r="I243" s="60" t="str">
        <x:f>IF($A243="","",$C243*$H243)</x:f>
      </x:c>
      <x:c r="J243" s="60" t="str">
        <x:f>IF($A243="","",$E243-$I243)</x:f>
      </x:c>
      <x:c r="K243" s="66" t="str">
        <x:f>IF($A243="","",IFERROR(VLOOKUP($A243,Invoices!$A$7:$W$156,2,FALSE),""))</x:f>
      </x:c>
      <x:c r="L243" s="52" t="str">
        <x:f>IF($A243="","",IFERROR(VLOOKUP($A243,Invoices!$A$7:$W$156,3,FALSE),""))</x:f>
      </x:c>
      <x:c r="M243" s="52" t="str">
        <x:f>IF($A243="","",IFERROR(VLOOKUP($A243,Invoices!$A$7:$W$156,4,FALSE),""))</x:f>
      </x:c>
      <x:c r="N243" s="52" t="str">
        <x:f>IF($A243="","",IFERROR(VLOOKUP($A243,Invoices!$A$7:$W$156,5,FALSE),""))</x:f>
      </x:c>
      <x:c r="O243" s="52" t="str">
        <x:f>IF($A243="","",IF(OR($B243="",$C243&lt;=0,$D243&lt;0,$F243="",$K243="",COUNTIFS($A$7:$A$306,$A243,$B$7:$B$306,$B243)&gt;1),"REVIEW","OK"))</x:f>
      </x:c>
    </x:row>
    <x:row r="244">
      <x:c r="A244" s="46"/>
      <x:c r="B244" s="46"/>
      <x:c r="C244" s="68"/>
      <x:c r="D244" s="58"/>
      <x:c r="E244" s="60" t="str">
        <x:f>IF($A244="","",$C244*$D244)</x:f>
      </x:c>
      <x:c r="F244" s="104" t="str">
        <x:f>IF($A244="","",IFERROR(VLOOKUP($B244,Setup!$A$7:$H$23,2,FALSE),""))</x:f>
      </x:c>
      <x:c r="G244" s="52" t="str">
        <x:f>IF($A244="","",IFERROR(VLOOKUP($B244,Setup!$A$7:$H$23,5,FALSE),""))</x:f>
      </x:c>
      <x:c r="H244" s="60" t="str">
        <x:f>IF($A244="","",IFERROR(VLOOKUP($B244,Setup!$A$7:$H$23,6,FALSE),""))</x:f>
      </x:c>
      <x:c r="I244" s="60" t="str">
        <x:f>IF($A244="","",$C244*$H244)</x:f>
      </x:c>
      <x:c r="J244" s="60" t="str">
        <x:f>IF($A244="","",$E244-$I244)</x:f>
      </x:c>
      <x:c r="K244" s="66" t="str">
        <x:f>IF($A244="","",IFERROR(VLOOKUP($A244,Invoices!$A$7:$W$156,2,FALSE),""))</x:f>
      </x:c>
      <x:c r="L244" s="52" t="str">
        <x:f>IF($A244="","",IFERROR(VLOOKUP($A244,Invoices!$A$7:$W$156,3,FALSE),""))</x:f>
      </x:c>
      <x:c r="M244" s="52" t="str">
        <x:f>IF($A244="","",IFERROR(VLOOKUP($A244,Invoices!$A$7:$W$156,4,FALSE),""))</x:f>
      </x:c>
      <x:c r="N244" s="52" t="str">
        <x:f>IF($A244="","",IFERROR(VLOOKUP($A244,Invoices!$A$7:$W$156,5,FALSE),""))</x:f>
      </x:c>
      <x:c r="O244" s="52" t="str">
        <x:f>IF($A244="","",IF(OR($B244="",$C244&lt;=0,$D244&lt;0,$F244="",$K244="",COUNTIFS($A$7:$A$306,$A244,$B$7:$B$306,$B244)&gt;1),"REVIEW","OK"))</x:f>
      </x:c>
    </x:row>
    <x:row r="245">
      <x:c r="A245" s="46"/>
      <x:c r="B245" s="46"/>
      <x:c r="C245" s="68"/>
      <x:c r="D245" s="58"/>
      <x:c r="E245" s="60" t="str">
        <x:f>IF($A245="","",$C245*$D245)</x:f>
      </x:c>
      <x:c r="F245" s="104" t="str">
        <x:f>IF($A245="","",IFERROR(VLOOKUP($B245,Setup!$A$7:$H$23,2,FALSE),""))</x:f>
      </x:c>
      <x:c r="G245" s="52" t="str">
        <x:f>IF($A245="","",IFERROR(VLOOKUP($B245,Setup!$A$7:$H$23,5,FALSE),""))</x:f>
      </x:c>
      <x:c r="H245" s="60" t="str">
        <x:f>IF($A245="","",IFERROR(VLOOKUP($B245,Setup!$A$7:$H$23,6,FALSE),""))</x:f>
      </x:c>
      <x:c r="I245" s="60" t="str">
        <x:f>IF($A245="","",$C245*$H245)</x:f>
      </x:c>
      <x:c r="J245" s="60" t="str">
        <x:f>IF($A245="","",$E245-$I245)</x:f>
      </x:c>
      <x:c r="K245" s="66" t="str">
        <x:f>IF($A245="","",IFERROR(VLOOKUP($A245,Invoices!$A$7:$W$156,2,FALSE),""))</x:f>
      </x:c>
      <x:c r="L245" s="52" t="str">
        <x:f>IF($A245="","",IFERROR(VLOOKUP($A245,Invoices!$A$7:$W$156,3,FALSE),""))</x:f>
      </x:c>
      <x:c r="M245" s="52" t="str">
        <x:f>IF($A245="","",IFERROR(VLOOKUP($A245,Invoices!$A$7:$W$156,4,FALSE),""))</x:f>
      </x:c>
      <x:c r="N245" s="52" t="str">
        <x:f>IF($A245="","",IFERROR(VLOOKUP($A245,Invoices!$A$7:$W$156,5,FALSE),""))</x:f>
      </x:c>
      <x:c r="O245" s="52" t="str">
        <x:f>IF($A245="","",IF(OR($B245="",$C245&lt;=0,$D245&lt;0,$F245="",$K245="",COUNTIFS($A$7:$A$306,$A245,$B$7:$B$306,$B245)&gt;1),"REVIEW","OK"))</x:f>
      </x:c>
    </x:row>
    <x:row r="246">
      <x:c r="A246" s="46"/>
      <x:c r="B246" s="46"/>
      <x:c r="C246" s="68"/>
      <x:c r="D246" s="58"/>
      <x:c r="E246" s="60" t="str">
        <x:f>IF($A246="","",$C246*$D246)</x:f>
      </x:c>
      <x:c r="F246" s="104" t="str">
        <x:f>IF($A246="","",IFERROR(VLOOKUP($B246,Setup!$A$7:$H$23,2,FALSE),""))</x:f>
      </x:c>
      <x:c r="G246" s="52" t="str">
        <x:f>IF($A246="","",IFERROR(VLOOKUP($B246,Setup!$A$7:$H$23,5,FALSE),""))</x:f>
      </x:c>
      <x:c r="H246" s="60" t="str">
        <x:f>IF($A246="","",IFERROR(VLOOKUP($B246,Setup!$A$7:$H$23,6,FALSE),""))</x:f>
      </x:c>
      <x:c r="I246" s="60" t="str">
        <x:f>IF($A246="","",$C246*$H246)</x:f>
      </x:c>
      <x:c r="J246" s="60" t="str">
        <x:f>IF($A246="","",$E246-$I246)</x:f>
      </x:c>
      <x:c r="K246" s="66" t="str">
        <x:f>IF($A246="","",IFERROR(VLOOKUP($A246,Invoices!$A$7:$W$156,2,FALSE),""))</x:f>
      </x:c>
      <x:c r="L246" s="52" t="str">
        <x:f>IF($A246="","",IFERROR(VLOOKUP($A246,Invoices!$A$7:$W$156,3,FALSE),""))</x:f>
      </x:c>
      <x:c r="M246" s="52" t="str">
        <x:f>IF($A246="","",IFERROR(VLOOKUP($A246,Invoices!$A$7:$W$156,4,FALSE),""))</x:f>
      </x:c>
      <x:c r="N246" s="52" t="str">
        <x:f>IF($A246="","",IFERROR(VLOOKUP($A246,Invoices!$A$7:$W$156,5,FALSE),""))</x:f>
      </x:c>
      <x:c r="O246" s="52" t="str">
        <x:f>IF($A246="","",IF(OR($B246="",$C246&lt;=0,$D246&lt;0,$F246="",$K246="",COUNTIFS($A$7:$A$306,$A246,$B$7:$B$306,$B246)&gt;1),"REVIEW","OK"))</x:f>
      </x:c>
    </x:row>
    <x:row r="247">
      <x:c r="A247" s="46"/>
      <x:c r="B247" s="46"/>
      <x:c r="C247" s="68"/>
      <x:c r="D247" s="58"/>
      <x:c r="E247" s="60" t="str">
        <x:f>IF($A247="","",$C247*$D247)</x:f>
      </x:c>
      <x:c r="F247" s="104" t="str">
        <x:f>IF($A247="","",IFERROR(VLOOKUP($B247,Setup!$A$7:$H$23,2,FALSE),""))</x:f>
      </x:c>
      <x:c r="G247" s="52" t="str">
        <x:f>IF($A247="","",IFERROR(VLOOKUP($B247,Setup!$A$7:$H$23,5,FALSE),""))</x:f>
      </x:c>
      <x:c r="H247" s="60" t="str">
        <x:f>IF($A247="","",IFERROR(VLOOKUP($B247,Setup!$A$7:$H$23,6,FALSE),""))</x:f>
      </x:c>
      <x:c r="I247" s="60" t="str">
        <x:f>IF($A247="","",$C247*$H247)</x:f>
      </x:c>
      <x:c r="J247" s="60" t="str">
        <x:f>IF($A247="","",$E247-$I247)</x:f>
      </x:c>
      <x:c r="K247" s="66" t="str">
        <x:f>IF($A247="","",IFERROR(VLOOKUP($A247,Invoices!$A$7:$W$156,2,FALSE),""))</x:f>
      </x:c>
      <x:c r="L247" s="52" t="str">
        <x:f>IF($A247="","",IFERROR(VLOOKUP($A247,Invoices!$A$7:$W$156,3,FALSE),""))</x:f>
      </x:c>
      <x:c r="M247" s="52" t="str">
        <x:f>IF($A247="","",IFERROR(VLOOKUP($A247,Invoices!$A$7:$W$156,4,FALSE),""))</x:f>
      </x:c>
      <x:c r="N247" s="52" t="str">
        <x:f>IF($A247="","",IFERROR(VLOOKUP($A247,Invoices!$A$7:$W$156,5,FALSE),""))</x:f>
      </x:c>
      <x:c r="O247" s="52" t="str">
        <x:f>IF($A247="","",IF(OR($B247="",$C247&lt;=0,$D247&lt;0,$F247="",$K247="",COUNTIFS($A$7:$A$306,$A247,$B$7:$B$306,$B247)&gt;1),"REVIEW","OK"))</x:f>
      </x:c>
    </x:row>
    <x:row r="248">
      <x:c r="A248" s="46"/>
      <x:c r="B248" s="46"/>
      <x:c r="C248" s="68"/>
      <x:c r="D248" s="58"/>
      <x:c r="E248" s="60" t="str">
        <x:f>IF($A248="","",$C248*$D248)</x:f>
      </x:c>
      <x:c r="F248" s="104" t="str">
        <x:f>IF($A248="","",IFERROR(VLOOKUP($B248,Setup!$A$7:$H$23,2,FALSE),""))</x:f>
      </x:c>
      <x:c r="G248" s="52" t="str">
        <x:f>IF($A248="","",IFERROR(VLOOKUP($B248,Setup!$A$7:$H$23,5,FALSE),""))</x:f>
      </x:c>
      <x:c r="H248" s="60" t="str">
        <x:f>IF($A248="","",IFERROR(VLOOKUP($B248,Setup!$A$7:$H$23,6,FALSE),""))</x:f>
      </x:c>
      <x:c r="I248" s="60" t="str">
        <x:f>IF($A248="","",$C248*$H248)</x:f>
      </x:c>
      <x:c r="J248" s="60" t="str">
        <x:f>IF($A248="","",$E248-$I248)</x:f>
      </x:c>
      <x:c r="K248" s="66" t="str">
        <x:f>IF($A248="","",IFERROR(VLOOKUP($A248,Invoices!$A$7:$W$156,2,FALSE),""))</x:f>
      </x:c>
      <x:c r="L248" s="52" t="str">
        <x:f>IF($A248="","",IFERROR(VLOOKUP($A248,Invoices!$A$7:$W$156,3,FALSE),""))</x:f>
      </x:c>
      <x:c r="M248" s="52" t="str">
        <x:f>IF($A248="","",IFERROR(VLOOKUP($A248,Invoices!$A$7:$W$156,4,FALSE),""))</x:f>
      </x:c>
      <x:c r="N248" s="52" t="str">
        <x:f>IF($A248="","",IFERROR(VLOOKUP($A248,Invoices!$A$7:$W$156,5,FALSE),""))</x:f>
      </x:c>
      <x:c r="O248" s="52" t="str">
        <x:f>IF($A248="","",IF(OR($B248="",$C248&lt;=0,$D248&lt;0,$F248="",$K248="",COUNTIFS($A$7:$A$306,$A248,$B$7:$B$306,$B248)&gt;1),"REVIEW","OK"))</x:f>
      </x:c>
    </x:row>
    <x:row r="249">
      <x:c r="A249" s="46"/>
      <x:c r="B249" s="46"/>
      <x:c r="C249" s="68"/>
      <x:c r="D249" s="58"/>
      <x:c r="E249" s="60" t="str">
        <x:f>IF($A249="","",$C249*$D249)</x:f>
      </x:c>
      <x:c r="F249" s="104" t="str">
        <x:f>IF($A249="","",IFERROR(VLOOKUP($B249,Setup!$A$7:$H$23,2,FALSE),""))</x:f>
      </x:c>
      <x:c r="G249" s="52" t="str">
        <x:f>IF($A249="","",IFERROR(VLOOKUP($B249,Setup!$A$7:$H$23,5,FALSE),""))</x:f>
      </x:c>
      <x:c r="H249" s="60" t="str">
        <x:f>IF($A249="","",IFERROR(VLOOKUP($B249,Setup!$A$7:$H$23,6,FALSE),""))</x:f>
      </x:c>
      <x:c r="I249" s="60" t="str">
        <x:f>IF($A249="","",$C249*$H249)</x:f>
      </x:c>
      <x:c r="J249" s="60" t="str">
        <x:f>IF($A249="","",$E249-$I249)</x:f>
      </x:c>
      <x:c r="K249" s="66" t="str">
        <x:f>IF($A249="","",IFERROR(VLOOKUP($A249,Invoices!$A$7:$W$156,2,FALSE),""))</x:f>
      </x:c>
      <x:c r="L249" s="52" t="str">
        <x:f>IF($A249="","",IFERROR(VLOOKUP($A249,Invoices!$A$7:$W$156,3,FALSE),""))</x:f>
      </x:c>
      <x:c r="M249" s="52" t="str">
        <x:f>IF($A249="","",IFERROR(VLOOKUP($A249,Invoices!$A$7:$W$156,4,FALSE),""))</x:f>
      </x:c>
      <x:c r="N249" s="52" t="str">
        <x:f>IF($A249="","",IFERROR(VLOOKUP($A249,Invoices!$A$7:$W$156,5,FALSE),""))</x:f>
      </x:c>
      <x:c r="O249" s="52" t="str">
        <x:f>IF($A249="","",IF(OR($B249="",$C249&lt;=0,$D249&lt;0,$F249="",$K249="",COUNTIFS($A$7:$A$306,$A249,$B$7:$B$306,$B249)&gt;1),"REVIEW","OK"))</x:f>
      </x:c>
    </x:row>
    <x:row r="250">
      <x:c r="A250" s="46"/>
      <x:c r="B250" s="46"/>
      <x:c r="C250" s="68"/>
      <x:c r="D250" s="58"/>
      <x:c r="E250" s="60" t="str">
        <x:f>IF($A250="","",$C250*$D250)</x:f>
      </x:c>
      <x:c r="F250" s="104" t="str">
        <x:f>IF($A250="","",IFERROR(VLOOKUP($B250,Setup!$A$7:$H$23,2,FALSE),""))</x:f>
      </x:c>
      <x:c r="G250" s="52" t="str">
        <x:f>IF($A250="","",IFERROR(VLOOKUP($B250,Setup!$A$7:$H$23,5,FALSE),""))</x:f>
      </x:c>
      <x:c r="H250" s="60" t="str">
        <x:f>IF($A250="","",IFERROR(VLOOKUP($B250,Setup!$A$7:$H$23,6,FALSE),""))</x:f>
      </x:c>
      <x:c r="I250" s="60" t="str">
        <x:f>IF($A250="","",$C250*$H250)</x:f>
      </x:c>
      <x:c r="J250" s="60" t="str">
        <x:f>IF($A250="","",$E250-$I250)</x:f>
      </x:c>
      <x:c r="K250" s="66" t="str">
        <x:f>IF($A250="","",IFERROR(VLOOKUP($A250,Invoices!$A$7:$W$156,2,FALSE),""))</x:f>
      </x:c>
      <x:c r="L250" s="52" t="str">
        <x:f>IF($A250="","",IFERROR(VLOOKUP($A250,Invoices!$A$7:$W$156,3,FALSE),""))</x:f>
      </x:c>
      <x:c r="M250" s="52" t="str">
        <x:f>IF($A250="","",IFERROR(VLOOKUP($A250,Invoices!$A$7:$W$156,4,FALSE),""))</x:f>
      </x:c>
      <x:c r="N250" s="52" t="str">
        <x:f>IF($A250="","",IFERROR(VLOOKUP($A250,Invoices!$A$7:$W$156,5,FALSE),""))</x:f>
      </x:c>
      <x:c r="O250" s="52" t="str">
        <x:f>IF($A250="","",IF(OR($B250="",$C250&lt;=0,$D250&lt;0,$F250="",$K250="",COUNTIFS($A$7:$A$306,$A250,$B$7:$B$306,$B250)&gt;1),"REVIEW","OK"))</x:f>
      </x:c>
    </x:row>
    <x:row r="251">
      <x:c r="A251" s="46"/>
      <x:c r="B251" s="46"/>
      <x:c r="C251" s="68"/>
      <x:c r="D251" s="58"/>
      <x:c r="E251" s="60" t="str">
        <x:f>IF($A251="","",$C251*$D251)</x:f>
      </x:c>
      <x:c r="F251" s="104" t="str">
        <x:f>IF($A251="","",IFERROR(VLOOKUP($B251,Setup!$A$7:$H$23,2,FALSE),""))</x:f>
      </x:c>
      <x:c r="G251" s="52" t="str">
        <x:f>IF($A251="","",IFERROR(VLOOKUP($B251,Setup!$A$7:$H$23,5,FALSE),""))</x:f>
      </x:c>
      <x:c r="H251" s="60" t="str">
        <x:f>IF($A251="","",IFERROR(VLOOKUP($B251,Setup!$A$7:$H$23,6,FALSE),""))</x:f>
      </x:c>
      <x:c r="I251" s="60" t="str">
        <x:f>IF($A251="","",$C251*$H251)</x:f>
      </x:c>
      <x:c r="J251" s="60" t="str">
        <x:f>IF($A251="","",$E251-$I251)</x:f>
      </x:c>
      <x:c r="K251" s="66" t="str">
        <x:f>IF($A251="","",IFERROR(VLOOKUP($A251,Invoices!$A$7:$W$156,2,FALSE),""))</x:f>
      </x:c>
      <x:c r="L251" s="52" t="str">
        <x:f>IF($A251="","",IFERROR(VLOOKUP($A251,Invoices!$A$7:$W$156,3,FALSE),""))</x:f>
      </x:c>
      <x:c r="M251" s="52" t="str">
        <x:f>IF($A251="","",IFERROR(VLOOKUP($A251,Invoices!$A$7:$W$156,4,FALSE),""))</x:f>
      </x:c>
      <x:c r="N251" s="52" t="str">
        <x:f>IF($A251="","",IFERROR(VLOOKUP($A251,Invoices!$A$7:$W$156,5,FALSE),""))</x:f>
      </x:c>
      <x:c r="O251" s="52" t="str">
        <x:f>IF($A251="","",IF(OR($B251="",$C251&lt;=0,$D251&lt;0,$F251="",$K251="",COUNTIFS($A$7:$A$306,$A251,$B$7:$B$306,$B251)&gt;1),"REVIEW","OK"))</x:f>
      </x:c>
    </x:row>
    <x:row r="252">
      <x:c r="A252" s="46"/>
      <x:c r="B252" s="46"/>
      <x:c r="C252" s="68"/>
      <x:c r="D252" s="58"/>
      <x:c r="E252" s="60" t="str">
        <x:f>IF($A252="","",$C252*$D252)</x:f>
      </x:c>
      <x:c r="F252" s="104" t="str">
        <x:f>IF($A252="","",IFERROR(VLOOKUP($B252,Setup!$A$7:$H$23,2,FALSE),""))</x:f>
      </x:c>
      <x:c r="G252" s="52" t="str">
        <x:f>IF($A252="","",IFERROR(VLOOKUP($B252,Setup!$A$7:$H$23,5,FALSE),""))</x:f>
      </x:c>
      <x:c r="H252" s="60" t="str">
        <x:f>IF($A252="","",IFERROR(VLOOKUP($B252,Setup!$A$7:$H$23,6,FALSE),""))</x:f>
      </x:c>
      <x:c r="I252" s="60" t="str">
        <x:f>IF($A252="","",$C252*$H252)</x:f>
      </x:c>
      <x:c r="J252" s="60" t="str">
        <x:f>IF($A252="","",$E252-$I252)</x:f>
      </x:c>
      <x:c r="K252" s="66" t="str">
        <x:f>IF($A252="","",IFERROR(VLOOKUP($A252,Invoices!$A$7:$W$156,2,FALSE),""))</x:f>
      </x:c>
      <x:c r="L252" s="52" t="str">
        <x:f>IF($A252="","",IFERROR(VLOOKUP($A252,Invoices!$A$7:$W$156,3,FALSE),""))</x:f>
      </x:c>
      <x:c r="M252" s="52" t="str">
        <x:f>IF($A252="","",IFERROR(VLOOKUP($A252,Invoices!$A$7:$W$156,4,FALSE),""))</x:f>
      </x:c>
      <x:c r="N252" s="52" t="str">
        <x:f>IF($A252="","",IFERROR(VLOOKUP($A252,Invoices!$A$7:$W$156,5,FALSE),""))</x:f>
      </x:c>
      <x:c r="O252" s="52" t="str">
        <x:f>IF($A252="","",IF(OR($B252="",$C252&lt;=0,$D252&lt;0,$F252="",$K252="",COUNTIFS($A$7:$A$306,$A252,$B$7:$B$306,$B252)&gt;1),"REVIEW","OK"))</x:f>
      </x:c>
    </x:row>
    <x:row r="253">
      <x:c r="A253" s="46"/>
      <x:c r="B253" s="46"/>
      <x:c r="C253" s="68"/>
      <x:c r="D253" s="58"/>
      <x:c r="E253" s="60" t="str">
        <x:f>IF($A253="","",$C253*$D253)</x:f>
      </x:c>
      <x:c r="F253" s="104" t="str">
        <x:f>IF($A253="","",IFERROR(VLOOKUP($B253,Setup!$A$7:$H$23,2,FALSE),""))</x:f>
      </x:c>
      <x:c r="G253" s="52" t="str">
        <x:f>IF($A253="","",IFERROR(VLOOKUP($B253,Setup!$A$7:$H$23,5,FALSE),""))</x:f>
      </x:c>
      <x:c r="H253" s="60" t="str">
        <x:f>IF($A253="","",IFERROR(VLOOKUP($B253,Setup!$A$7:$H$23,6,FALSE),""))</x:f>
      </x:c>
      <x:c r="I253" s="60" t="str">
        <x:f>IF($A253="","",$C253*$H253)</x:f>
      </x:c>
      <x:c r="J253" s="60" t="str">
        <x:f>IF($A253="","",$E253-$I253)</x:f>
      </x:c>
      <x:c r="K253" s="66" t="str">
        <x:f>IF($A253="","",IFERROR(VLOOKUP($A253,Invoices!$A$7:$W$156,2,FALSE),""))</x:f>
      </x:c>
      <x:c r="L253" s="52" t="str">
        <x:f>IF($A253="","",IFERROR(VLOOKUP($A253,Invoices!$A$7:$W$156,3,FALSE),""))</x:f>
      </x:c>
      <x:c r="M253" s="52" t="str">
        <x:f>IF($A253="","",IFERROR(VLOOKUP($A253,Invoices!$A$7:$W$156,4,FALSE),""))</x:f>
      </x:c>
      <x:c r="N253" s="52" t="str">
        <x:f>IF($A253="","",IFERROR(VLOOKUP($A253,Invoices!$A$7:$W$156,5,FALSE),""))</x:f>
      </x:c>
      <x:c r="O253" s="52" t="str">
        <x:f>IF($A253="","",IF(OR($B253="",$C253&lt;=0,$D253&lt;0,$F253="",$K253="",COUNTIFS($A$7:$A$306,$A253,$B$7:$B$306,$B253)&gt;1),"REVIEW","OK"))</x:f>
      </x:c>
    </x:row>
    <x:row r="254">
      <x:c r="A254" s="46"/>
      <x:c r="B254" s="46"/>
      <x:c r="C254" s="68"/>
      <x:c r="D254" s="58"/>
      <x:c r="E254" s="60" t="str">
        <x:f>IF($A254="","",$C254*$D254)</x:f>
      </x:c>
      <x:c r="F254" s="104" t="str">
        <x:f>IF($A254="","",IFERROR(VLOOKUP($B254,Setup!$A$7:$H$23,2,FALSE),""))</x:f>
      </x:c>
      <x:c r="G254" s="52" t="str">
        <x:f>IF($A254="","",IFERROR(VLOOKUP($B254,Setup!$A$7:$H$23,5,FALSE),""))</x:f>
      </x:c>
      <x:c r="H254" s="60" t="str">
        <x:f>IF($A254="","",IFERROR(VLOOKUP($B254,Setup!$A$7:$H$23,6,FALSE),""))</x:f>
      </x:c>
      <x:c r="I254" s="60" t="str">
        <x:f>IF($A254="","",$C254*$H254)</x:f>
      </x:c>
      <x:c r="J254" s="60" t="str">
        <x:f>IF($A254="","",$E254-$I254)</x:f>
      </x:c>
      <x:c r="K254" s="66" t="str">
        <x:f>IF($A254="","",IFERROR(VLOOKUP($A254,Invoices!$A$7:$W$156,2,FALSE),""))</x:f>
      </x:c>
      <x:c r="L254" s="52" t="str">
        <x:f>IF($A254="","",IFERROR(VLOOKUP($A254,Invoices!$A$7:$W$156,3,FALSE),""))</x:f>
      </x:c>
      <x:c r="M254" s="52" t="str">
        <x:f>IF($A254="","",IFERROR(VLOOKUP($A254,Invoices!$A$7:$W$156,4,FALSE),""))</x:f>
      </x:c>
      <x:c r="N254" s="52" t="str">
        <x:f>IF($A254="","",IFERROR(VLOOKUP($A254,Invoices!$A$7:$W$156,5,FALSE),""))</x:f>
      </x:c>
      <x:c r="O254" s="52" t="str">
        <x:f>IF($A254="","",IF(OR($B254="",$C254&lt;=0,$D254&lt;0,$F254="",$K254="",COUNTIFS($A$7:$A$306,$A254,$B$7:$B$306,$B254)&gt;1),"REVIEW","OK"))</x:f>
      </x:c>
    </x:row>
    <x:row r="255">
      <x:c r="A255" s="46"/>
      <x:c r="B255" s="46"/>
      <x:c r="C255" s="68"/>
      <x:c r="D255" s="58"/>
      <x:c r="E255" s="60" t="str">
        <x:f>IF($A255="","",$C255*$D255)</x:f>
      </x:c>
      <x:c r="F255" s="104" t="str">
        <x:f>IF($A255="","",IFERROR(VLOOKUP($B255,Setup!$A$7:$H$23,2,FALSE),""))</x:f>
      </x:c>
      <x:c r="G255" s="52" t="str">
        <x:f>IF($A255="","",IFERROR(VLOOKUP($B255,Setup!$A$7:$H$23,5,FALSE),""))</x:f>
      </x:c>
      <x:c r="H255" s="60" t="str">
        <x:f>IF($A255="","",IFERROR(VLOOKUP($B255,Setup!$A$7:$H$23,6,FALSE),""))</x:f>
      </x:c>
      <x:c r="I255" s="60" t="str">
        <x:f>IF($A255="","",$C255*$H255)</x:f>
      </x:c>
      <x:c r="J255" s="60" t="str">
        <x:f>IF($A255="","",$E255-$I255)</x:f>
      </x:c>
      <x:c r="K255" s="66" t="str">
        <x:f>IF($A255="","",IFERROR(VLOOKUP($A255,Invoices!$A$7:$W$156,2,FALSE),""))</x:f>
      </x:c>
      <x:c r="L255" s="52" t="str">
        <x:f>IF($A255="","",IFERROR(VLOOKUP($A255,Invoices!$A$7:$W$156,3,FALSE),""))</x:f>
      </x:c>
      <x:c r="M255" s="52" t="str">
        <x:f>IF($A255="","",IFERROR(VLOOKUP($A255,Invoices!$A$7:$W$156,4,FALSE),""))</x:f>
      </x:c>
      <x:c r="N255" s="52" t="str">
        <x:f>IF($A255="","",IFERROR(VLOOKUP($A255,Invoices!$A$7:$W$156,5,FALSE),""))</x:f>
      </x:c>
      <x:c r="O255" s="52" t="str">
        <x:f>IF($A255="","",IF(OR($B255="",$C255&lt;=0,$D255&lt;0,$F255="",$K255="",COUNTIFS($A$7:$A$306,$A255,$B$7:$B$306,$B255)&gt;1),"REVIEW","OK"))</x:f>
      </x:c>
    </x:row>
    <x:row r="256">
      <x:c r="A256" s="46"/>
      <x:c r="B256" s="46"/>
      <x:c r="C256" s="68"/>
      <x:c r="D256" s="58"/>
      <x:c r="E256" s="60" t="str">
        <x:f>IF($A256="","",$C256*$D256)</x:f>
      </x:c>
      <x:c r="F256" s="104" t="str">
        <x:f>IF($A256="","",IFERROR(VLOOKUP($B256,Setup!$A$7:$H$23,2,FALSE),""))</x:f>
      </x:c>
      <x:c r="G256" s="52" t="str">
        <x:f>IF($A256="","",IFERROR(VLOOKUP($B256,Setup!$A$7:$H$23,5,FALSE),""))</x:f>
      </x:c>
      <x:c r="H256" s="60" t="str">
        <x:f>IF($A256="","",IFERROR(VLOOKUP($B256,Setup!$A$7:$H$23,6,FALSE),""))</x:f>
      </x:c>
      <x:c r="I256" s="60" t="str">
        <x:f>IF($A256="","",$C256*$H256)</x:f>
      </x:c>
      <x:c r="J256" s="60" t="str">
        <x:f>IF($A256="","",$E256-$I256)</x:f>
      </x:c>
      <x:c r="K256" s="66" t="str">
        <x:f>IF($A256="","",IFERROR(VLOOKUP($A256,Invoices!$A$7:$W$156,2,FALSE),""))</x:f>
      </x:c>
      <x:c r="L256" s="52" t="str">
        <x:f>IF($A256="","",IFERROR(VLOOKUP($A256,Invoices!$A$7:$W$156,3,FALSE),""))</x:f>
      </x:c>
      <x:c r="M256" s="52" t="str">
        <x:f>IF($A256="","",IFERROR(VLOOKUP($A256,Invoices!$A$7:$W$156,4,FALSE),""))</x:f>
      </x:c>
      <x:c r="N256" s="52" t="str">
        <x:f>IF($A256="","",IFERROR(VLOOKUP($A256,Invoices!$A$7:$W$156,5,FALSE),""))</x:f>
      </x:c>
      <x:c r="O256" s="52" t="str">
        <x:f>IF($A256="","",IF(OR($B256="",$C256&lt;=0,$D256&lt;0,$F256="",$K256="",COUNTIFS($A$7:$A$306,$A256,$B$7:$B$306,$B256)&gt;1),"REVIEW","OK"))</x:f>
      </x:c>
    </x:row>
    <x:row r="257">
      <x:c r="A257" s="46"/>
      <x:c r="B257" s="46"/>
      <x:c r="C257" s="68"/>
      <x:c r="D257" s="58"/>
      <x:c r="E257" s="60" t="str">
        <x:f>IF($A257="","",$C257*$D257)</x:f>
      </x:c>
      <x:c r="F257" s="104" t="str">
        <x:f>IF($A257="","",IFERROR(VLOOKUP($B257,Setup!$A$7:$H$23,2,FALSE),""))</x:f>
      </x:c>
      <x:c r="G257" s="52" t="str">
        <x:f>IF($A257="","",IFERROR(VLOOKUP($B257,Setup!$A$7:$H$23,5,FALSE),""))</x:f>
      </x:c>
      <x:c r="H257" s="60" t="str">
        <x:f>IF($A257="","",IFERROR(VLOOKUP($B257,Setup!$A$7:$H$23,6,FALSE),""))</x:f>
      </x:c>
      <x:c r="I257" s="60" t="str">
        <x:f>IF($A257="","",$C257*$H257)</x:f>
      </x:c>
      <x:c r="J257" s="60" t="str">
        <x:f>IF($A257="","",$E257-$I257)</x:f>
      </x:c>
      <x:c r="K257" s="66" t="str">
        <x:f>IF($A257="","",IFERROR(VLOOKUP($A257,Invoices!$A$7:$W$156,2,FALSE),""))</x:f>
      </x:c>
      <x:c r="L257" s="52" t="str">
        <x:f>IF($A257="","",IFERROR(VLOOKUP($A257,Invoices!$A$7:$W$156,3,FALSE),""))</x:f>
      </x:c>
      <x:c r="M257" s="52" t="str">
        <x:f>IF($A257="","",IFERROR(VLOOKUP($A257,Invoices!$A$7:$W$156,4,FALSE),""))</x:f>
      </x:c>
      <x:c r="N257" s="52" t="str">
        <x:f>IF($A257="","",IFERROR(VLOOKUP($A257,Invoices!$A$7:$W$156,5,FALSE),""))</x:f>
      </x:c>
      <x:c r="O257" s="52" t="str">
        <x:f>IF($A257="","",IF(OR($B257="",$C257&lt;=0,$D257&lt;0,$F257="",$K257="",COUNTIFS($A$7:$A$306,$A257,$B$7:$B$306,$B257)&gt;1),"REVIEW","OK"))</x:f>
      </x:c>
    </x:row>
    <x:row r="258">
      <x:c r="A258" s="46"/>
      <x:c r="B258" s="46"/>
      <x:c r="C258" s="68"/>
      <x:c r="D258" s="58"/>
      <x:c r="E258" s="60" t="str">
        <x:f>IF($A258="","",$C258*$D258)</x:f>
      </x:c>
      <x:c r="F258" s="104" t="str">
        <x:f>IF($A258="","",IFERROR(VLOOKUP($B258,Setup!$A$7:$H$23,2,FALSE),""))</x:f>
      </x:c>
      <x:c r="G258" s="52" t="str">
        <x:f>IF($A258="","",IFERROR(VLOOKUP($B258,Setup!$A$7:$H$23,5,FALSE),""))</x:f>
      </x:c>
      <x:c r="H258" s="60" t="str">
        <x:f>IF($A258="","",IFERROR(VLOOKUP($B258,Setup!$A$7:$H$23,6,FALSE),""))</x:f>
      </x:c>
      <x:c r="I258" s="60" t="str">
        <x:f>IF($A258="","",$C258*$H258)</x:f>
      </x:c>
      <x:c r="J258" s="60" t="str">
        <x:f>IF($A258="","",$E258-$I258)</x:f>
      </x:c>
      <x:c r="K258" s="66" t="str">
        <x:f>IF($A258="","",IFERROR(VLOOKUP($A258,Invoices!$A$7:$W$156,2,FALSE),""))</x:f>
      </x:c>
      <x:c r="L258" s="52" t="str">
        <x:f>IF($A258="","",IFERROR(VLOOKUP($A258,Invoices!$A$7:$W$156,3,FALSE),""))</x:f>
      </x:c>
      <x:c r="M258" s="52" t="str">
        <x:f>IF($A258="","",IFERROR(VLOOKUP($A258,Invoices!$A$7:$W$156,4,FALSE),""))</x:f>
      </x:c>
      <x:c r="N258" s="52" t="str">
        <x:f>IF($A258="","",IFERROR(VLOOKUP($A258,Invoices!$A$7:$W$156,5,FALSE),""))</x:f>
      </x:c>
      <x:c r="O258" s="52" t="str">
        <x:f>IF($A258="","",IF(OR($B258="",$C258&lt;=0,$D258&lt;0,$F258="",$K258="",COUNTIFS($A$7:$A$306,$A258,$B$7:$B$306,$B258)&gt;1),"REVIEW","OK"))</x:f>
      </x:c>
    </x:row>
    <x:row r="259">
      <x:c r="A259" s="46"/>
      <x:c r="B259" s="46"/>
      <x:c r="C259" s="68"/>
      <x:c r="D259" s="58"/>
      <x:c r="E259" s="60" t="str">
        <x:f>IF($A259="","",$C259*$D259)</x:f>
      </x:c>
      <x:c r="F259" s="104" t="str">
        <x:f>IF($A259="","",IFERROR(VLOOKUP($B259,Setup!$A$7:$H$23,2,FALSE),""))</x:f>
      </x:c>
      <x:c r="G259" s="52" t="str">
        <x:f>IF($A259="","",IFERROR(VLOOKUP($B259,Setup!$A$7:$H$23,5,FALSE),""))</x:f>
      </x:c>
      <x:c r="H259" s="60" t="str">
        <x:f>IF($A259="","",IFERROR(VLOOKUP($B259,Setup!$A$7:$H$23,6,FALSE),""))</x:f>
      </x:c>
      <x:c r="I259" s="60" t="str">
        <x:f>IF($A259="","",$C259*$H259)</x:f>
      </x:c>
      <x:c r="J259" s="60" t="str">
        <x:f>IF($A259="","",$E259-$I259)</x:f>
      </x:c>
      <x:c r="K259" s="66" t="str">
        <x:f>IF($A259="","",IFERROR(VLOOKUP($A259,Invoices!$A$7:$W$156,2,FALSE),""))</x:f>
      </x:c>
      <x:c r="L259" s="52" t="str">
        <x:f>IF($A259="","",IFERROR(VLOOKUP($A259,Invoices!$A$7:$W$156,3,FALSE),""))</x:f>
      </x:c>
      <x:c r="M259" s="52" t="str">
        <x:f>IF($A259="","",IFERROR(VLOOKUP($A259,Invoices!$A$7:$W$156,4,FALSE),""))</x:f>
      </x:c>
      <x:c r="N259" s="52" t="str">
        <x:f>IF($A259="","",IFERROR(VLOOKUP($A259,Invoices!$A$7:$W$156,5,FALSE),""))</x:f>
      </x:c>
      <x:c r="O259" s="52" t="str">
        <x:f>IF($A259="","",IF(OR($B259="",$C259&lt;=0,$D259&lt;0,$F259="",$K259="",COUNTIFS($A$7:$A$306,$A259,$B$7:$B$306,$B259)&gt;1),"REVIEW","OK"))</x:f>
      </x:c>
    </x:row>
    <x:row r="260">
      <x:c r="A260" s="46"/>
      <x:c r="B260" s="46"/>
      <x:c r="C260" s="68"/>
      <x:c r="D260" s="58"/>
      <x:c r="E260" s="60" t="str">
        <x:f>IF($A260="","",$C260*$D260)</x:f>
      </x:c>
      <x:c r="F260" s="104" t="str">
        <x:f>IF($A260="","",IFERROR(VLOOKUP($B260,Setup!$A$7:$H$23,2,FALSE),""))</x:f>
      </x:c>
      <x:c r="G260" s="52" t="str">
        <x:f>IF($A260="","",IFERROR(VLOOKUP($B260,Setup!$A$7:$H$23,5,FALSE),""))</x:f>
      </x:c>
      <x:c r="H260" s="60" t="str">
        <x:f>IF($A260="","",IFERROR(VLOOKUP($B260,Setup!$A$7:$H$23,6,FALSE),""))</x:f>
      </x:c>
      <x:c r="I260" s="60" t="str">
        <x:f>IF($A260="","",$C260*$H260)</x:f>
      </x:c>
      <x:c r="J260" s="60" t="str">
        <x:f>IF($A260="","",$E260-$I260)</x:f>
      </x:c>
      <x:c r="K260" s="66" t="str">
        <x:f>IF($A260="","",IFERROR(VLOOKUP($A260,Invoices!$A$7:$W$156,2,FALSE),""))</x:f>
      </x:c>
      <x:c r="L260" s="52" t="str">
        <x:f>IF($A260="","",IFERROR(VLOOKUP($A260,Invoices!$A$7:$W$156,3,FALSE),""))</x:f>
      </x:c>
      <x:c r="M260" s="52" t="str">
        <x:f>IF($A260="","",IFERROR(VLOOKUP($A260,Invoices!$A$7:$W$156,4,FALSE),""))</x:f>
      </x:c>
      <x:c r="N260" s="52" t="str">
        <x:f>IF($A260="","",IFERROR(VLOOKUP($A260,Invoices!$A$7:$W$156,5,FALSE),""))</x:f>
      </x:c>
      <x:c r="O260" s="52" t="str">
        <x:f>IF($A260="","",IF(OR($B260="",$C260&lt;=0,$D260&lt;0,$F260="",$K260="",COUNTIFS($A$7:$A$306,$A260,$B$7:$B$306,$B260)&gt;1),"REVIEW","OK"))</x:f>
      </x:c>
    </x:row>
    <x:row r="261">
      <x:c r="A261" s="46"/>
      <x:c r="B261" s="46"/>
      <x:c r="C261" s="68"/>
      <x:c r="D261" s="58"/>
      <x:c r="E261" s="60" t="str">
        <x:f>IF($A261="","",$C261*$D261)</x:f>
      </x:c>
      <x:c r="F261" s="104" t="str">
        <x:f>IF($A261="","",IFERROR(VLOOKUP($B261,Setup!$A$7:$H$23,2,FALSE),""))</x:f>
      </x:c>
      <x:c r="G261" s="52" t="str">
        <x:f>IF($A261="","",IFERROR(VLOOKUP($B261,Setup!$A$7:$H$23,5,FALSE),""))</x:f>
      </x:c>
      <x:c r="H261" s="60" t="str">
        <x:f>IF($A261="","",IFERROR(VLOOKUP($B261,Setup!$A$7:$H$23,6,FALSE),""))</x:f>
      </x:c>
      <x:c r="I261" s="60" t="str">
        <x:f>IF($A261="","",$C261*$H261)</x:f>
      </x:c>
      <x:c r="J261" s="60" t="str">
        <x:f>IF($A261="","",$E261-$I261)</x:f>
      </x:c>
      <x:c r="K261" s="66" t="str">
        <x:f>IF($A261="","",IFERROR(VLOOKUP($A261,Invoices!$A$7:$W$156,2,FALSE),""))</x:f>
      </x:c>
      <x:c r="L261" s="52" t="str">
        <x:f>IF($A261="","",IFERROR(VLOOKUP($A261,Invoices!$A$7:$W$156,3,FALSE),""))</x:f>
      </x:c>
      <x:c r="M261" s="52" t="str">
        <x:f>IF($A261="","",IFERROR(VLOOKUP($A261,Invoices!$A$7:$W$156,4,FALSE),""))</x:f>
      </x:c>
      <x:c r="N261" s="52" t="str">
        <x:f>IF($A261="","",IFERROR(VLOOKUP($A261,Invoices!$A$7:$W$156,5,FALSE),""))</x:f>
      </x:c>
      <x:c r="O261" s="52" t="str">
        <x:f>IF($A261="","",IF(OR($B261="",$C261&lt;=0,$D261&lt;0,$F261="",$K261="",COUNTIFS($A$7:$A$306,$A261,$B$7:$B$306,$B261)&gt;1),"REVIEW","OK"))</x:f>
      </x:c>
    </x:row>
    <x:row r="262">
      <x:c r="A262" s="46"/>
      <x:c r="B262" s="46"/>
      <x:c r="C262" s="68"/>
      <x:c r="D262" s="58"/>
      <x:c r="E262" s="60" t="str">
        <x:f>IF($A262="","",$C262*$D262)</x:f>
      </x:c>
      <x:c r="F262" s="104" t="str">
        <x:f>IF($A262="","",IFERROR(VLOOKUP($B262,Setup!$A$7:$H$23,2,FALSE),""))</x:f>
      </x:c>
      <x:c r="G262" s="52" t="str">
        <x:f>IF($A262="","",IFERROR(VLOOKUP($B262,Setup!$A$7:$H$23,5,FALSE),""))</x:f>
      </x:c>
      <x:c r="H262" s="60" t="str">
        <x:f>IF($A262="","",IFERROR(VLOOKUP($B262,Setup!$A$7:$H$23,6,FALSE),""))</x:f>
      </x:c>
      <x:c r="I262" s="60" t="str">
        <x:f>IF($A262="","",$C262*$H262)</x:f>
      </x:c>
      <x:c r="J262" s="60" t="str">
        <x:f>IF($A262="","",$E262-$I262)</x:f>
      </x:c>
      <x:c r="K262" s="66" t="str">
        <x:f>IF($A262="","",IFERROR(VLOOKUP($A262,Invoices!$A$7:$W$156,2,FALSE),""))</x:f>
      </x:c>
      <x:c r="L262" s="52" t="str">
        <x:f>IF($A262="","",IFERROR(VLOOKUP($A262,Invoices!$A$7:$W$156,3,FALSE),""))</x:f>
      </x:c>
      <x:c r="M262" s="52" t="str">
        <x:f>IF($A262="","",IFERROR(VLOOKUP($A262,Invoices!$A$7:$W$156,4,FALSE),""))</x:f>
      </x:c>
      <x:c r="N262" s="52" t="str">
        <x:f>IF($A262="","",IFERROR(VLOOKUP($A262,Invoices!$A$7:$W$156,5,FALSE),""))</x:f>
      </x:c>
      <x:c r="O262" s="52" t="str">
        <x:f>IF($A262="","",IF(OR($B262="",$C262&lt;=0,$D262&lt;0,$F262="",$K262="",COUNTIFS($A$7:$A$306,$A262,$B$7:$B$306,$B262)&gt;1),"REVIEW","OK"))</x:f>
      </x:c>
    </x:row>
    <x:row r="263">
      <x:c r="A263" s="46"/>
      <x:c r="B263" s="46"/>
      <x:c r="C263" s="68"/>
      <x:c r="D263" s="58"/>
      <x:c r="E263" s="60" t="str">
        <x:f>IF($A263="","",$C263*$D263)</x:f>
      </x:c>
      <x:c r="F263" s="104" t="str">
        <x:f>IF($A263="","",IFERROR(VLOOKUP($B263,Setup!$A$7:$H$23,2,FALSE),""))</x:f>
      </x:c>
      <x:c r="G263" s="52" t="str">
        <x:f>IF($A263="","",IFERROR(VLOOKUP($B263,Setup!$A$7:$H$23,5,FALSE),""))</x:f>
      </x:c>
      <x:c r="H263" s="60" t="str">
        <x:f>IF($A263="","",IFERROR(VLOOKUP($B263,Setup!$A$7:$H$23,6,FALSE),""))</x:f>
      </x:c>
      <x:c r="I263" s="60" t="str">
        <x:f>IF($A263="","",$C263*$H263)</x:f>
      </x:c>
      <x:c r="J263" s="60" t="str">
        <x:f>IF($A263="","",$E263-$I263)</x:f>
      </x:c>
      <x:c r="K263" s="66" t="str">
        <x:f>IF($A263="","",IFERROR(VLOOKUP($A263,Invoices!$A$7:$W$156,2,FALSE),""))</x:f>
      </x:c>
      <x:c r="L263" s="52" t="str">
        <x:f>IF($A263="","",IFERROR(VLOOKUP($A263,Invoices!$A$7:$W$156,3,FALSE),""))</x:f>
      </x:c>
      <x:c r="M263" s="52" t="str">
        <x:f>IF($A263="","",IFERROR(VLOOKUP($A263,Invoices!$A$7:$W$156,4,FALSE),""))</x:f>
      </x:c>
      <x:c r="N263" s="52" t="str">
        <x:f>IF($A263="","",IFERROR(VLOOKUP($A263,Invoices!$A$7:$W$156,5,FALSE),""))</x:f>
      </x:c>
      <x:c r="O263" s="52" t="str">
        <x:f>IF($A263="","",IF(OR($B263="",$C263&lt;=0,$D263&lt;0,$F263="",$K263="",COUNTIFS($A$7:$A$306,$A263,$B$7:$B$306,$B263)&gt;1),"REVIEW","OK"))</x:f>
      </x:c>
    </x:row>
    <x:row r="264">
      <x:c r="A264" s="46"/>
      <x:c r="B264" s="46"/>
      <x:c r="C264" s="68"/>
      <x:c r="D264" s="58"/>
      <x:c r="E264" s="60" t="str">
        <x:f>IF($A264="","",$C264*$D264)</x:f>
      </x:c>
      <x:c r="F264" s="104" t="str">
        <x:f>IF($A264="","",IFERROR(VLOOKUP($B264,Setup!$A$7:$H$23,2,FALSE),""))</x:f>
      </x:c>
      <x:c r="G264" s="52" t="str">
        <x:f>IF($A264="","",IFERROR(VLOOKUP($B264,Setup!$A$7:$H$23,5,FALSE),""))</x:f>
      </x:c>
      <x:c r="H264" s="60" t="str">
        <x:f>IF($A264="","",IFERROR(VLOOKUP($B264,Setup!$A$7:$H$23,6,FALSE),""))</x:f>
      </x:c>
      <x:c r="I264" s="60" t="str">
        <x:f>IF($A264="","",$C264*$H264)</x:f>
      </x:c>
      <x:c r="J264" s="60" t="str">
        <x:f>IF($A264="","",$E264-$I264)</x:f>
      </x:c>
      <x:c r="K264" s="66" t="str">
        <x:f>IF($A264="","",IFERROR(VLOOKUP($A264,Invoices!$A$7:$W$156,2,FALSE),""))</x:f>
      </x:c>
      <x:c r="L264" s="52" t="str">
        <x:f>IF($A264="","",IFERROR(VLOOKUP($A264,Invoices!$A$7:$W$156,3,FALSE),""))</x:f>
      </x:c>
      <x:c r="M264" s="52" t="str">
        <x:f>IF($A264="","",IFERROR(VLOOKUP($A264,Invoices!$A$7:$W$156,4,FALSE),""))</x:f>
      </x:c>
      <x:c r="N264" s="52" t="str">
        <x:f>IF($A264="","",IFERROR(VLOOKUP($A264,Invoices!$A$7:$W$156,5,FALSE),""))</x:f>
      </x:c>
      <x:c r="O264" s="52" t="str">
        <x:f>IF($A264="","",IF(OR($B264="",$C264&lt;=0,$D264&lt;0,$F264="",$K264="",COUNTIFS($A$7:$A$306,$A264,$B$7:$B$306,$B264)&gt;1),"REVIEW","OK"))</x:f>
      </x:c>
    </x:row>
    <x:row r="265">
      <x:c r="A265" s="46"/>
      <x:c r="B265" s="46"/>
      <x:c r="C265" s="68"/>
      <x:c r="D265" s="58"/>
      <x:c r="E265" s="60" t="str">
        <x:f>IF($A265="","",$C265*$D265)</x:f>
      </x:c>
      <x:c r="F265" s="104" t="str">
        <x:f>IF($A265="","",IFERROR(VLOOKUP($B265,Setup!$A$7:$H$23,2,FALSE),""))</x:f>
      </x:c>
      <x:c r="G265" s="52" t="str">
        <x:f>IF($A265="","",IFERROR(VLOOKUP($B265,Setup!$A$7:$H$23,5,FALSE),""))</x:f>
      </x:c>
      <x:c r="H265" s="60" t="str">
        <x:f>IF($A265="","",IFERROR(VLOOKUP($B265,Setup!$A$7:$H$23,6,FALSE),""))</x:f>
      </x:c>
      <x:c r="I265" s="60" t="str">
        <x:f>IF($A265="","",$C265*$H265)</x:f>
      </x:c>
      <x:c r="J265" s="60" t="str">
        <x:f>IF($A265="","",$E265-$I265)</x:f>
      </x:c>
      <x:c r="K265" s="66" t="str">
        <x:f>IF($A265="","",IFERROR(VLOOKUP($A265,Invoices!$A$7:$W$156,2,FALSE),""))</x:f>
      </x:c>
      <x:c r="L265" s="52" t="str">
        <x:f>IF($A265="","",IFERROR(VLOOKUP($A265,Invoices!$A$7:$W$156,3,FALSE),""))</x:f>
      </x:c>
      <x:c r="M265" s="52" t="str">
        <x:f>IF($A265="","",IFERROR(VLOOKUP($A265,Invoices!$A$7:$W$156,4,FALSE),""))</x:f>
      </x:c>
      <x:c r="N265" s="52" t="str">
        <x:f>IF($A265="","",IFERROR(VLOOKUP($A265,Invoices!$A$7:$W$156,5,FALSE),""))</x:f>
      </x:c>
      <x:c r="O265" s="52" t="str">
        <x:f>IF($A265="","",IF(OR($B265="",$C265&lt;=0,$D265&lt;0,$F265="",$K265="",COUNTIFS($A$7:$A$306,$A265,$B$7:$B$306,$B265)&gt;1),"REVIEW","OK"))</x:f>
      </x:c>
    </x:row>
    <x:row r="266">
      <x:c r="A266" s="46"/>
      <x:c r="B266" s="46"/>
      <x:c r="C266" s="68"/>
      <x:c r="D266" s="58"/>
      <x:c r="E266" s="60" t="str">
        <x:f>IF($A266="","",$C266*$D266)</x:f>
      </x:c>
      <x:c r="F266" s="104" t="str">
        <x:f>IF($A266="","",IFERROR(VLOOKUP($B266,Setup!$A$7:$H$23,2,FALSE),""))</x:f>
      </x:c>
      <x:c r="G266" s="52" t="str">
        <x:f>IF($A266="","",IFERROR(VLOOKUP($B266,Setup!$A$7:$H$23,5,FALSE),""))</x:f>
      </x:c>
      <x:c r="H266" s="60" t="str">
        <x:f>IF($A266="","",IFERROR(VLOOKUP($B266,Setup!$A$7:$H$23,6,FALSE),""))</x:f>
      </x:c>
      <x:c r="I266" s="60" t="str">
        <x:f>IF($A266="","",$C266*$H266)</x:f>
      </x:c>
      <x:c r="J266" s="60" t="str">
        <x:f>IF($A266="","",$E266-$I266)</x:f>
      </x:c>
      <x:c r="K266" s="66" t="str">
        <x:f>IF($A266="","",IFERROR(VLOOKUP($A266,Invoices!$A$7:$W$156,2,FALSE),""))</x:f>
      </x:c>
      <x:c r="L266" s="52" t="str">
        <x:f>IF($A266="","",IFERROR(VLOOKUP($A266,Invoices!$A$7:$W$156,3,FALSE),""))</x:f>
      </x:c>
      <x:c r="M266" s="52" t="str">
        <x:f>IF($A266="","",IFERROR(VLOOKUP($A266,Invoices!$A$7:$W$156,4,FALSE),""))</x:f>
      </x:c>
      <x:c r="N266" s="52" t="str">
        <x:f>IF($A266="","",IFERROR(VLOOKUP($A266,Invoices!$A$7:$W$156,5,FALSE),""))</x:f>
      </x:c>
      <x:c r="O266" s="52" t="str">
        <x:f>IF($A266="","",IF(OR($B266="",$C266&lt;=0,$D266&lt;0,$F266="",$K266="",COUNTIFS($A$7:$A$306,$A266,$B$7:$B$306,$B266)&gt;1),"REVIEW","OK"))</x:f>
      </x:c>
    </x:row>
    <x:row r="267">
      <x:c r="A267" s="46"/>
      <x:c r="B267" s="46"/>
      <x:c r="C267" s="68"/>
      <x:c r="D267" s="58"/>
      <x:c r="E267" s="60" t="str">
        <x:f>IF($A267="","",$C267*$D267)</x:f>
      </x:c>
      <x:c r="F267" s="104" t="str">
        <x:f>IF($A267="","",IFERROR(VLOOKUP($B267,Setup!$A$7:$H$23,2,FALSE),""))</x:f>
      </x:c>
      <x:c r="G267" s="52" t="str">
        <x:f>IF($A267="","",IFERROR(VLOOKUP($B267,Setup!$A$7:$H$23,5,FALSE),""))</x:f>
      </x:c>
      <x:c r="H267" s="60" t="str">
        <x:f>IF($A267="","",IFERROR(VLOOKUP($B267,Setup!$A$7:$H$23,6,FALSE),""))</x:f>
      </x:c>
      <x:c r="I267" s="60" t="str">
        <x:f>IF($A267="","",$C267*$H267)</x:f>
      </x:c>
      <x:c r="J267" s="60" t="str">
        <x:f>IF($A267="","",$E267-$I267)</x:f>
      </x:c>
      <x:c r="K267" s="66" t="str">
        <x:f>IF($A267="","",IFERROR(VLOOKUP($A267,Invoices!$A$7:$W$156,2,FALSE),""))</x:f>
      </x:c>
      <x:c r="L267" s="52" t="str">
        <x:f>IF($A267="","",IFERROR(VLOOKUP($A267,Invoices!$A$7:$W$156,3,FALSE),""))</x:f>
      </x:c>
      <x:c r="M267" s="52" t="str">
        <x:f>IF($A267="","",IFERROR(VLOOKUP($A267,Invoices!$A$7:$W$156,4,FALSE),""))</x:f>
      </x:c>
      <x:c r="N267" s="52" t="str">
        <x:f>IF($A267="","",IFERROR(VLOOKUP($A267,Invoices!$A$7:$W$156,5,FALSE),""))</x:f>
      </x:c>
      <x:c r="O267" s="52" t="str">
        <x:f>IF($A267="","",IF(OR($B267="",$C267&lt;=0,$D267&lt;0,$F267="",$K267="",COUNTIFS($A$7:$A$306,$A267,$B$7:$B$306,$B267)&gt;1),"REVIEW","OK"))</x:f>
      </x:c>
    </x:row>
    <x:row r="268">
      <x:c r="A268" s="46"/>
      <x:c r="B268" s="46"/>
      <x:c r="C268" s="68"/>
      <x:c r="D268" s="58"/>
      <x:c r="E268" s="60" t="str">
        <x:f>IF($A268="","",$C268*$D268)</x:f>
      </x:c>
      <x:c r="F268" s="104" t="str">
        <x:f>IF($A268="","",IFERROR(VLOOKUP($B268,Setup!$A$7:$H$23,2,FALSE),""))</x:f>
      </x:c>
      <x:c r="G268" s="52" t="str">
        <x:f>IF($A268="","",IFERROR(VLOOKUP($B268,Setup!$A$7:$H$23,5,FALSE),""))</x:f>
      </x:c>
      <x:c r="H268" s="60" t="str">
        <x:f>IF($A268="","",IFERROR(VLOOKUP($B268,Setup!$A$7:$H$23,6,FALSE),""))</x:f>
      </x:c>
      <x:c r="I268" s="60" t="str">
        <x:f>IF($A268="","",$C268*$H268)</x:f>
      </x:c>
      <x:c r="J268" s="60" t="str">
        <x:f>IF($A268="","",$E268-$I268)</x:f>
      </x:c>
      <x:c r="K268" s="66" t="str">
        <x:f>IF($A268="","",IFERROR(VLOOKUP($A268,Invoices!$A$7:$W$156,2,FALSE),""))</x:f>
      </x:c>
      <x:c r="L268" s="52" t="str">
        <x:f>IF($A268="","",IFERROR(VLOOKUP($A268,Invoices!$A$7:$W$156,3,FALSE),""))</x:f>
      </x:c>
      <x:c r="M268" s="52" t="str">
        <x:f>IF($A268="","",IFERROR(VLOOKUP($A268,Invoices!$A$7:$W$156,4,FALSE),""))</x:f>
      </x:c>
      <x:c r="N268" s="52" t="str">
        <x:f>IF($A268="","",IFERROR(VLOOKUP($A268,Invoices!$A$7:$W$156,5,FALSE),""))</x:f>
      </x:c>
      <x:c r="O268" s="52" t="str">
        <x:f>IF($A268="","",IF(OR($B268="",$C268&lt;=0,$D268&lt;0,$F268="",$K268="",COUNTIFS($A$7:$A$306,$A268,$B$7:$B$306,$B268)&gt;1),"REVIEW","OK"))</x:f>
      </x:c>
    </x:row>
    <x:row r="269">
      <x:c r="A269" s="46"/>
      <x:c r="B269" s="46"/>
      <x:c r="C269" s="68"/>
      <x:c r="D269" s="58"/>
      <x:c r="E269" s="60" t="str">
        <x:f>IF($A269="","",$C269*$D269)</x:f>
      </x:c>
      <x:c r="F269" s="104" t="str">
        <x:f>IF($A269="","",IFERROR(VLOOKUP($B269,Setup!$A$7:$H$23,2,FALSE),""))</x:f>
      </x:c>
      <x:c r="G269" s="52" t="str">
        <x:f>IF($A269="","",IFERROR(VLOOKUP($B269,Setup!$A$7:$H$23,5,FALSE),""))</x:f>
      </x:c>
      <x:c r="H269" s="60" t="str">
        <x:f>IF($A269="","",IFERROR(VLOOKUP($B269,Setup!$A$7:$H$23,6,FALSE),""))</x:f>
      </x:c>
      <x:c r="I269" s="60" t="str">
        <x:f>IF($A269="","",$C269*$H269)</x:f>
      </x:c>
      <x:c r="J269" s="60" t="str">
        <x:f>IF($A269="","",$E269-$I269)</x:f>
      </x:c>
      <x:c r="K269" s="66" t="str">
        <x:f>IF($A269="","",IFERROR(VLOOKUP($A269,Invoices!$A$7:$W$156,2,FALSE),""))</x:f>
      </x:c>
      <x:c r="L269" s="52" t="str">
        <x:f>IF($A269="","",IFERROR(VLOOKUP($A269,Invoices!$A$7:$W$156,3,FALSE),""))</x:f>
      </x:c>
      <x:c r="M269" s="52" t="str">
        <x:f>IF($A269="","",IFERROR(VLOOKUP($A269,Invoices!$A$7:$W$156,4,FALSE),""))</x:f>
      </x:c>
      <x:c r="N269" s="52" t="str">
        <x:f>IF($A269="","",IFERROR(VLOOKUP($A269,Invoices!$A$7:$W$156,5,FALSE),""))</x:f>
      </x:c>
      <x:c r="O269" s="52" t="str">
        <x:f>IF($A269="","",IF(OR($B269="",$C269&lt;=0,$D269&lt;0,$F269="",$K269="",COUNTIFS($A$7:$A$306,$A269,$B$7:$B$306,$B269)&gt;1),"REVIEW","OK"))</x:f>
      </x:c>
    </x:row>
    <x:row r="270">
      <x:c r="A270" s="46"/>
      <x:c r="B270" s="46"/>
      <x:c r="C270" s="68"/>
      <x:c r="D270" s="58"/>
      <x:c r="E270" s="60" t="str">
        <x:f>IF($A270="","",$C270*$D270)</x:f>
      </x:c>
      <x:c r="F270" s="104" t="str">
        <x:f>IF($A270="","",IFERROR(VLOOKUP($B270,Setup!$A$7:$H$23,2,FALSE),""))</x:f>
      </x:c>
      <x:c r="G270" s="52" t="str">
        <x:f>IF($A270="","",IFERROR(VLOOKUP($B270,Setup!$A$7:$H$23,5,FALSE),""))</x:f>
      </x:c>
      <x:c r="H270" s="60" t="str">
        <x:f>IF($A270="","",IFERROR(VLOOKUP($B270,Setup!$A$7:$H$23,6,FALSE),""))</x:f>
      </x:c>
      <x:c r="I270" s="60" t="str">
        <x:f>IF($A270="","",$C270*$H270)</x:f>
      </x:c>
      <x:c r="J270" s="60" t="str">
        <x:f>IF($A270="","",$E270-$I270)</x:f>
      </x:c>
      <x:c r="K270" s="66" t="str">
        <x:f>IF($A270="","",IFERROR(VLOOKUP($A270,Invoices!$A$7:$W$156,2,FALSE),""))</x:f>
      </x:c>
      <x:c r="L270" s="52" t="str">
        <x:f>IF($A270="","",IFERROR(VLOOKUP($A270,Invoices!$A$7:$W$156,3,FALSE),""))</x:f>
      </x:c>
      <x:c r="M270" s="52" t="str">
        <x:f>IF($A270="","",IFERROR(VLOOKUP($A270,Invoices!$A$7:$W$156,4,FALSE),""))</x:f>
      </x:c>
      <x:c r="N270" s="52" t="str">
        <x:f>IF($A270="","",IFERROR(VLOOKUP($A270,Invoices!$A$7:$W$156,5,FALSE),""))</x:f>
      </x:c>
      <x:c r="O270" s="52" t="str">
        <x:f>IF($A270="","",IF(OR($B270="",$C270&lt;=0,$D270&lt;0,$F270="",$K270="",COUNTIFS($A$7:$A$306,$A270,$B$7:$B$306,$B270)&gt;1),"REVIEW","OK"))</x:f>
      </x:c>
    </x:row>
    <x:row r="271">
      <x:c r="A271" s="46"/>
      <x:c r="B271" s="46"/>
      <x:c r="C271" s="68"/>
      <x:c r="D271" s="58"/>
      <x:c r="E271" s="60" t="str">
        <x:f>IF($A271="","",$C271*$D271)</x:f>
      </x:c>
      <x:c r="F271" s="104" t="str">
        <x:f>IF($A271="","",IFERROR(VLOOKUP($B271,Setup!$A$7:$H$23,2,FALSE),""))</x:f>
      </x:c>
      <x:c r="G271" s="52" t="str">
        <x:f>IF($A271="","",IFERROR(VLOOKUP($B271,Setup!$A$7:$H$23,5,FALSE),""))</x:f>
      </x:c>
      <x:c r="H271" s="60" t="str">
        <x:f>IF($A271="","",IFERROR(VLOOKUP($B271,Setup!$A$7:$H$23,6,FALSE),""))</x:f>
      </x:c>
      <x:c r="I271" s="60" t="str">
        <x:f>IF($A271="","",$C271*$H271)</x:f>
      </x:c>
      <x:c r="J271" s="60" t="str">
        <x:f>IF($A271="","",$E271-$I271)</x:f>
      </x:c>
      <x:c r="K271" s="66" t="str">
        <x:f>IF($A271="","",IFERROR(VLOOKUP($A271,Invoices!$A$7:$W$156,2,FALSE),""))</x:f>
      </x:c>
      <x:c r="L271" s="52" t="str">
        <x:f>IF($A271="","",IFERROR(VLOOKUP($A271,Invoices!$A$7:$W$156,3,FALSE),""))</x:f>
      </x:c>
      <x:c r="M271" s="52" t="str">
        <x:f>IF($A271="","",IFERROR(VLOOKUP($A271,Invoices!$A$7:$W$156,4,FALSE),""))</x:f>
      </x:c>
      <x:c r="N271" s="52" t="str">
        <x:f>IF($A271="","",IFERROR(VLOOKUP($A271,Invoices!$A$7:$W$156,5,FALSE),""))</x:f>
      </x:c>
      <x:c r="O271" s="52" t="str">
        <x:f>IF($A271="","",IF(OR($B271="",$C271&lt;=0,$D271&lt;0,$F271="",$K271="",COUNTIFS($A$7:$A$306,$A271,$B$7:$B$306,$B271)&gt;1),"REVIEW","OK"))</x:f>
      </x:c>
    </x:row>
    <x:row r="272">
      <x:c r="A272" s="46"/>
      <x:c r="B272" s="46"/>
      <x:c r="C272" s="68"/>
      <x:c r="D272" s="58"/>
      <x:c r="E272" s="60" t="str">
        <x:f>IF($A272="","",$C272*$D272)</x:f>
      </x:c>
      <x:c r="F272" s="104" t="str">
        <x:f>IF($A272="","",IFERROR(VLOOKUP($B272,Setup!$A$7:$H$23,2,FALSE),""))</x:f>
      </x:c>
      <x:c r="G272" s="52" t="str">
        <x:f>IF($A272="","",IFERROR(VLOOKUP($B272,Setup!$A$7:$H$23,5,FALSE),""))</x:f>
      </x:c>
      <x:c r="H272" s="60" t="str">
        <x:f>IF($A272="","",IFERROR(VLOOKUP($B272,Setup!$A$7:$H$23,6,FALSE),""))</x:f>
      </x:c>
      <x:c r="I272" s="60" t="str">
        <x:f>IF($A272="","",$C272*$H272)</x:f>
      </x:c>
      <x:c r="J272" s="60" t="str">
        <x:f>IF($A272="","",$E272-$I272)</x:f>
      </x:c>
      <x:c r="K272" s="66" t="str">
        <x:f>IF($A272="","",IFERROR(VLOOKUP($A272,Invoices!$A$7:$W$156,2,FALSE),""))</x:f>
      </x:c>
      <x:c r="L272" s="52" t="str">
        <x:f>IF($A272="","",IFERROR(VLOOKUP($A272,Invoices!$A$7:$W$156,3,FALSE),""))</x:f>
      </x:c>
      <x:c r="M272" s="52" t="str">
        <x:f>IF($A272="","",IFERROR(VLOOKUP($A272,Invoices!$A$7:$W$156,4,FALSE),""))</x:f>
      </x:c>
      <x:c r="N272" s="52" t="str">
        <x:f>IF($A272="","",IFERROR(VLOOKUP($A272,Invoices!$A$7:$W$156,5,FALSE),""))</x:f>
      </x:c>
      <x:c r="O272" s="52" t="str">
        <x:f>IF($A272="","",IF(OR($B272="",$C272&lt;=0,$D272&lt;0,$F272="",$K272="",COUNTIFS($A$7:$A$306,$A272,$B$7:$B$306,$B272)&gt;1),"REVIEW","OK"))</x:f>
      </x:c>
    </x:row>
    <x:row r="273">
      <x:c r="A273" s="46"/>
      <x:c r="B273" s="46"/>
      <x:c r="C273" s="68"/>
      <x:c r="D273" s="58"/>
      <x:c r="E273" s="60" t="str">
        <x:f>IF($A273="","",$C273*$D273)</x:f>
      </x:c>
      <x:c r="F273" s="104" t="str">
        <x:f>IF($A273="","",IFERROR(VLOOKUP($B273,Setup!$A$7:$H$23,2,FALSE),""))</x:f>
      </x:c>
      <x:c r="G273" s="52" t="str">
        <x:f>IF($A273="","",IFERROR(VLOOKUP($B273,Setup!$A$7:$H$23,5,FALSE),""))</x:f>
      </x:c>
      <x:c r="H273" s="60" t="str">
        <x:f>IF($A273="","",IFERROR(VLOOKUP($B273,Setup!$A$7:$H$23,6,FALSE),""))</x:f>
      </x:c>
      <x:c r="I273" s="60" t="str">
        <x:f>IF($A273="","",$C273*$H273)</x:f>
      </x:c>
      <x:c r="J273" s="60" t="str">
        <x:f>IF($A273="","",$E273-$I273)</x:f>
      </x:c>
      <x:c r="K273" s="66" t="str">
        <x:f>IF($A273="","",IFERROR(VLOOKUP($A273,Invoices!$A$7:$W$156,2,FALSE),""))</x:f>
      </x:c>
      <x:c r="L273" s="52" t="str">
        <x:f>IF($A273="","",IFERROR(VLOOKUP($A273,Invoices!$A$7:$W$156,3,FALSE),""))</x:f>
      </x:c>
      <x:c r="M273" s="52" t="str">
        <x:f>IF($A273="","",IFERROR(VLOOKUP($A273,Invoices!$A$7:$W$156,4,FALSE),""))</x:f>
      </x:c>
      <x:c r="N273" s="52" t="str">
        <x:f>IF($A273="","",IFERROR(VLOOKUP($A273,Invoices!$A$7:$W$156,5,FALSE),""))</x:f>
      </x:c>
      <x:c r="O273" s="52" t="str">
        <x:f>IF($A273="","",IF(OR($B273="",$C273&lt;=0,$D273&lt;0,$F273="",$K273="",COUNTIFS($A$7:$A$306,$A273,$B$7:$B$306,$B273)&gt;1),"REVIEW","OK"))</x:f>
      </x:c>
    </x:row>
    <x:row r="274">
      <x:c r="A274" s="46"/>
      <x:c r="B274" s="46"/>
      <x:c r="C274" s="68"/>
      <x:c r="D274" s="58"/>
      <x:c r="E274" s="60" t="str">
        <x:f>IF($A274="","",$C274*$D274)</x:f>
      </x:c>
      <x:c r="F274" s="104" t="str">
        <x:f>IF($A274="","",IFERROR(VLOOKUP($B274,Setup!$A$7:$H$23,2,FALSE),""))</x:f>
      </x:c>
      <x:c r="G274" s="52" t="str">
        <x:f>IF($A274="","",IFERROR(VLOOKUP($B274,Setup!$A$7:$H$23,5,FALSE),""))</x:f>
      </x:c>
      <x:c r="H274" s="60" t="str">
        <x:f>IF($A274="","",IFERROR(VLOOKUP($B274,Setup!$A$7:$H$23,6,FALSE),""))</x:f>
      </x:c>
      <x:c r="I274" s="60" t="str">
        <x:f>IF($A274="","",$C274*$H274)</x:f>
      </x:c>
      <x:c r="J274" s="60" t="str">
        <x:f>IF($A274="","",$E274-$I274)</x:f>
      </x:c>
      <x:c r="K274" s="66" t="str">
        <x:f>IF($A274="","",IFERROR(VLOOKUP($A274,Invoices!$A$7:$W$156,2,FALSE),""))</x:f>
      </x:c>
      <x:c r="L274" s="52" t="str">
        <x:f>IF($A274="","",IFERROR(VLOOKUP($A274,Invoices!$A$7:$W$156,3,FALSE),""))</x:f>
      </x:c>
      <x:c r="M274" s="52" t="str">
        <x:f>IF($A274="","",IFERROR(VLOOKUP($A274,Invoices!$A$7:$W$156,4,FALSE),""))</x:f>
      </x:c>
      <x:c r="N274" s="52" t="str">
        <x:f>IF($A274="","",IFERROR(VLOOKUP($A274,Invoices!$A$7:$W$156,5,FALSE),""))</x:f>
      </x:c>
      <x:c r="O274" s="52" t="str">
        <x:f>IF($A274="","",IF(OR($B274="",$C274&lt;=0,$D274&lt;0,$F274="",$K274="",COUNTIFS($A$7:$A$306,$A274,$B$7:$B$306,$B274)&gt;1),"REVIEW","OK"))</x:f>
      </x:c>
    </x:row>
    <x:row r="275">
      <x:c r="A275" s="46"/>
      <x:c r="B275" s="46"/>
      <x:c r="C275" s="68"/>
      <x:c r="D275" s="58"/>
      <x:c r="E275" s="60" t="str">
        <x:f>IF($A275="","",$C275*$D275)</x:f>
      </x:c>
      <x:c r="F275" s="104" t="str">
        <x:f>IF($A275="","",IFERROR(VLOOKUP($B275,Setup!$A$7:$H$23,2,FALSE),""))</x:f>
      </x:c>
      <x:c r="G275" s="52" t="str">
        <x:f>IF($A275="","",IFERROR(VLOOKUP($B275,Setup!$A$7:$H$23,5,FALSE),""))</x:f>
      </x:c>
      <x:c r="H275" s="60" t="str">
        <x:f>IF($A275="","",IFERROR(VLOOKUP($B275,Setup!$A$7:$H$23,6,FALSE),""))</x:f>
      </x:c>
      <x:c r="I275" s="60" t="str">
        <x:f>IF($A275="","",$C275*$H275)</x:f>
      </x:c>
      <x:c r="J275" s="60" t="str">
        <x:f>IF($A275="","",$E275-$I275)</x:f>
      </x:c>
      <x:c r="K275" s="66" t="str">
        <x:f>IF($A275="","",IFERROR(VLOOKUP($A275,Invoices!$A$7:$W$156,2,FALSE),""))</x:f>
      </x:c>
      <x:c r="L275" s="52" t="str">
        <x:f>IF($A275="","",IFERROR(VLOOKUP($A275,Invoices!$A$7:$W$156,3,FALSE),""))</x:f>
      </x:c>
      <x:c r="M275" s="52" t="str">
        <x:f>IF($A275="","",IFERROR(VLOOKUP($A275,Invoices!$A$7:$W$156,4,FALSE),""))</x:f>
      </x:c>
      <x:c r="N275" s="52" t="str">
        <x:f>IF($A275="","",IFERROR(VLOOKUP($A275,Invoices!$A$7:$W$156,5,FALSE),""))</x:f>
      </x:c>
      <x:c r="O275" s="52" t="str">
        <x:f>IF($A275="","",IF(OR($B275="",$C275&lt;=0,$D275&lt;0,$F275="",$K275="",COUNTIFS($A$7:$A$306,$A275,$B$7:$B$306,$B275)&gt;1),"REVIEW","OK"))</x:f>
      </x:c>
    </x:row>
    <x:row r="276">
      <x:c r="A276" s="46"/>
      <x:c r="B276" s="46"/>
      <x:c r="C276" s="68"/>
      <x:c r="D276" s="58"/>
      <x:c r="E276" s="60" t="str">
        <x:f>IF($A276="","",$C276*$D276)</x:f>
      </x:c>
      <x:c r="F276" s="104" t="str">
        <x:f>IF($A276="","",IFERROR(VLOOKUP($B276,Setup!$A$7:$H$23,2,FALSE),""))</x:f>
      </x:c>
      <x:c r="G276" s="52" t="str">
        <x:f>IF($A276="","",IFERROR(VLOOKUP($B276,Setup!$A$7:$H$23,5,FALSE),""))</x:f>
      </x:c>
      <x:c r="H276" s="60" t="str">
        <x:f>IF($A276="","",IFERROR(VLOOKUP($B276,Setup!$A$7:$H$23,6,FALSE),""))</x:f>
      </x:c>
      <x:c r="I276" s="60" t="str">
        <x:f>IF($A276="","",$C276*$H276)</x:f>
      </x:c>
      <x:c r="J276" s="60" t="str">
        <x:f>IF($A276="","",$E276-$I276)</x:f>
      </x:c>
      <x:c r="K276" s="66" t="str">
        <x:f>IF($A276="","",IFERROR(VLOOKUP($A276,Invoices!$A$7:$W$156,2,FALSE),""))</x:f>
      </x:c>
      <x:c r="L276" s="52" t="str">
        <x:f>IF($A276="","",IFERROR(VLOOKUP($A276,Invoices!$A$7:$W$156,3,FALSE),""))</x:f>
      </x:c>
      <x:c r="M276" s="52" t="str">
        <x:f>IF($A276="","",IFERROR(VLOOKUP($A276,Invoices!$A$7:$W$156,4,FALSE),""))</x:f>
      </x:c>
      <x:c r="N276" s="52" t="str">
        <x:f>IF($A276="","",IFERROR(VLOOKUP($A276,Invoices!$A$7:$W$156,5,FALSE),""))</x:f>
      </x:c>
      <x:c r="O276" s="52" t="str">
        <x:f>IF($A276="","",IF(OR($B276="",$C276&lt;=0,$D276&lt;0,$F276="",$K276="",COUNTIFS($A$7:$A$306,$A276,$B$7:$B$306,$B276)&gt;1),"REVIEW","OK"))</x:f>
      </x:c>
    </x:row>
    <x:row r="277">
      <x:c r="A277" s="46"/>
      <x:c r="B277" s="46"/>
      <x:c r="C277" s="68"/>
      <x:c r="D277" s="58"/>
      <x:c r="E277" s="60" t="str">
        <x:f>IF($A277="","",$C277*$D277)</x:f>
      </x:c>
      <x:c r="F277" s="104" t="str">
        <x:f>IF($A277="","",IFERROR(VLOOKUP($B277,Setup!$A$7:$H$23,2,FALSE),""))</x:f>
      </x:c>
      <x:c r="G277" s="52" t="str">
        <x:f>IF($A277="","",IFERROR(VLOOKUP($B277,Setup!$A$7:$H$23,5,FALSE),""))</x:f>
      </x:c>
      <x:c r="H277" s="60" t="str">
        <x:f>IF($A277="","",IFERROR(VLOOKUP($B277,Setup!$A$7:$H$23,6,FALSE),""))</x:f>
      </x:c>
      <x:c r="I277" s="60" t="str">
        <x:f>IF($A277="","",$C277*$H277)</x:f>
      </x:c>
      <x:c r="J277" s="60" t="str">
        <x:f>IF($A277="","",$E277-$I277)</x:f>
      </x:c>
      <x:c r="K277" s="66" t="str">
        <x:f>IF($A277="","",IFERROR(VLOOKUP($A277,Invoices!$A$7:$W$156,2,FALSE),""))</x:f>
      </x:c>
      <x:c r="L277" s="52" t="str">
        <x:f>IF($A277="","",IFERROR(VLOOKUP($A277,Invoices!$A$7:$W$156,3,FALSE),""))</x:f>
      </x:c>
      <x:c r="M277" s="52" t="str">
        <x:f>IF($A277="","",IFERROR(VLOOKUP($A277,Invoices!$A$7:$W$156,4,FALSE),""))</x:f>
      </x:c>
      <x:c r="N277" s="52" t="str">
        <x:f>IF($A277="","",IFERROR(VLOOKUP($A277,Invoices!$A$7:$W$156,5,FALSE),""))</x:f>
      </x:c>
      <x:c r="O277" s="52" t="str">
        <x:f>IF($A277="","",IF(OR($B277="",$C277&lt;=0,$D277&lt;0,$F277="",$K277="",COUNTIFS($A$7:$A$306,$A277,$B$7:$B$306,$B277)&gt;1),"REVIEW","OK"))</x:f>
      </x:c>
    </x:row>
    <x:row r="278">
      <x:c r="A278" s="46"/>
      <x:c r="B278" s="46"/>
      <x:c r="C278" s="68"/>
      <x:c r="D278" s="58"/>
      <x:c r="E278" s="60" t="str">
        <x:f>IF($A278="","",$C278*$D278)</x:f>
      </x:c>
      <x:c r="F278" s="104" t="str">
        <x:f>IF($A278="","",IFERROR(VLOOKUP($B278,Setup!$A$7:$H$23,2,FALSE),""))</x:f>
      </x:c>
      <x:c r="G278" s="52" t="str">
        <x:f>IF($A278="","",IFERROR(VLOOKUP($B278,Setup!$A$7:$H$23,5,FALSE),""))</x:f>
      </x:c>
      <x:c r="H278" s="60" t="str">
        <x:f>IF($A278="","",IFERROR(VLOOKUP($B278,Setup!$A$7:$H$23,6,FALSE),""))</x:f>
      </x:c>
      <x:c r="I278" s="60" t="str">
        <x:f>IF($A278="","",$C278*$H278)</x:f>
      </x:c>
      <x:c r="J278" s="60" t="str">
        <x:f>IF($A278="","",$E278-$I278)</x:f>
      </x:c>
      <x:c r="K278" s="66" t="str">
        <x:f>IF($A278="","",IFERROR(VLOOKUP($A278,Invoices!$A$7:$W$156,2,FALSE),""))</x:f>
      </x:c>
      <x:c r="L278" s="52" t="str">
        <x:f>IF($A278="","",IFERROR(VLOOKUP($A278,Invoices!$A$7:$W$156,3,FALSE),""))</x:f>
      </x:c>
      <x:c r="M278" s="52" t="str">
        <x:f>IF($A278="","",IFERROR(VLOOKUP($A278,Invoices!$A$7:$W$156,4,FALSE),""))</x:f>
      </x:c>
      <x:c r="N278" s="52" t="str">
        <x:f>IF($A278="","",IFERROR(VLOOKUP($A278,Invoices!$A$7:$W$156,5,FALSE),""))</x:f>
      </x:c>
      <x:c r="O278" s="52" t="str">
        <x:f>IF($A278="","",IF(OR($B278="",$C278&lt;=0,$D278&lt;0,$F278="",$K278="",COUNTIFS($A$7:$A$306,$A278,$B$7:$B$306,$B278)&gt;1),"REVIEW","OK"))</x:f>
      </x:c>
    </x:row>
    <x:row r="279">
      <x:c r="A279" s="46"/>
      <x:c r="B279" s="46"/>
      <x:c r="C279" s="68"/>
      <x:c r="D279" s="58"/>
      <x:c r="E279" s="60" t="str">
        <x:f>IF($A279="","",$C279*$D279)</x:f>
      </x:c>
      <x:c r="F279" s="104" t="str">
        <x:f>IF($A279="","",IFERROR(VLOOKUP($B279,Setup!$A$7:$H$23,2,FALSE),""))</x:f>
      </x:c>
      <x:c r="G279" s="52" t="str">
        <x:f>IF($A279="","",IFERROR(VLOOKUP($B279,Setup!$A$7:$H$23,5,FALSE),""))</x:f>
      </x:c>
      <x:c r="H279" s="60" t="str">
        <x:f>IF($A279="","",IFERROR(VLOOKUP($B279,Setup!$A$7:$H$23,6,FALSE),""))</x:f>
      </x:c>
      <x:c r="I279" s="60" t="str">
        <x:f>IF($A279="","",$C279*$H279)</x:f>
      </x:c>
      <x:c r="J279" s="60" t="str">
        <x:f>IF($A279="","",$E279-$I279)</x:f>
      </x:c>
      <x:c r="K279" s="66" t="str">
        <x:f>IF($A279="","",IFERROR(VLOOKUP($A279,Invoices!$A$7:$W$156,2,FALSE),""))</x:f>
      </x:c>
      <x:c r="L279" s="52" t="str">
        <x:f>IF($A279="","",IFERROR(VLOOKUP($A279,Invoices!$A$7:$W$156,3,FALSE),""))</x:f>
      </x:c>
      <x:c r="M279" s="52" t="str">
        <x:f>IF($A279="","",IFERROR(VLOOKUP($A279,Invoices!$A$7:$W$156,4,FALSE),""))</x:f>
      </x:c>
      <x:c r="N279" s="52" t="str">
        <x:f>IF($A279="","",IFERROR(VLOOKUP($A279,Invoices!$A$7:$W$156,5,FALSE),""))</x:f>
      </x:c>
      <x:c r="O279" s="52" t="str">
        <x:f>IF($A279="","",IF(OR($B279="",$C279&lt;=0,$D279&lt;0,$F279="",$K279="",COUNTIFS($A$7:$A$306,$A279,$B$7:$B$306,$B279)&gt;1),"REVIEW","OK"))</x:f>
      </x:c>
    </x:row>
    <x:row r="280">
      <x:c r="A280" s="46"/>
      <x:c r="B280" s="46"/>
      <x:c r="C280" s="68"/>
      <x:c r="D280" s="58"/>
      <x:c r="E280" s="60" t="str">
        <x:f>IF($A280="","",$C280*$D280)</x:f>
      </x:c>
      <x:c r="F280" s="104" t="str">
        <x:f>IF($A280="","",IFERROR(VLOOKUP($B280,Setup!$A$7:$H$23,2,FALSE),""))</x:f>
      </x:c>
      <x:c r="G280" s="52" t="str">
        <x:f>IF($A280="","",IFERROR(VLOOKUP($B280,Setup!$A$7:$H$23,5,FALSE),""))</x:f>
      </x:c>
      <x:c r="H280" s="60" t="str">
        <x:f>IF($A280="","",IFERROR(VLOOKUP($B280,Setup!$A$7:$H$23,6,FALSE),""))</x:f>
      </x:c>
      <x:c r="I280" s="60" t="str">
        <x:f>IF($A280="","",$C280*$H280)</x:f>
      </x:c>
      <x:c r="J280" s="60" t="str">
        <x:f>IF($A280="","",$E280-$I280)</x:f>
      </x:c>
      <x:c r="K280" s="66" t="str">
        <x:f>IF($A280="","",IFERROR(VLOOKUP($A280,Invoices!$A$7:$W$156,2,FALSE),""))</x:f>
      </x:c>
      <x:c r="L280" s="52" t="str">
        <x:f>IF($A280="","",IFERROR(VLOOKUP($A280,Invoices!$A$7:$W$156,3,FALSE),""))</x:f>
      </x:c>
      <x:c r="M280" s="52" t="str">
        <x:f>IF($A280="","",IFERROR(VLOOKUP($A280,Invoices!$A$7:$W$156,4,FALSE),""))</x:f>
      </x:c>
      <x:c r="N280" s="52" t="str">
        <x:f>IF($A280="","",IFERROR(VLOOKUP($A280,Invoices!$A$7:$W$156,5,FALSE),""))</x:f>
      </x:c>
      <x:c r="O280" s="52" t="str">
        <x:f>IF($A280="","",IF(OR($B280="",$C280&lt;=0,$D280&lt;0,$F280="",$K280="",COUNTIFS($A$7:$A$306,$A280,$B$7:$B$306,$B280)&gt;1),"REVIEW","OK"))</x:f>
      </x:c>
    </x:row>
    <x:row r="281">
      <x:c r="A281" s="46"/>
      <x:c r="B281" s="46"/>
      <x:c r="C281" s="68"/>
      <x:c r="D281" s="58"/>
      <x:c r="E281" s="60" t="str">
        <x:f>IF($A281="","",$C281*$D281)</x:f>
      </x:c>
      <x:c r="F281" s="104" t="str">
        <x:f>IF($A281="","",IFERROR(VLOOKUP($B281,Setup!$A$7:$H$23,2,FALSE),""))</x:f>
      </x:c>
      <x:c r="G281" s="52" t="str">
        <x:f>IF($A281="","",IFERROR(VLOOKUP($B281,Setup!$A$7:$H$23,5,FALSE),""))</x:f>
      </x:c>
      <x:c r="H281" s="60" t="str">
        <x:f>IF($A281="","",IFERROR(VLOOKUP($B281,Setup!$A$7:$H$23,6,FALSE),""))</x:f>
      </x:c>
      <x:c r="I281" s="60" t="str">
        <x:f>IF($A281="","",$C281*$H281)</x:f>
      </x:c>
      <x:c r="J281" s="60" t="str">
        <x:f>IF($A281="","",$E281-$I281)</x:f>
      </x:c>
      <x:c r="K281" s="66" t="str">
        <x:f>IF($A281="","",IFERROR(VLOOKUP($A281,Invoices!$A$7:$W$156,2,FALSE),""))</x:f>
      </x:c>
      <x:c r="L281" s="52" t="str">
        <x:f>IF($A281="","",IFERROR(VLOOKUP($A281,Invoices!$A$7:$W$156,3,FALSE),""))</x:f>
      </x:c>
      <x:c r="M281" s="52" t="str">
        <x:f>IF($A281="","",IFERROR(VLOOKUP($A281,Invoices!$A$7:$W$156,4,FALSE),""))</x:f>
      </x:c>
      <x:c r="N281" s="52" t="str">
        <x:f>IF($A281="","",IFERROR(VLOOKUP($A281,Invoices!$A$7:$W$156,5,FALSE),""))</x:f>
      </x:c>
      <x:c r="O281" s="52" t="str">
        <x:f>IF($A281="","",IF(OR($B281="",$C281&lt;=0,$D281&lt;0,$F281="",$K281="",COUNTIFS($A$7:$A$306,$A281,$B$7:$B$306,$B281)&gt;1),"REVIEW","OK"))</x:f>
      </x:c>
    </x:row>
    <x:row r="282">
      <x:c r="A282" s="46"/>
      <x:c r="B282" s="46"/>
      <x:c r="C282" s="68"/>
      <x:c r="D282" s="58"/>
      <x:c r="E282" s="60" t="str">
        <x:f>IF($A282="","",$C282*$D282)</x:f>
      </x:c>
      <x:c r="F282" s="104" t="str">
        <x:f>IF($A282="","",IFERROR(VLOOKUP($B282,Setup!$A$7:$H$23,2,FALSE),""))</x:f>
      </x:c>
      <x:c r="G282" s="52" t="str">
        <x:f>IF($A282="","",IFERROR(VLOOKUP($B282,Setup!$A$7:$H$23,5,FALSE),""))</x:f>
      </x:c>
      <x:c r="H282" s="60" t="str">
        <x:f>IF($A282="","",IFERROR(VLOOKUP($B282,Setup!$A$7:$H$23,6,FALSE),""))</x:f>
      </x:c>
      <x:c r="I282" s="60" t="str">
        <x:f>IF($A282="","",$C282*$H282)</x:f>
      </x:c>
      <x:c r="J282" s="60" t="str">
        <x:f>IF($A282="","",$E282-$I282)</x:f>
      </x:c>
      <x:c r="K282" s="66" t="str">
        <x:f>IF($A282="","",IFERROR(VLOOKUP($A282,Invoices!$A$7:$W$156,2,FALSE),""))</x:f>
      </x:c>
      <x:c r="L282" s="52" t="str">
        <x:f>IF($A282="","",IFERROR(VLOOKUP($A282,Invoices!$A$7:$W$156,3,FALSE),""))</x:f>
      </x:c>
      <x:c r="M282" s="52" t="str">
        <x:f>IF($A282="","",IFERROR(VLOOKUP($A282,Invoices!$A$7:$W$156,4,FALSE),""))</x:f>
      </x:c>
      <x:c r="N282" s="52" t="str">
        <x:f>IF($A282="","",IFERROR(VLOOKUP($A282,Invoices!$A$7:$W$156,5,FALSE),""))</x:f>
      </x:c>
      <x:c r="O282" s="52" t="str">
        <x:f>IF($A282="","",IF(OR($B282="",$C282&lt;=0,$D282&lt;0,$F282="",$K282="",COUNTIFS($A$7:$A$306,$A282,$B$7:$B$306,$B282)&gt;1),"REVIEW","OK"))</x:f>
      </x:c>
    </x:row>
    <x:row r="283">
      <x:c r="A283" s="46"/>
      <x:c r="B283" s="46"/>
      <x:c r="C283" s="68"/>
      <x:c r="D283" s="58"/>
      <x:c r="E283" s="60" t="str">
        <x:f>IF($A283="","",$C283*$D283)</x:f>
      </x:c>
      <x:c r="F283" s="104" t="str">
        <x:f>IF($A283="","",IFERROR(VLOOKUP($B283,Setup!$A$7:$H$23,2,FALSE),""))</x:f>
      </x:c>
      <x:c r="G283" s="52" t="str">
        <x:f>IF($A283="","",IFERROR(VLOOKUP($B283,Setup!$A$7:$H$23,5,FALSE),""))</x:f>
      </x:c>
      <x:c r="H283" s="60" t="str">
        <x:f>IF($A283="","",IFERROR(VLOOKUP($B283,Setup!$A$7:$H$23,6,FALSE),""))</x:f>
      </x:c>
      <x:c r="I283" s="60" t="str">
        <x:f>IF($A283="","",$C283*$H283)</x:f>
      </x:c>
      <x:c r="J283" s="60" t="str">
        <x:f>IF($A283="","",$E283-$I283)</x:f>
      </x:c>
      <x:c r="K283" s="66" t="str">
        <x:f>IF($A283="","",IFERROR(VLOOKUP($A283,Invoices!$A$7:$W$156,2,FALSE),""))</x:f>
      </x:c>
      <x:c r="L283" s="52" t="str">
        <x:f>IF($A283="","",IFERROR(VLOOKUP($A283,Invoices!$A$7:$W$156,3,FALSE),""))</x:f>
      </x:c>
      <x:c r="M283" s="52" t="str">
        <x:f>IF($A283="","",IFERROR(VLOOKUP($A283,Invoices!$A$7:$W$156,4,FALSE),""))</x:f>
      </x:c>
      <x:c r="N283" s="52" t="str">
        <x:f>IF($A283="","",IFERROR(VLOOKUP($A283,Invoices!$A$7:$W$156,5,FALSE),""))</x:f>
      </x:c>
      <x:c r="O283" s="52" t="str">
        <x:f>IF($A283="","",IF(OR($B283="",$C283&lt;=0,$D283&lt;0,$F283="",$K283="",COUNTIFS($A$7:$A$306,$A283,$B$7:$B$306,$B283)&gt;1),"REVIEW","OK"))</x:f>
      </x:c>
    </x:row>
    <x:row r="284">
      <x:c r="A284" s="46"/>
      <x:c r="B284" s="46"/>
      <x:c r="C284" s="68"/>
      <x:c r="D284" s="58"/>
      <x:c r="E284" s="60" t="str">
        <x:f>IF($A284="","",$C284*$D284)</x:f>
      </x:c>
      <x:c r="F284" s="104" t="str">
        <x:f>IF($A284="","",IFERROR(VLOOKUP($B284,Setup!$A$7:$H$23,2,FALSE),""))</x:f>
      </x:c>
      <x:c r="G284" s="52" t="str">
        <x:f>IF($A284="","",IFERROR(VLOOKUP($B284,Setup!$A$7:$H$23,5,FALSE),""))</x:f>
      </x:c>
      <x:c r="H284" s="60" t="str">
        <x:f>IF($A284="","",IFERROR(VLOOKUP($B284,Setup!$A$7:$H$23,6,FALSE),""))</x:f>
      </x:c>
      <x:c r="I284" s="60" t="str">
        <x:f>IF($A284="","",$C284*$H284)</x:f>
      </x:c>
      <x:c r="J284" s="60" t="str">
        <x:f>IF($A284="","",$E284-$I284)</x:f>
      </x:c>
      <x:c r="K284" s="66" t="str">
        <x:f>IF($A284="","",IFERROR(VLOOKUP($A284,Invoices!$A$7:$W$156,2,FALSE),""))</x:f>
      </x:c>
      <x:c r="L284" s="52" t="str">
        <x:f>IF($A284="","",IFERROR(VLOOKUP($A284,Invoices!$A$7:$W$156,3,FALSE),""))</x:f>
      </x:c>
      <x:c r="M284" s="52" t="str">
        <x:f>IF($A284="","",IFERROR(VLOOKUP($A284,Invoices!$A$7:$W$156,4,FALSE),""))</x:f>
      </x:c>
      <x:c r="N284" s="52" t="str">
        <x:f>IF($A284="","",IFERROR(VLOOKUP($A284,Invoices!$A$7:$W$156,5,FALSE),""))</x:f>
      </x:c>
      <x:c r="O284" s="52" t="str">
        <x:f>IF($A284="","",IF(OR($B284="",$C284&lt;=0,$D284&lt;0,$F284="",$K284="",COUNTIFS($A$7:$A$306,$A284,$B$7:$B$306,$B284)&gt;1),"REVIEW","OK"))</x:f>
      </x:c>
    </x:row>
    <x:row r="285">
      <x:c r="A285" s="46"/>
      <x:c r="B285" s="46"/>
      <x:c r="C285" s="68"/>
      <x:c r="D285" s="58"/>
      <x:c r="E285" s="60" t="str">
        <x:f>IF($A285="","",$C285*$D285)</x:f>
      </x:c>
      <x:c r="F285" s="104" t="str">
        <x:f>IF($A285="","",IFERROR(VLOOKUP($B285,Setup!$A$7:$H$23,2,FALSE),""))</x:f>
      </x:c>
      <x:c r="G285" s="52" t="str">
        <x:f>IF($A285="","",IFERROR(VLOOKUP($B285,Setup!$A$7:$H$23,5,FALSE),""))</x:f>
      </x:c>
      <x:c r="H285" s="60" t="str">
        <x:f>IF($A285="","",IFERROR(VLOOKUP($B285,Setup!$A$7:$H$23,6,FALSE),""))</x:f>
      </x:c>
      <x:c r="I285" s="60" t="str">
        <x:f>IF($A285="","",$C285*$H285)</x:f>
      </x:c>
      <x:c r="J285" s="60" t="str">
        <x:f>IF($A285="","",$E285-$I285)</x:f>
      </x:c>
      <x:c r="K285" s="66" t="str">
        <x:f>IF($A285="","",IFERROR(VLOOKUP($A285,Invoices!$A$7:$W$156,2,FALSE),""))</x:f>
      </x:c>
      <x:c r="L285" s="52" t="str">
        <x:f>IF($A285="","",IFERROR(VLOOKUP($A285,Invoices!$A$7:$W$156,3,FALSE),""))</x:f>
      </x:c>
      <x:c r="M285" s="52" t="str">
        <x:f>IF($A285="","",IFERROR(VLOOKUP($A285,Invoices!$A$7:$W$156,4,FALSE),""))</x:f>
      </x:c>
      <x:c r="N285" s="52" t="str">
        <x:f>IF($A285="","",IFERROR(VLOOKUP($A285,Invoices!$A$7:$W$156,5,FALSE),""))</x:f>
      </x:c>
      <x:c r="O285" s="52" t="str">
        <x:f>IF($A285="","",IF(OR($B285="",$C285&lt;=0,$D285&lt;0,$F285="",$K285="",COUNTIFS($A$7:$A$306,$A285,$B$7:$B$306,$B285)&gt;1),"REVIEW","OK"))</x:f>
      </x:c>
    </x:row>
    <x:row r="286">
      <x:c r="A286" s="46"/>
      <x:c r="B286" s="46"/>
      <x:c r="C286" s="68"/>
      <x:c r="D286" s="58"/>
      <x:c r="E286" s="60" t="str">
        <x:f>IF($A286="","",$C286*$D286)</x:f>
      </x:c>
      <x:c r="F286" s="104" t="str">
        <x:f>IF($A286="","",IFERROR(VLOOKUP($B286,Setup!$A$7:$H$23,2,FALSE),""))</x:f>
      </x:c>
      <x:c r="G286" s="52" t="str">
        <x:f>IF($A286="","",IFERROR(VLOOKUP($B286,Setup!$A$7:$H$23,5,FALSE),""))</x:f>
      </x:c>
      <x:c r="H286" s="60" t="str">
        <x:f>IF($A286="","",IFERROR(VLOOKUP($B286,Setup!$A$7:$H$23,6,FALSE),""))</x:f>
      </x:c>
      <x:c r="I286" s="60" t="str">
        <x:f>IF($A286="","",$C286*$H286)</x:f>
      </x:c>
      <x:c r="J286" s="60" t="str">
        <x:f>IF($A286="","",$E286-$I286)</x:f>
      </x:c>
      <x:c r="K286" s="66" t="str">
        <x:f>IF($A286="","",IFERROR(VLOOKUP($A286,Invoices!$A$7:$W$156,2,FALSE),""))</x:f>
      </x:c>
      <x:c r="L286" s="52" t="str">
        <x:f>IF($A286="","",IFERROR(VLOOKUP($A286,Invoices!$A$7:$W$156,3,FALSE),""))</x:f>
      </x:c>
      <x:c r="M286" s="52" t="str">
        <x:f>IF($A286="","",IFERROR(VLOOKUP($A286,Invoices!$A$7:$W$156,4,FALSE),""))</x:f>
      </x:c>
      <x:c r="N286" s="52" t="str">
        <x:f>IF($A286="","",IFERROR(VLOOKUP($A286,Invoices!$A$7:$W$156,5,FALSE),""))</x:f>
      </x:c>
      <x:c r="O286" s="52" t="str">
        <x:f>IF($A286="","",IF(OR($B286="",$C286&lt;=0,$D286&lt;0,$F286="",$K286="",COUNTIFS($A$7:$A$306,$A286,$B$7:$B$306,$B286)&gt;1),"REVIEW","OK"))</x:f>
      </x:c>
    </x:row>
    <x:row r="287">
      <x:c r="A287" s="46"/>
      <x:c r="B287" s="46"/>
      <x:c r="C287" s="68"/>
      <x:c r="D287" s="58"/>
      <x:c r="E287" s="60" t="str">
        <x:f>IF($A287="","",$C287*$D287)</x:f>
      </x:c>
      <x:c r="F287" s="104" t="str">
        <x:f>IF($A287="","",IFERROR(VLOOKUP($B287,Setup!$A$7:$H$23,2,FALSE),""))</x:f>
      </x:c>
      <x:c r="G287" s="52" t="str">
        <x:f>IF($A287="","",IFERROR(VLOOKUP($B287,Setup!$A$7:$H$23,5,FALSE),""))</x:f>
      </x:c>
      <x:c r="H287" s="60" t="str">
        <x:f>IF($A287="","",IFERROR(VLOOKUP($B287,Setup!$A$7:$H$23,6,FALSE),""))</x:f>
      </x:c>
      <x:c r="I287" s="60" t="str">
        <x:f>IF($A287="","",$C287*$H287)</x:f>
      </x:c>
      <x:c r="J287" s="60" t="str">
        <x:f>IF($A287="","",$E287-$I287)</x:f>
      </x:c>
      <x:c r="K287" s="66" t="str">
        <x:f>IF($A287="","",IFERROR(VLOOKUP($A287,Invoices!$A$7:$W$156,2,FALSE),""))</x:f>
      </x:c>
      <x:c r="L287" s="52" t="str">
        <x:f>IF($A287="","",IFERROR(VLOOKUP($A287,Invoices!$A$7:$W$156,3,FALSE),""))</x:f>
      </x:c>
      <x:c r="M287" s="52" t="str">
        <x:f>IF($A287="","",IFERROR(VLOOKUP($A287,Invoices!$A$7:$W$156,4,FALSE),""))</x:f>
      </x:c>
      <x:c r="N287" s="52" t="str">
        <x:f>IF($A287="","",IFERROR(VLOOKUP($A287,Invoices!$A$7:$W$156,5,FALSE),""))</x:f>
      </x:c>
      <x:c r="O287" s="52" t="str">
        <x:f>IF($A287="","",IF(OR($B287="",$C287&lt;=0,$D287&lt;0,$F287="",$K287="",COUNTIFS($A$7:$A$306,$A287,$B$7:$B$306,$B287)&gt;1),"REVIEW","OK"))</x:f>
      </x:c>
    </x:row>
    <x:row r="288">
      <x:c r="A288" s="46"/>
      <x:c r="B288" s="46"/>
      <x:c r="C288" s="68"/>
      <x:c r="D288" s="58"/>
      <x:c r="E288" s="60" t="str">
        <x:f>IF($A288="","",$C288*$D288)</x:f>
      </x:c>
      <x:c r="F288" s="104" t="str">
        <x:f>IF($A288="","",IFERROR(VLOOKUP($B288,Setup!$A$7:$H$23,2,FALSE),""))</x:f>
      </x:c>
      <x:c r="G288" s="52" t="str">
        <x:f>IF($A288="","",IFERROR(VLOOKUP($B288,Setup!$A$7:$H$23,5,FALSE),""))</x:f>
      </x:c>
      <x:c r="H288" s="60" t="str">
        <x:f>IF($A288="","",IFERROR(VLOOKUP($B288,Setup!$A$7:$H$23,6,FALSE),""))</x:f>
      </x:c>
      <x:c r="I288" s="60" t="str">
        <x:f>IF($A288="","",$C288*$H288)</x:f>
      </x:c>
      <x:c r="J288" s="60" t="str">
        <x:f>IF($A288="","",$E288-$I288)</x:f>
      </x:c>
      <x:c r="K288" s="66" t="str">
        <x:f>IF($A288="","",IFERROR(VLOOKUP($A288,Invoices!$A$7:$W$156,2,FALSE),""))</x:f>
      </x:c>
      <x:c r="L288" s="52" t="str">
        <x:f>IF($A288="","",IFERROR(VLOOKUP($A288,Invoices!$A$7:$W$156,3,FALSE),""))</x:f>
      </x:c>
      <x:c r="M288" s="52" t="str">
        <x:f>IF($A288="","",IFERROR(VLOOKUP($A288,Invoices!$A$7:$W$156,4,FALSE),""))</x:f>
      </x:c>
      <x:c r="N288" s="52" t="str">
        <x:f>IF($A288="","",IFERROR(VLOOKUP($A288,Invoices!$A$7:$W$156,5,FALSE),""))</x:f>
      </x:c>
      <x:c r="O288" s="52" t="str">
        <x:f>IF($A288="","",IF(OR($B288="",$C288&lt;=0,$D288&lt;0,$F288="",$K288="",COUNTIFS($A$7:$A$306,$A288,$B$7:$B$306,$B288)&gt;1),"REVIEW","OK"))</x:f>
      </x:c>
    </x:row>
    <x:row r="289">
      <x:c r="A289" s="46"/>
      <x:c r="B289" s="46"/>
      <x:c r="C289" s="68"/>
      <x:c r="D289" s="58"/>
      <x:c r="E289" s="60" t="str">
        <x:f>IF($A289="","",$C289*$D289)</x:f>
      </x:c>
      <x:c r="F289" s="104" t="str">
        <x:f>IF($A289="","",IFERROR(VLOOKUP($B289,Setup!$A$7:$H$23,2,FALSE),""))</x:f>
      </x:c>
      <x:c r="G289" s="52" t="str">
        <x:f>IF($A289="","",IFERROR(VLOOKUP($B289,Setup!$A$7:$H$23,5,FALSE),""))</x:f>
      </x:c>
      <x:c r="H289" s="60" t="str">
        <x:f>IF($A289="","",IFERROR(VLOOKUP($B289,Setup!$A$7:$H$23,6,FALSE),""))</x:f>
      </x:c>
      <x:c r="I289" s="60" t="str">
        <x:f>IF($A289="","",$C289*$H289)</x:f>
      </x:c>
      <x:c r="J289" s="60" t="str">
        <x:f>IF($A289="","",$E289-$I289)</x:f>
      </x:c>
      <x:c r="K289" s="66" t="str">
        <x:f>IF($A289="","",IFERROR(VLOOKUP($A289,Invoices!$A$7:$W$156,2,FALSE),""))</x:f>
      </x:c>
      <x:c r="L289" s="52" t="str">
        <x:f>IF($A289="","",IFERROR(VLOOKUP($A289,Invoices!$A$7:$W$156,3,FALSE),""))</x:f>
      </x:c>
      <x:c r="M289" s="52" t="str">
        <x:f>IF($A289="","",IFERROR(VLOOKUP($A289,Invoices!$A$7:$W$156,4,FALSE),""))</x:f>
      </x:c>
      <x:c r="N289" s="52" t="str">
        <x:f>IF($A289="","",IFERROR(VLOOKUP($A289,Invoices!$A$7:$W$156,5,FALSE),""))</x:f>
      </x:c>
      <x:c r="O289" s="52" t="str">
        <x:f>IF($A289="","",IF(OR($B289="",$C289&lt;=0,$D289&lt;0,$F289="",$K289="",COUNTIFS($A$7:$A$306,$A289,$B$7:$B$306,$B289)&gt;1),"REVIEW","OK"))</x:f>
      </x:c>
    </x:row>
    <x:row r="290">
      <x:c r="A290" s="46"/>
      <x:c r="B290" s="46"/>
      <x:c r="C290" s="68"/>
      <x:c r="D290" s="58"/>
      <x:c r="E290" s="60" t="str">
        <x:f>IF($A290="","",$C290*$D290)</x:f>
      </x:c>
      <x:c r="F290" s="104" t="str">
        <x:f>IF($A290="","",IFERROR(VLOOKUP($B290,Setup!$A$7:$H$23,2,FALSE),""))</x:f>
      </x:c>
      <x:c r="G290" s="52" t="str">
        <x:f>IF($A290="","",IFERROR(VLOOKUP($B290,Setup!$A$7:$H$23,5,FALSE),""))</x:f>
      </x:c>
      <x:c r="H290" s="60" t="str">
        <x:f>IF($A290="","",IFERROR(VLOOKUP($B290,Setup!$A$7:$H$23,6,FALSE),""))</x:f>
      </x:c>
      <x:c r="I290" s="60" t="str">
        <x:f>IF($A290="","",$C290*$H290)</x:f>
      </x:c>
      <x:c r="J290" s="60" t="str">
        <x:f>IF($A290="","",$E290-$I290)</x:f>
      </x:c>
      <x:c r="K290" s="66" t="str">
        <x:f>IF($A290="","",IFERROR(VLOOKUP($A290,Invoices!$A$7:$W$156,2,FALSE),""))</x:f>
      </x:c>
      <x:c r="L290" s="52" t="str">
        <x:f>IF($A290="","",IFERROR(VLOOKUP($A290,Invoices!$A$7:$W$156,3,FALSE),""))</x:f>
      </x:c>
      <x:c r="M290" s="52" t="str">
        <x:f>IF($A290="","",IFERROR(VLOOKUP($A290,Invoices!$A$7:$W$156,4,FALSE),""))</x:f>
      </x:c>
      <x:c r="N290" s="52" t="str">
        <x:f>IF($A290="","",IFERROR(VLOOKUP($A290,Invoices!$A$7:$W$156,5,FALSE),""))</x:f>
      </x:c>
      <x:c r="O290" s="52" t="str">
        <x:f>IF($A290="","",IF(OR($B290="",$C290&lt;=0,$D290&lt;0,$F290="",$K290="",COUNTIFS($A$7:$A$306,$A290,$B$7:$B$306,$B290)&gt;1),"REVIEW","OK"))</x:f>
      </x:c>
    </x:row>
    <x:row r="291">
      <x:c r="A291" s="46"/>
      <x:c r="B291" s="46"/>
      <x:c r="C291" s="68"/>
      <x:c r="D291" s="58"/>
      <x:c r="E291" s="60" t="str">
        <x:f>IF($A291="","",$C291*$D291)</x:f>
      </x:c>
      <x:c r="F291" s="104" t="str">
        <x:f>IF($A291="","",IFERROR(VLOOKUP($B291,Setup!$A$7:$H$23,2,FALSE),""))</x:f>
      </x:c>
      <x:c r="G291" s="52" t="str">
        <x:f>IF($A291="","",IFERROR(VLOOKUP($B291,Setup!$A$7:$H$23,5,FALSE),""))</x:f>
      </x:c>
      <x:c r="H291" s="60" t="str">
        <x:f>IF($A291="","",IFERROR(VLOOKUP($B291,Setup!$A$7:$H$23,6,FALSE),""))</x:f>
      </x:c>
      <x:c r="I291" s="60" t="str">
        <x:f>IF($A291="","",$C291*$H291)</x:f>
      </x:c>
      <x:c r="J291" s="60" t="str">
        <x:f>IF($A291="","",$E291-$I291)</x:f>
      </x:c>
      <x:c r="K291" s="66" t="str">
        <x:f>IF($A291="","",IFERROR(VLOOKUP($A291,Invoices!$A$7:$W$156,2,FALSE),""))</x:f>
      </x:c>
      <x:c r="L291" s="52" t="str">
        <x:f>IF($A291="","",IFERROR(VLOOKUP($A291,Invoices!$A$7:$W$156,3,FALSE),""))</x:f>
      </x:c>
      <x:c r="M291" s="52" t="str">
        <x:f>IF($A291="","",IFERROR(VLOOKUP($A291,Invoices!$A$7:$W$156,4,FALSE),""))</x:f>
      </x:c>
      <x:c r="N291" s="52" t="str">
        <x:f>IF($A291="","",IFERROR(VLOOKUP($A291,Invoices!$A$7:$W$156,5,FALSE),""))</x:f>
      </x:c>
      <x:c r="O291" s="52" t="str">
        <x:f>IF($A291="","",IF(OR($B291="",$C291&lt;=0,$D291&lt;0,$F291="",$K291="",COUNTIFS($A$7:$A$306,$A291,$B$7:$B$306,$B291)&gt;1),"REVIEW","OK"))</x:f>
      </x:c>
    </x:row>
    <x:row r="292">
      <x:c r="A292" s="46"/>
      <x:c r="B292" s="46"/>
      <x:c r="C292" s="68"/>
      <x:c r="D292" s="58"/>
      <x:c r="E292" s="60" t="str">
        <x:f>IF($A292="","",$C292*$D292)</x:f>
      </x:c>
      <x:c r="F292" s="104" t="str">
        <x:f>IF($A292="","",IFERROR(VLOOKUP($B292,Setup!$A$7:$H$23,2,FALSE),""))</x:f>
      </x:c>
      <x:c r="G292" s="52" t="str">
        <x:f>IF($A292="","",IFERROR(VLOOKUP($B292,Setup!$A$7:$H$23,5,FALSE),""))</x:f>
      </x:c>
      <x:c r="H292" s="60" t="str">
        <x:f>IF($A292="","",IFERROR(VLOOKUP($B292,Setup!$A$7:$H$23,6,FALSE),""))</x:f>
      </x:c>
      <x:c r="I292" s="60" t="str">
        <x:f>IF($A292="","",$C292*$H292)</x:f>
      </x:c>
      <x:c r="J292" s="60" t="str">
        <x:f>IF($A292="","",$E292-$I292)</x:f>
      </x:c>
      <x:c r="K292" s="66" t="str">
        <x:f>IF($A292="","",IFERROR(VLOOKUP($A292,Invoices!$A$7:$W$156,2,FALSE),""))</x:f>
      </x:c>
      <x:c r="L292" s="52" t="str">
        <x:f>IF($A292="","",IFERROR(VLOOKUP($A292,Invoices!$A$7:$W$156,3,FALSE),""))</x:f>
      </x:c>
      <x:c r="M292" s="52" t="str">
        <x:f>IF($A292="","",IFERROR(VLOOKUP($A292,Invoices!$A$7:$W$156,4,FALSE),""))</x:f>
      </x:c>
      <x:c r="N292" s="52" t="str">
        <x:f>IF($A292="","",IFERROR(VLOOKUP($A292,Invoices!$A$7:$W$156,5,FALSE),""))</x:f>
      </x:c>
      <x:c r="O292" s="52" t="str">
        <x:f>IF($A292="","",IF(OR($B292="",$C292&lt;=0,$D292&lt;0,$F292="",$K292="",COUNTIFS($A$7:$A$306,$A292,$B$7:$B$306,$B292)&gt;1),"REVIEW","OK"))</x:f>
      </x:c>
    </x:row>
    <x:row r="293">
      <x:c r="A293" s="46"/>
      <x:c r="B293" s="46"/>
      <x:c r="C293" s="68"/>
      <x:c r="D293" s="58"/>
      <x:c r="E293" s="60" t="str">
        <x:f>IF($A293="","",$C293*$D293)</x:f>
      </x:c>
      <x:c r="F293" s="104" t="str">
        <x:f>IF($A293="","",IFERROR(VLOOKUP($B293,Setup!$A$7:$H$23,2,FALSE),""))</x:f>
      </x:c>
      <x:c r="G293" s="52" t="str">
        <x:f>IF($A293="","",IFERROR(VLOOKUP($B293,Setup!$A$7:$H$23,5,FALSE),""))</x:f>
      </x:c>
      <x:c r="H293" s="60" t="str">
        <x:f>IF($A293="","",IFERROR(VLOOKUP($B293,Setup!$A$7:$H$23,6,FALSE),""))</x:f>
      </x:c>
      <x:c r="I293" s="60" t="str">
        <x:f>IF($A293="","",$C293*$H293)</x:f>
      </x:c>
      <x:c r="J293" s="60" t="str">
        <x:f>IF($A293="","",$E293-$I293)</x:f>
      </x:c>
      <x:c r="K293" s="66" t="str">
        <x:f>IF($A293="","",IFERROR(VLOOKUP($A293,Invoices!$A$7:$W$156,2,FALSE),""))</x:f>
      </x:c>
      <x:c r="L293" s="52" t="str">
        <x:f>IF($A293="","",IFERROR(VLOOKUP($A293,Invoices!$A$7:$W$156,3,FALSE),""))</x:f>
      </x:c>
      <x:c r="M293" s="52" t="str">
        <x:f>IF($A293="","",IFERROR(VLOOKUP($A293,Invoices!$A$7:$W$156,4,FALSE),""))</x:f>
      </x:c>
      <x:c r="N293" s="52" t="str">
        <x:f>IF($A293="","",IFERROR(VLOOKUP($A293,Invoices!$A$7:$W$156,5,FALSE),""))</x:f>
      </x:c>
      <x:c r="O293" s="52" t="str">
        <x:f>IF($A293="","",IF(OR($B293="",$C293&lt;=0,$D293&lt;0,$F293="",$K293="",COUNTIFS($A$7:$A$306,$A293,$B$7:$B$306,$B293)&gt;1),"REVIEW","OK"))</x:f>
      </x:c>
    </x:row>
    <x:row r="294">
      <x:c r="A294" s="46"/>
      <x:c r="B294" s="46"/>
      <x:c r="C294" s="68"/>
      <x:c r="D294" s="58"/>
      <x:c r="E294" s="60" t="str">
        <x:f>IF($A294="","",$C294*$D294)</x:f>
      </x:c>
      <x:c r="F294" s="104" t="str">
        <x:f>IF($A294="","",IFERROR(VLOOKUP($B294,Setup!$A$7:$H$23,2,FALSE),""))</x:f>
      </x:c>
      <x:c r="G294" s="52" t="str">
        <x:f>IF($A294="","",IFERROR(VLOOKUP($B294,Setup!$A$7:$H$23,5,FALSE),""))</x:f>
      </x:c>
      <x:c r="H294" s="60" t="str">
        <x:f>IF($A294="","",IFERROR(VLOOKUP($B294,Setup!$A$7:$H$23,6,FALSE),""))</x:f>
      </x:c>
      <x:c r="I294" s="60" t="str">
        <x:f>IF($A294="","",$C294*$H294)</x:f>
      </x:c>
      <x:c r="J294" s="60" t="str">
        <x:f>IF($A294="","",$E294-$I294)</x:f>
      </x:c>
      <x:c r="K294" s="66" t="str">
        <x:f>IF($A294="","",IFERROR(VLOOKUP($A294,Invoices!$A$7:$W$156,2,FALSE),""))</x:f>
      </x:c>
      <x:c r="L294" s="52" t="str">
        <x:f>IF($A294="","",IFERROR(VLOOKUP($A294,Invoices!$A$7:$W$156,3,FALSE),""))</x:f>
      </x:c>
      <x:c r="M294" s="52" t="str">
        <x:f>IF($A294="","",IFERROR(VLOOKUP($A294,Invoices!$A$7:$W$156,4,FALSE),""))</x:f>
      </x:c>
      <x:c r="N294" s="52" t="str">
        <x:f>IF($A294="","",IFERROR(VLOOKUP($A294,Invoices!$A$7:$W$156,5,FALSE),""))</x:f>
      </x:c>
      <x:c r="O294" s="52" t="str">
        <x:f>IF($A294="","",IF(OR($B294="",$C294&lt;=0,$D294&lt;0,$F294="",$K294="",COUNTIFS($A$7:$A$306,$A294,$B$7:$B$306,$B294)&gt;1),"REVIEW","OK"))</x:f>
      </x:c>
    </x:row>
    <x:row r="295">
      <x:c r="A295" s="46"/>
      <x:c r="B295" s="46"/>
      <x:c r="C295" s="68"/>
      <x:c r="D295" s="58"/>
      <x:c r="E295" s="60" t="str">
        <x:f>IF($A295="","",$C295*$D295)</x:f>
      </x:c>
      <x:c r="F295" s="104" t="str">
        <x:f>IF($A295="","",IFERROR(VLOOKUP($B295,Setup!$A$7:$H$23,2,FALSE),""))</x:f>
      </x:c>
      <x:c r="G295" s="52" t="str">
        <x:f>IF($A295="","",IFERROR(VLOOKUP($B295,Setup!$A$7:$H$23,5,FALSE),""))</x:f>
      </x:c>
      <x:c r="H295" s="60" t="str">
        <x:f>IF($A295="","",IFERROR(VLOOKUP($B295,Setup!$A$7:$H$23,6,FALSE),""))</x:f>
      </x:c>
      <x:c r="I295" s="60" t="str">
        <x:f>IF($A295="","",$C295*$H295)</x:f>
      </x:c>
      <x:c r="J295" s="60" t="str">
        <x:f>IF($A295="","",$E295-$I295)</x:f>
      </x:c>
      <x:c r="K295" s="66" t="str">
        <x:f>IF($A295="","",IFERROR(VLOOKUP($A295,Invoices!$A$7:$W$156,2,FALSE),""))</x:f>
      </x:c>
      <x:c r="L295" s="52" t="str">
        <x:f>IF($A295="","",IFERROR(VLOOKUP($A295,Invoices!$A$7:$W$156,3,FALSE),""))</x:f>
      </x:c>
      <x:c r="M295" s="52" t="str">
        <x:f>IF($A295="","",IFERROR(VLOOKUP($A295,Invoices!$A$7:$W$156,4,FALSE),""))</x:f>
      </x:c>
      <x:c r="N295" s="52" t="str">
        <x:f>IF($A295="","",IFERROR(VLOOKUP($A295,Invoices!$A$7:$W$156,5,FALSE),""))</x:f>
      </x:c>
      <x:c r="O295" s="52" t="str">
        <x:f>IF($A295="","",IF(OR($B295="",$C295&lt;=0,$D295&lt;0,$F295="",$K295="",COUNTIFS($A$7:$A$306,$A295,$B$7:$B$306,$B295)&gt;1),"REVIEW","OK"))</x:f>
      </x:c>
    </x:row>
    <x:row r="296">
      <x:c r="A296" s="46"/>
      <x:c r="B296" s="46"/>
      <x:c r="C296" s="68"/>
      <x:c r="D296" s="58"/>
      <x:c r="E296" s="60" t="str">
        <x:f>IF($A296="","",$C296*$D296)</x:f>
      </x:c>
      <x:c r="F296" s="104" t="str">
        <x:f>IF($A296="","",IFERROR(VLOOKUP($B296,Setup!$A$7:$H$23,2,FALSE),""))</x:f>
      </x:c>
      <x:c r="G296" s="52" t="str">
        <x:f>IF($A296="","",IFERROR(VLOOKUP($B296,Setup!$A$7:$H$23,5,FALSE),""))</x:f>
      </x:c>
      <x:c r="H296" s="60" t="str">
        <x:f>IF($A296="","",IFERROR(VLOOKUP($B296,Setup!$A$7:$H$23,6,FALSE),""))</x:f>
      </x:c>
      <x:c r="I296" s="60" t="str">
        <x:f>IF($A296="","",$C296*$H296)</x:f>
      </x:c>
      <x:c r="J296" s="60" t="str">
        <x:f>IF($A296="","",$E296-$I296)</x:f>
      </x:c>
      <x:c r="K296" s="66" t="str">
        <x:f>IF($A296="","",IFERROR(VLOOKUP($A296,Invoices!$A$7:$W$156,2,FALSE),""))</x:f>
      </x:c>
      <x:c r="L296" s="52" t="str">
        <x:f>IF($A296="","",IFERROR(VLOOKUP($A296,Invoices!$A$7:$W$156,3,FALSE),""))</x:f>
      </x:c>
      <x:c r="M296" s="52" t="str">
        <x:f>IF($A296="","",IFERROR(VLOOKUP($A296,Invoices!$A$7:$W$156,4,FALSE),""))</x:f>
      </x:c>
      <x:c r="N296" s="52" t="str">
        <x:f>IF($A296="","",IFERROR(VLOOKUP($A296,Invoices!$A$7:$W$156,5,FALSE),""))</x:f>
      </x:c>
      <x:c r="O296" s="52" t="str">
        <x:f>IF($A296="","",IF(OR($B296="",$C296&lt;=0,$D296&lt;0,$F296="",$K296="",COUNTIFS($A$7:$A$306,$A296,$B$7:$B$306,$B296)&gt;1),"REVIEW","OK"))</x:f>
      </x:c>
    </x:row>
    <x:row r="297">
      <x:c r="A297" s="46"/>
      <x:c r="B297" s="46"/>
      <x:c r="C297" s="68"/>
      <x:c r="D297" s="58"/>
      <x:c r="E297" s="60" t="str">
        <x:f>IF($A297="","",$C297*$D297)</x:f>
      </x:c>
      <x:c r="F297" s="104" t="str">
        <x:f>IF($A297="","",IFERROR(VLOOKUP($B297,Setup!$A$7:$H$23,2,FALSE),""))</x:f>
      </x:c>
      <x:c r="G297" s="52" t="str">
        <x:f>IF($A297="","",IFERROR(VLOOKUP($B297,Setup!$A$7:$H$23,5,FALSE),""))</x:f>
      </x:c>
      <x:c r="H297" s="60" t="str">
        <x:f>IF($A297="","",IFERROR(VLOOKUP($B297,Setup!$A$7:$H$23,6,FALSE),""))</x:f>
      </x:c>
      <x:c r="I297" s="60" t="str">
        <x:f>IF($A297="","",$C297*$H297)</x:f>
      </x:c>
      <x:c r="J297" s="60" t="str">
        <x:f>IF($A297="","",$E297-$I297)</x:f>
      </x:c>
      <x:c r="K297" s="66" t="str">
        <x:f>IF($A297="","",IFERROR(VLOOKUP($A297,Invoices!$A$7:$W$156,2,FALSE),""))</x:f>
      </x:c>
      <x:c r="L297" s="52" t="str">
        <x:f>IF($A297="","",IFERROR(VLOOKUP($A297,Invoices!$A$7:$W$156,3,FALSE),""))</x:f>
      </x:c>
      <x:c r="M297" s="52" t="str">
        <x:f>IF($A297="","",IFERROR(VLOOKUP($A297,Invoices!$A$7:$W$156,4,FALSE),""))</x:f>
      </x:c>
      <x:c r="N297" s="52" t="str">
        <x:f>IF($A297="","",IFERROR(VLOOKUP($A297,Invoices!$A$7:$W$156,5,FALSE),""))</x:f>
      </x:c>
      <x:c r="O297" s="52" t="str">
        <x:f>IF($A297="","",IF(OR($B297="",$C297&lt;=0,$D297&lt;0,$F297="",$K297="",COUNTIFS($A$7:$A$306,$A297,$B$7:$B$306,$B297)&gt;1),"REVIEW","OK"))</x:f>
      </x:c>
    </x:row>
    <x:row r="298">
      <x:c r="A298" s="46"/>
      <x:c r="B298" s="46"/>
      <x:c r="C298" s="68"/>
      <x:c r="D298" s="58"/>
      <x:c r="E298" s="60" t="str">
        <x:f>IF($A298="","",$C298*$D298)</x:f>
      </x:c>
      <x:c r="F298" s="104" t="str">
        <x:f>IF($A298="","",IFERROR(VLOOKUP($B298,Setup!$A$7:$H$23,2,FALSE),""))</x:f>
      </x:c>
      <x:c r="G298" s="52" t="str">
        <x:f>IF($A298="","",IFERROR(VLOOKUP($B298,Setup!$A$7:$H$23,5,FALSE),""))</x:f>
      </x:c>
      <x:c r="H298" s="60" t="str">
        <x:f>IF($A298="","",IFERROR(VLOOKUP($B298,Setup!$A$7:$H$23,6,FALSE),""))</x:f>
      </x:c>
      <x:c r="I298" s="60" t="str">
        <x:f>IF($A298="","",$C298*$H298)</x:f>
      </x:c>
      <x:c r="J298" s="60" t="str">
        <x:f>IF($A298="","",$E298-$I298)</x:f>
      </x:c>
      <x:c r="K298" s="66" t="str">
        <x:f>IF($A298="","",IFERROR(VLOOKUP($A298,Invoices!$A$7:$W$156,2,FALSE),""))</x:f>
      </x:c>
      <x:c r="L298" s="52" t="str">
        <x:f>IF($A298="","",IFERROR(VLOOKUP($A298,Invoices!$A$7:$W$156,3,FALSE),""))</x:f>
      </x:c>
      <x:c r="M298" s="52" t="str">
        <x:f>IF($A298="","",IFERROR(VLOOKUP($A298,Invoices!$A$7:$W$156,4,FALSE),""))</x:f>
      </x:c>
      <x:c r="N298" s="52" t="str">
        <x:f>IF($A298="","",IFERROR(VLOOKUP($A298,Invoices!$A$7:$W$156,5,FALSE),""))</x:f>
      </x:c>
      <x:c r="O298" s="52" t="str">
        <x:f>IF($A298="","",IF(OR($B298="",$C298&lt;=0,$D298&lt;0,$F298="",$K298="",COUNTIFS($A$7:$A$306,$A298,$B$7:$B$306,$B298)&gt;1),"REVIEW","OK"))</x:f>
      </x:c>
    </x:row>
    <x:row r="299">
      <x:c r="A299" s="46"/>
      <x:c r="B299" s="46"/>
      <x:c r="C299" s="68"/>
      <x:c r="D299" s="58"/>
      <x:c r="E299" s="60" t="str">
        <x:f>IF($A299="","",$C299*$D299)</x:f>
      </x:c>
      <x:c r="F299" s="104" t="str">
        <x:f>IF($A299="","",IFERROR(VLOOKUP($B299,Setup!$A$7:$H$23,2,FALSE),""))</x:f>
      </x:c>
      <x:c r="G299" s="52" t="str">
        <x:f>IF($A299="","",IFERROR(VLOOKUP($B299,Setup!$A$7:$H$23,5,FALSE),""))</x:f>
      </x:c>
      <x:c r="H299" s="60" t="str">
        <x:f>IF($A299="","",IFERROR(VLOOKUP($B299,Setup!$A$7:$H$23,6,FALSE),""))</x:f>
      </x:c>
      <x:c r="I299" s="60" t="str">
        <x:f>IF($A299="","",$C299*$H299)</x:f>
      </x:c>
      <x:c r="J299" s="60" t="str">
        <x:f>IF($A299="","",$E299-$I299)</x:f>
      </x:c>
      <x:c r="K299" s="66" t="str">
        <x:f>IF($A299="","",IFERROR(VLOOKUP($A299,Invoices!$A$7:$W$156,2,FALSE),""))</x:f>
      </x:c>
      <x:c r="L299" s="52" t="str">
        <x:f>IF($A299="","",IFERROR(VLOOKUP($A299,Invoices!$A$7:$W$156,3,FALSE),""))</x:f>
      </x:c>
      <x:c r="M299" s="52" t="str">
        <x:f>IF($A299="","",IFERROR(VLOOKUP($A299,Invoices!$A$7:$W$156,4,FALSE),""))</x:f>
      </x:c>
      <x:c r="N299" s="52" t="str">
        <x:f>IF($A299="","",IFERROR(VLOOKUP($A299,Invoices!$A$7:$W$156,5,FALSE),""))</x:f>
      </x:c>
      <x:c r="O299" s="52" t="str">
        <x:f>IF($A299="","",IF(OR($B299="",$C299&lt;=0,$D299&lt;0,$F299="",$K299="",COUNTIFS($A$7:$A$306,$A299,$B$7:$B$306,$B299)&gt;1),"REVIEW","OK"))</x:f>
      </x:c>
    </x:row>
    <x:row r="300">
      <x:c r="A300" s="46"/>
      <x:c r="B300" s="46"/>
      <x:c r="C300" s="68"/>
      <x:c r="D300" s="58"/>
      <x:c r="E300" s="60" t="str">
        <x:f>IF($A300="","",$C300*$D300)</x:f>
      </x:c>
      <x:c r="F300" s="104" t="str">
        <x:f>IF($A300="","",IFERROR(VLOOKUP($B300,Setup!$A$7:$H$23,2,FALSE),""))</x:f>
      </x:c>
      <x:c r="G300" s="52" t="str">
        <x:f>IF($A300="","",IFERROR(VLOOKUP($B300,Setup!$A$7:$H$23,5,FALSE),""))</x:f>
      </x:c>
      <x:c r="H300" s="60" t="str">
        <x:f>IF($A300="","",IFERROR(VLOOKUP($B300,Setup!$A$7:$H$23,6,FALSE),""))</x:f>
      </x:c>
      <x:c r="I300" s="60" t="str">
        <x:f>IF($A300="","",$C300*$H300)</x:f>
      </x:c>
      <x:c r="J300" s="60" t="str">
        <x:f>IF($A300="","",$E300-$I300)</x:f>
      </x:c>
      <x:c r="K300" s="66" t="str">
        <x:f>IF($A300="","",IFERROR(VLOOKUP($A300,Invoices!$A$7:$W$156,2,FALSE),""))</x:f>
      </x:c>
      <x:c r="L300" s="52" t="str">
        <x:f>IF($A300="","",IFERROR(VLOOKUP($A300,Invoices!$A$7:$W$156,3,FALSE),""))</x:f>
      </x:c>
      <x:c r="M300" s="52" t="str">
        <x:f>IF($A300="","",IFERROR(VLOOKUP($A300,Invoices!$A$7:$W$156,4,FALSE),""))</x:f>
      </x:c>
      <x:c r="N300" s="52" t="str">
        <x:f>IF($A300="","",IFERROR(VLOOKUP($A300,Invoices!$A$7:$W$156,5,FALSE),""))</x:f>
      </x:c>
      <x:c r="O300" s="52" t="str">
        <x:f>IF($A300="","",IF(OR($B300="",$C300&lt;=0,$D300&lt;0,$F300="",$K300="",COUNTIFS($A$7:$A$306,$A300,$B$7:$B$306,$B300)&gt;1),"REVIEW","OK"))</x:f>
      </x:c>
    </x:row>
    <x:row r="301">
      <x:c r="A301" s="46"/>
      <x:c r="B301" s="46"/>
      <x:c r="C301" s="68"/>
      <x:c r="D301" s="58"/>
      <x:c r="E301" s="60" t="str">
        <x:f>IF($A301="","",$C301*$D301)</x:f>
      </x:c>
      <x:c r="F301" s="104" t="str">
        <x:f>IF($A301="","",IFERROR(VLOOKUP($B301,Setup!$A$7:$H$23,2,FALSE),""))</x:f>
      </x:c>
      <x:c r="G301" s="52" t="str">
        <x:f>IF($A301="","",IFERROR(VLOOKUP($B301,Setup!$A$7:$H$23,5,FALSE),""))</x:f>
      </x:c>
      <x:c r="H301" s="60" t="str">
        <x:f>IF($A301="","",IFERROR(VLOOKUP($B301,Setup!$A$7:$H$23,6,FALSE),""))</x:f>
      </x:c>
      <x:c r="I301" s="60" t="str">
        <x:f>IF($A301="","",$C301*$H301)</x:f>
      </x:c>
      <x:c r="J301" s="60" t="str">
        <x:f>IF($A301="","",$E301-$I301)</x:f>
      </x:c>
      <x:c r="K301" s="66" t="str">
        <x:f>IF($A301="","",IFERROR(VLOOKUP($A301,Invoices!$A$7:$W$156,2,FALSE),""))</x:f>
      </x:c>
      <x:c r="L301" s="52" t="str">
        <x:f>IF($A301="","",IFERROR(VLOOKUP($A301,Invoices!$A$7:$W$156,3,FALSE),""))</x:f>
      </x:c>
      <x:c r="M301" s="52" t="str">
        <x:f>IF($A301="","",IFERROR(VLOOKUP($A301,Invoices!$A$7:$W$156,4,FALSE),""))</x:f>
      </x:c>
      <x:c r="N301" s="52" t="str">
        <x:f>IF($A301="","",IFERROR(VLOOKUP($A301,Invoices!$A$7:$W$156,5,FALSE),""))</x:f>
      </x:c>
      <x:c r="O301" s="52" t="str">
        <x:f>IF($A301="","",IF(OR($B301="",$C301&lt;=0,$D301&lt;0,$F301="",$K301="",COUNTIFS($A$7:$A$306,$A301,$B$7:$B$306,$B301)&gt;1),"REVIEW","OK"))</x:f>
      </x:c>
    </x:row>
    <x:row r="302">
      <x:c r="A302" s="46"/>
      <x:c r="B302" s="46"/>
      <x:c r="C302" s="68"/>
      <x:c r="D302" s="58"/>
      <x:c r="E302" s="60" t="str">
        <x:f>IF($A302="","",$C302*$D302)</x:f>
      </x:c>
      <x:c r="F302" s="104" t="str">
        <x:f>IF($A302="","",IFERROR(VLOOKUP($B302,Setup!$A$7:$H$23,2,FALSE),""))</x:f>
      </x:c>
      <x:c r="G302" s="52" t="str">
        <x:f>IF($A302="","",IFERROR(VLOOKUP($B302,Setup!$A$7:$H$23,5,FALSE),""))</x:f>
      </x:c>
      <x:c r="H302" s="60" t="str">
        <x:f>IF($A302="","",IFERROR(VLOOKUP($B302,Setup!$A$7:$H$23,6,FALSE),""))</x:f>
      </x:c>
      <x:c r="I302" s="60" t="str">
        <x:f>IF($A302="","",$C302*$H302)</x:f>
      </x:c>
      <x:c r="J302" s="60" t="str">
        <x:f>IF($A302="","",$E302-$I302)</x:f>
      </x:c>
      <x:c r="K302" s="66" t="str">
        <x:f>IF($A302="","",IFERROR(VLOOKUP($A302,Invoices!$A$7:$W$156,2,FALSE),""))</x:f>
      </x:c>
      <x:c r="L302" s="52" t="str">
        <x:f>IF($A302="","",IFERROR(VLOOKUP($A302,Invoices!$A$7:$W$156,3,FALSE),""))</x:f>
      </x:c>
      <x:c r="M302" s="52" t="str">
        <x:f>IF($A302="","",IFERROR(VLOOKUP($A302,Invoices!$A$7:$W$156,4,FALSE),""))</x:f>
      </x:c>
      <x:c r="N302" s="52" t="str">
        <x:f>IF($A302="","",IFERROR(VLOOKUP($A302,Invoices!$A$7:$W$156,5,FALSE),""))</x:f>
      </x:c>
      <x:c r="O302" s="52" t="str">
        <x:f>IF($A302="","",IF(OR($B302="",$C302&lt;=0,$D302&lt;0,$F302="",$K302="",COUNTIFS($A$7:$A$306,$A302,$B$7:$B$306,$B302)&gt;1),"REVIEW","OK"))</x:f>
      </x:c>
    </x:row>
    <x:row r="303">
      <x:c r="A303" s="46"/>
      <x:c r="B303" s="46"/>
      <x:c r="C303" s="68"/>
      <x:c r="D303" s="58"/>
      <x:c r="E303" s="60" t="str">
        <x:f>IF($A303="","",$C303*$D303)</x:f>
      </x:c>
      <x:c r="F303" s="104" t="str">
        <x:f>IF($A303="","",IFERROR(VLOOKUP($B303,Setup!$A$7:$H$23,2,FALSE),""))</x:f>
      </x:c>
      <x:c r="G303" s="52" t="str">
        <x:f>IF($A303="","",IFERROR(VLOOKUP($B303,Setup!$A$7:$H$23,5,FALSE),""))</x:f>
      </x:c>
      <x:c r="H303" s="60" t="str">
        <x:f>IF($A303="","",IFERROR(VLOOKUP($B303,Setup!$A$7:$H$23,6,FALSE),""))</x:f>
      </x:c>
      <x:c r="I303" s="60" t="str">
        <x:f>IF($A303="","",$C303*$H303)</x:f>
      </x:c>
      <x:c r="J303" s="60" t="str">
        <x:f>IF($A303="","",$E303-$I303)</x:f>
      </x:c>
      <x:c r="K303" s="66" t="str">
        <x:f>IF($A303="","",IFERROR(VLOOKUP($A303,Invoices!$A$7:$W$156,2,FALSE),""))</x:f>
      </x:c>
      <x:c r="L303" s="52" t="str">
        <x:f>IF($A303="","",IFERROR(VLOOKUP($A303,Invoices!$A$7:$W$156,3,FALSE),""))</x:f>
      </x:c>
      <x:c r="M303" s="52" t="str">
        <x:f>IF($A303="","",IFERROR(VLOOKUP($A303,Invoices!$A$7:$W$156,4,FALSE),""))</x:f>
      </x:c>
      <x:c r="N303" s="52" t="str">
        <x:f>IF($A303="","",IFERROR(VLOOKUP($A303,Invoices!$A$7:$W$156,5,FALSE),""))</x:f>
      </x:c>
      <x:c r="O303" s="52" t="str">
        <x:f>IF($A303="","",IF(OR($B303="",$C303&lt;=0,$D303&lt;0,$F303="",$K303="",COUNTIFS($A$7:$A$306,$A303,$B$7:$B$306,$B303)&gt;1),"REVIEW","OK"))</x:f>
      </x:c>
    </x:row>
    <x:row r="304">
      <x:c r="A304" s="46"/>
      <x:c r="B304" s="46"/>
      <x:c r="C304" s="68"/>
      <x:c r="D304" s="58"/>
      <x:c r="E304" s="60" t="str">
        <x:f>IF($A304="","",$C304*$D304)</x:f>
      </x:c>
      <x:c r="F304" s="104" t="str">
        <x:f>IF($A304="","",IFERROR(VLOOKUP($B304,Setup!$A$7:$H$23,2,FALSE),""))</x:f>
      </x:c>
      <x:c r="G304" s="52" t="str">
        <x:f>IF($A304="","",IFERROR(VLOOKUP($B304,Setup!$A$7:$H$23,5,FALSE),""))</x:f>
      </x:c>
      <x:c r="H304" s="60" t="str">
        <x:f>IF($A304="","",IFERROR(VLOOKUP($B304,Setup!$A$7:$H$23,6,FALSE),""))</x:f>
      </x:c>
      <x:c r="I304" s="60" t="str">
        <x:f>IF($A304="","",$C304*$H304)</x:f>
      </x:c>
      <x:c r="J304" s="60" t="str">
        <x:f>IF($A304="","",$E304-$I304)</x:f>
      </x:c>
      <x:c r="K304" s="66" t="str">
        <x:f>IF($A304="","",IFERROR(VLOOKUP($A304,Invoices!$A$7:$W$156,2,FALSE),""))</x:f>
      </x:c>
      <x:c r="L304" s="52" t="str">
        <x:f>IF($A304="","",IFERROR(VLOOKUP($A304,Invoices!$A$7:$W$156,3,FALSE),""))</x:f>
      </x:c>
      <x:c r="M304" s="52" t="str">
        <x:f>IF($A304="","",IFERROR(VLOOKUP($A304,Invoices!$A$7:$W$156,4,FALSE),""))</x:f>
      </x:c>
      <x:c r="N304" s="52" t="str">
        <x:f>IF($A304="","",IFERROR(VLOOKUP($A304,Invoices!$A$7:$W$156,5,FALSE),""))</x:f>
      </x:c>
      <x:c r="O304" s="52" t="str">
        <x:f>IF($A304="","",IF(OR($B304="",$C304&lt;=0,$D304&lt;0,$F304="",$K304="",COUNTIFS($A$7:$A$306,$A304,$B$7:$B$306,$B304)&gt;1),"REVIEW","OK"))</x:f>
      </x:c>
    </x:row>
    <x:row r="305">
      <x:c r="A305" s="46"/>
      <x:c r="B305" s="46"/>
      <x:c r="C305" s="68"/>
      <x:c r="D305" s="58"/>
      <x:c r="E305" s="60" t="str">
        <x:f>IF($A305="","",$C305*$D305)</x:f>
      </x:c>
      <x:c r="F305" s="104" t="str">
        <x:f>IF($A305="","",IFERROR(VLOOKUP($B305,Setup!$A$7:$H$23,2,FALSE),""))</x:f>
      </x:c>
      <x:c r="G305" s="52" t="str">
        <x:f>IF($A305="","",IFERROR(VLOOKUP($B305,Setup!$A$7:$H$23,5,FALSE),""))</x:f>
      </x:c>
      <x:c r="H305" s="60" t="str">
        <x:f>IF($A305="","",IFERROR(VLOOKUP($B305,Setup!$A$7:$H$23,6,FALSE),""))</x:f>
      </x:c>
      <x:c r="I305" s="60" t="str">
        <x:f>IF($A305="","",$C305*$H305)</x:f>
      </x:c>
      <x:c r="J305" s="60" t="str">
        <x:f>IF($A305="","",$E305-$I305)</x:f>
      </x:c>
      <x:c r="K305" s="66" t="str">
        <x:f>IF($A305="","",IFERROR(VLOOKUP($A305,Invoices!$A$7:$W$156,2,FALSE),""))</x:f>
      </x:c>
      <x:c r="L305" s="52" t="str">
        <x:f>IF($A305="","",IFERROR(VLOOKUP($A305,Invoices!$A$7:$W$156,3,FALSE),""))</x:f>
      </x:c>
      <x:c r="M305" s="52" t="str">
        <x:f>IF($A305="","",IFERROR(VLOOKUP($A305,Invoices!$A$7:$W$156,4,FALSE),""))</x:f>
      </x:c>
      <x:c r="N305" s="52" t="str">
        <x:f>IF($A305="","",IFERROR(VLOOKUP($A305,Invoices!$A$7:$W$156,5,FALSE),""))</x:f>
      </x:c>
      <x:c r="O305" s="52" t="str">
        <x:f>IF($A305="","",IF(OR($B305="",$C305&lt;=0,$D305&lt;0,$F305="",$K305="",COUNTIFS($A$7:$A$306,$A305,$B$7:$B$306,$B305)&gt;1),"REVIEW","OK"))</x:f>
      </x:c>
    </x:row>
    <x:row r="306">
      <x:c r="A306" s="46"/>
      <x:c r="B306" s="46"/>
      <x:c r="C306" s="68"/>
      <x:c r="D306" s="58"/>
      <x:c r="E306" s="60" t="str">
        <x:f>IF($A306="","",$C306*$D306)</x:f>
      </x:c>
      <x:c r="F306" s="104" t="str">
        <x:f>IF($A306="","",IFERROR(VLOOKUP($B306,Setup!$A$7:$H$23,2,FALSE),""))</x:f>
      </x:c>
      <x:c r="G306" s="52" t="str">
        <x:f>IF($A306="","",IFERROR(VLOOKUP($B306,Setup!$A$7:$H$23,5,FALSE),""))</x:f>
      </x:c>
      <x:c r="H306" s="60" t="str">
        <x:f>IF($A306="","",IFERROR(VLOOKUP($B306,Setup!$A$7:$H$23,6,FALSE),""))</x:f>
      </x:c>
      <x:c r="I306" s="60" t="str">
        <x:f>IF($A306="","",$C306*$H306)</x:f>
      </x:c>
      <x:c r="J306" s="60" t="str">
        <x:f>IF($A306="","",$E306-$I306)</x:f>
      </x:c>
      <x:c r="K306" s="66" t="str">
        <x:f>IF($A306="","",IFERROR(VLOOKUP($A306,Invoices!$A$7:$W$156,2,FALSE),""))</x:f>
      </x:c>
      <x:c r="L306" s="52" t="str">
        <x:f>IF($A306="","",IFERROR(VLOOKUP($A306,Invoices!$A$7:$W$156,3,FALSE),""))</x:f>
      </x:c>
      <x:c r="M306" s="52" t="str">
        <x:f>IF($A306="","",IFERROR(VLOOKUP($A306,Invoices!$A$7:$W$156,4,FALSE),""))</x:f>
      </x:c>
      <x:c r="N306" s="52" t="str">
        <x:f>IF($A306="","",IFERROR(VLOOKUP($A306,Invoices!$A$7:$W$156,5,FALSE),""))</x:f>
      </x:c>
      <x:c r="O306" s="52" t="str">
        <x:f>IF($A306="","",IF(OR($B306="",$C306&lt;=0,$D306&lt;0,$F306="",$K306="",COUNTIFS($A$7:$A$306,$A306,$B$7:$B$306,$B306)&gt;1),"REVIEW","OK"))</x:f>
      </x:c>
    </x:row>
  </x:sheetData>
  <x:mergeCells>
    <x:mergeCell ref="A1:O1"/>
    <x:mergeCell ref="A2:O2"/>
  </x:mergeCells>
  <x:conditionalFormatting sqref="O7:O306">
    <x:cfRule type="expression" dxfId="3" priority="1">
      <x:formula>O7="REVIEW"</x:formula>
    </x:cfRule>
    <x:cfRule type="expression" dxfId="4" priority="2">
      <x:formula>O7="OK"</x:formula>
    </x:cfRule>
  </x:conditionalFormatting>
  <x:dataValidations count="2">
    <x:dataValidation type="list" sqref="A7:A306">
      <x:formula1>Invoices!$A$7:$A$156</x:formula1>
    </x:dataValidation>
    <x:dataValidation type="list" sqref="B7:B306">
      <x:formula1>Setup!$A$7:$A$23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b59e5e8c3e47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1" hidden="0" customWidth="1"/>
    <x:col min="12" max="12" width="18" hidden="0" customWidth="1"/>
  </x:cols>
  <x:sheetData>
    <x:row r="1" ht="30" customHeight="1">
      <x:c r="A1" s="4" t="str">
        <x:v>LAGOM NATURALS — ACCOUNTS RECEIVABLE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Derived invoice-level receivables. Update payment information once on Invoices; this view is not manually maintained.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6">
      <x:c r="A6" s="22" t="str">
        <x:v>Invoice #</x:v>
      </x:c>
      <x:c r="B6" s="22" t="str">
        <x:v>Account</x:v>
      </x:c>
      <x:c r="C6" s="22" t="str">
        <x:v>Sales Rep</x:v>
      </x:c>
      <x:c r="D6" s="22" t="str">
        <x:v>Invoice Date</x:v>
      </x:c>
      <x:c r="E6" s="22" t="str">
        <x:v>Due Date</x:v>
      </x:c>
      <x:c r="F6" s="22" t="str">
        <x:v>Invoice Total</x:v>
      </x:c>
      <x:c r="G6" s="22" t="str">
        <x:v>Amount Paid</x:v>
      </x:c>
      <x:c r="H6" s="22" t="str">
        <x:v>Balance Due</x:v>
      </x:c>
      <x:c r="I6" s="22" t="str">
        <x:v>Status</x:v>
      </x:c>
      <x:c r="J6" s="22" t="str">
        <x:v>Days Past Due</x:v>
      </x:c>
      <x:c r="K6" s="22" t="str">
        <x:v>Aging</x:v>
      </x:c>
      <x:c r="L6" s="22" t="str">
        <x:v>Action</x:v>
      </x:c>
    </x:row>
    <x:row r="7">
      <x:c r="A7" s="52" t="str">
        <x:f>IF(Invoices!$A7="","",Invoices!$A7)</x:f>
        <x:v>1088</x:v>
      </x:c>
      <x:c r="B7" s="52" t="str">
        <x:f>IF($A7="","",Invoices!$C7)</x:f>
        <x:v>Wayzata Smoke Shop &amp; Vape</x:v>
      </x:c>
      <x:c r="C7" s="52" t="str">
        <x:f>IF($A7="","",Invoices!$D7)</x:f>
        <x:v>Tito</x:v>
      </x:c>
      <x:c r="D7" s="66" t="n">
        <x:f>IF($A7="","",Invoices!$B7)</x:f>
        <x:v>46064</x:v>
      </x:c>
      <x:c r="E7" s="66" t="n">
        <x:f>IF($A7="","",Invoices!$R7)</x:f>
        <x:v>46064</x:v>
      </x:c>
      <x:c r="F7" s="60" t="n">
        <x:f>IF($A7="","",Invoices!$L7)</x:f>
        <x:v>291.96</x:v>
      </x:c>
      <x:c r="G7" s="60" t="n">
        <x:f>IF($A7="","",Invoices!$G7)</x:f>
        <x:v>291.96</x:v>
      </x:c>
      <x:c r="H7" s="60" t="n">
        <x:f>IF($A7="","",Invoices!$Q7)</x:f>
        <x:v>0</x:v>
      </x:c>
      <x:c r="I7" s="52" t="str">
        <x:f>IF($A7="","",Invoices!$S7)</x:f>
        <x:v>Paid</x:v>
      </x:c>
      <x:c r="J7" s="52" t="n">
        <x:f>IF($A7="","",Invoices!$T7)</x:f>
        <x:v>0</x:v>
      </x:c>
      <x:c r="K7" s="52" t="str">
        <x:f>IF($A7="","",Invoices!$U7)</x:f>
        <x:v>Closed</x:v>
      </x:c>
      <x:c r="L7" s="52" t="str">
        <x:f>IF($A7="","",IF($H7&lt;=0,"Closed",IF($K7="Current","Monitor",IF($K7="1-30","Follow up",IF($K7="31-60","Escalate",IF($K7="61-90","Urgent","Immediate action"))))))</x:f>
        <x:v>Closed</x:v>
      </x:c>
    </x:row>
    <x:row r="8">
      <x:c r="A8" s="52" t="str">
        <x:f>IF(Invoices!$A8="","",Invoices!$A8)</x:f>
        <x:v>1089</x:v>
      </x:c>
      <x:c r="B8" s="52" t="str">
        <x:f>IF($A8="","",Invoices!$C8)</x:f>
        <x:v>Long Lake Orono Smoke Shop</x:v>
      </x:c>
      <x:c r="C8" s="52" t="str">
        <x:f>IF($A8="","",Invoices!$D8)</x:f>
        <x:v>Tito</x:v>
      </x:c>
      <x:c r="D8" s="66" t="n">
        <x:f>IF($A8="","",Invoices!$B8)</x:f>
        <x:v>46064</x:v>
      </x:c>
      <x:c r="E8" s="66" t="n">
        <x:f>IF($A8="","",Invoices!$R8)</x:f>
        <x:v>46064</x:v>
      </x:c>
      <x:c r="F8" s="60" t="n">
        <x:f>IF($A8="","",Invoices!$L8)</x:f>
        <x:v>291.96</x:v>
      </x:c>
      <x:c r="G8" s="60" t="n">
        <x:f>IF($A8="","",Invoices!$G8)</x:f>
        <x:v>291.96</x:v>
      </x:c>
      <x:c r="H8" s="60" t="n">
        <x:f>IF($A8="","",Invoices!$Q8)</x:f>
        <x:v>0</x:v>
      </x:c>
      <x:c r="I8" s="52" t="str">
        <x:f>IF($A8="","",Invoices!$S8)</x:f>
        <x:v>Paid</x:v>
      </x:c>
      <x:c r="J8" s="52" t="n">
        <x:f>IF($A8="","",Invoices!$T8)</x:f>
        <x:v>0</x:v>
      </x:c>
      <x:c r="K8" s="52" t="str">
        <x:f>IF($A8="","",Invoices!$U8)</x:f>
        <x:v>Closed</x:v>
      </x:c>
      <x:c r="L8" s="52" t="str">
        <x:f>IF($A8="","",IF($H8&lt;=0,"Closed",IF($K8="Current","Monitor",IF($K8="1-30","Follow up",IF($K8="31-60","Escalate",IF($K8="61-90","Urgent","Immediate action"))))))</x:f>
        <x:v>Closed</x:v>
      </x:c>
    </x:row>
    <x:row r="9">
      <x:c r="A9" s="52" t="str">
        <x:f>IF(Invoices!$A9="","",Invoices!$A9)</x:f>
      </x:c>
      <x:c r="B9" s="52" t="str">
        <x:f>IF($A9="","",Invoices!$C9)</x:f>
      </x:c>
      <x:c r="C9" s="52" t="str">
        <x:f>IF($A9="","",Invoices!$D9)</x:f>
      </x:c>
      <x:c r="D9" s="66" t="str">
        <x:f>IF($A9="","",Invoices!$B9)</x:f>
      </x:c>
      <x:c r="E9" s="66" t="str">
        <x:f>IF($A9="","",Invoices!$R9)</x:f>
      </x:c>
      <x:c r="F9" s="60" t="str">
        <x:f>IF($A9="","",Invoices!$L9)</x:f>
      </x:c>
      <x:c r="G9" s="60" t="str">
        <x:f>IF($A9="","",Invoices!$G9)</x:f>
      </x:c>
      <x:c r="H9" s="60" t="str">
        <x:f>IF($A9="","",Invoices!$Q9)</x:f>
      </x:c>
      <x:c r="I9" s="52" t="str">
        <x:f>IF($A9="","",Invoices!$S9)</x:f>
      </x:c>
      <x:c r="J9" s="52" t="str">
        <x:f>IF($A9="","",Invoices!$T9)</x:f>
      </x:c>
      <x:c r="K9" s="52" t="str">
        <x:f>IF($A9="","",Invoices!$U9)</x:f>
      </x:c>
      <x:c r="L9" s="52" t="str">
        <x:f>IF($A9="","",IF($H9&lt;=0,"Closed",IF($K9="Current","Monitor",IF($K9="1-30","Follow up",IF($K9="31-60","Escalate",IF($K9="61-90","Urgent","Immediate action"))))))</x:f>
      </x:c>
    </x:row>
    <x:row r="10">
      <x:c r="A10" s="52" t="str">
        <x:f>IF(Invoices!$A10="","",Invoices!$A10)</x:f>
      </x:c>
      <x:c r="B10" s="52" t="str">
        <x:f>IF($A10="","",Invoices!$C10)</x:f>
      </x:c>
      <x:c r="C10" s="52" t="str">
        <x:f>IF($A10="","",Invoices!$D10)</x:f>
      </x:c>
      <x:c r="D10" s="66" t="str">
        <x:f>IF($A10="","",Invoices!$B10)</x:f>
      </x:c>
      <x:c r="E10" s="66" t="str">
        <x:f>IF($A10="","",Invoices!$R10)</x:f>
      </x:c>
      <x:c r="F10" s="60" t="str">
        <x:f>IF($A10="","",Invoices!$L10)</x:f>
      </x:c>
      <x:c r="G10" s="60" t="str">
        <x:f>IF($A10="","",Invoices!$G10)</x:f>
      </x:c>
      <x:c r="H10" s="60" t="str">
        <x:f>IF($A10="","",Invoices!$Q10)</x:f>
      </x:c>
      <x:c r="I10" s="52" t="str">
        <x:f>IF($A10="","",Invoices!$S10)</x:f>
      </x:c>
      <x:c r="J10" s="52" t="str">
        <x:f>IF($A10="","",Invoices!$T10)</x:f>
      </x:c>
      <x:c r="K10" s="52" t="str">
        <x:f>IF($A10="","",Invoices!$U10)</x:f>
      </x:c>
      <x:c r="L10" s="52" t="str">
        <x:f>IF($A10="","",IF($H10&lt;=0,"Closed",IF($K10="Current","Monitor",IF($K10="1-30","Follow up",IF($K10="31-60","Escalate",IF($K10="61-90","Urgent","Immediate action"))))))</x:f>
      </x:c>
    </x:row>
    <x:row r="11">
      <x:c r="A11" s="52" t="str">
        <x:f>IF(Invoices!$A11="","",Invoices!$A11)</x:f>
      </x:c>
      <x:c r="B11" s="52" t="str">
        <x:f>IF($A11="","",Invoices!$C11)</x:f>
      </x:c>
      <x:c r="C11" s="52" t="str">
        <x:f>IF($A11="","",Invoices!$D11)</x:f>
      </x:c>
      <x:c r="D11" s="66" t="str">
        <x:f>IF($A11="","",Invoices!$B11)</x:f>
      </x:c>
      <x:c r="E11" s="66" t="str">
        <x:f>IF($A11="","",Invoices!$R11)</x:f>
      </x:c>
      <x:c r="F11" s="60" t="str">
        <x:f>IF($A11="","",Invoices!$L11)</x:f>
      </x:c>
      <x:c r="G11" s="60" t="str">
        <x:f>IF($A11="","",Invoices!$G11)</x:f>
      </x:c>
      <x:c r="H11" s="60" t="str">
        <x:f>IF($A11="","",Invoices!$Q11)</x:f>
      </x:c>
      <x:c r="I11" s="52" t="str">
        <x:f>IF($A11="","",Invoices!$S11)</x:f>
      </x:c>
      <x:c r="J11" s="52" t="str">
        <x:f>IF($A11="","",Invoices!$T11)</x:f>
      </x:c>
      <x:c r="K11" s="52" t="str">
        <x:f>IF($A11="","",Invoices!$U11)</x:f>
      </x:c>
      <x:c r="L11" s="52" t="str">
        <x:f>IF($A11="","",IF($H11&lt;=0,"Closed",IF($K11="Current","Monitor",IF($K11="1-30","Follow up",IF($K11="31-60","Escalate",IF($K11="61-90","Urgent","Immediate action"))))))</x:f>
      </x:c>
    </x:row>
    <x:row r="12">
      <x:c r="A12" s="52" t="str">
        <x:f>IF(Invoices!$A12="","",Invoices!$A12)</x:f>
      </x:c>
      <x:c r="B12" s="52" t="str">
        <x:f>IF($A12="","",Invoices!$C12)</x:f>
      </x:c>
      <x:c r="C12" s="52" t="str">
        <x:f>IF($A12="","",Invoices!$D12)</x:f>
      </x:c>
      <x:c r="D12" s="66" t="str">
        <x:f>IF($A12="","",Invoices!$B12)</x:f>
      </x:c>
      <x:c r="E12" s="66" t="str">
        <x:f>IF($A12="","",Invoices!$R12)</x:f>
      </x:c>
      <x:c r="F12" s="60" t="str">
        <x:f>IF($A12="","",Invoices!$L12)</x:f>
      </x:c>
      <x:c r="G12" s="60" t="str">
        <x:f>IF($A12="","",Invoices!$G12)</x:f>
      </x:c>
      <x:c r="H12" s="60" t="str">
        <x:f>IF($A12="","",Invoices!$Q12)</x:f>
      </x:c>
      <x:c r="I12" s="52" t="str">
        <x:f>IF($A12="","",Invoices!$S12)</x:f>
      </x:c>
      <x:c r="J12" s="52" t="str">
        <x:f>IF($A12="","",Invoices!$T12)</x:f>
      </x:c>
      <x:c r="K12" s="52" t="str">
        <x:f>IF($A12="","",Invoices!$U12)</x:f>
      </x:c>
      <x:c r="L12" s="52" t="str">
        <x:f>IF($A12="","",IF($H12&lt;=0,"Closed",IF($K12="Current","Monitor",IF($K12="1-30","Follow up",IF($K12="31-60","Escalate",IF($K12="61-90","Urgent","Immediate action"))))))</x:f>
      </x:c>
    </x:row>
    <x:row r="13">
      <x:c r="A13" s="52" t="str">
        <x:f>IF(Invoices!$A13="","",Invoices!$A13)</x:f>
      </x:c>
      <x:c r="B13" s="52" t="str">
        <x:f>IF($A13="","",Invoices!$C13)</x:f>
      </x:c>
      <x:c r="C13" s="52" t="str">
        <x:f>IF($A13="","",Invoices!$D13)</x:f>
      </x:c>
      <x:c r="D13" s="66" t="str">
        <x:f>IF($A13="","",Invoices!$B13)</x:f>
      </x:c>
      <x:c r="E13" s="66" t="str">
        <x:f>IF($A13="","",Invoices!$R13)</x:f>
      </x:c>
      <x:c r="F13" s="60" t="str">
        <x:f>IF($A13="","",Invoices!$L13)</x:f>
      </x:c>
      <x:c r="G13" s="60" t="str">
        <x:f>IF($A13="","",Invoices!$G13)</x:f>
      </x:c>
      <x:c r="H13" s="60" t="str">
        <x:f>IF($A13="","",Invoices!$Q13)</x:f>
      </x:c>
      <x:c r="I13" s="52" t="str">
        <x:f>IF($A13="","",Invoices!$S13)</x:f>
      </x:c>
      <x:c r="J13" s="52" t="str">
        <x:f>IF($A13="","",Invoices!$T13)</x:f>
      </x:c>
      <x:c r="K13" s="52" t="str">
        <x:f>IF($A13="","",Invoices!$U13)</x:f>
      </x:c>
      <x:c r="L13" s="52" t="str">
        <x:f>IF($A13="","",IF($H13&lt;=0,"Closed",IF($K13="Current","Monitor",IF($K13="1-30","Follow up",IF($K13="31-60","Escalate",IF($K13="61-90","Urgent","Immediate action"))))))</x:f>
      </x:c>
    </x:row>
    <x:row r="14">
      <x:c r="A14" s="52" t="str">
        <x:f>IF(Invoices!$A14="","",Invoices!$A14)</x:f>
      </x:c>
      <x:c r="B14" s="52" t="str">
        <x:f>IF($A14="","",Invoices!$C14)</x:f>
      </x:c>
      <x:c r="C14" s="52" t="str">
        <x:f>IF($A14="","",Invoices!$D14)</x:f>
      </x:c>
      <x:c r="D14" s="66" t="str">
        <x:f>IF($A14="","",Invoices!$B14)</x:f>
      </x:c>
      <x:c r="E14" s="66" t="str">
        <x:f>IF($A14="","",Invoices!$R14)</x:f>
      </x:c>
      <x:c r="F14" s="60" t="str">
        <x:f>IF($A14="","",Invoices!$L14)</x:f>
      </x:c>
      <x:c r="G14" s="60" t="str">
        <x:f>IF($A14="","",Invoices!$G14)</x:f>
      </x:c>
      <x:c r="H14" s="60" t="str">
        <x:f>IF($A14="","",Invoices!$Q14)</x:f>
      </x:c>
      <x:c r="I14" s="52" t="str">
        <x:f>IF($A14="","",Invoices!$S14)</x:f>
      </x:c>
      <x:c r="J14" s="52" t="str">
        <x:f>IF($A14="","",Invoices!$T14)</x:f>
      </x:c>
      <x:c r="K14" s="52" t="str">
        <x:f>IF($A14="","",Invoices!$U14)</x:f>
      </x:c>
      <x:c r="L14" s="52" t="str">
        <x:f>IF($A14="","",IF($H14&lt;=0,"Closed",IF($K14="Current","Monitor",IF($K14="1-30","Follow up",IF($K14="31-60","Escalate",IF($K14="61-90","Urgent","Immediate action"))))))</x:f>
      </x:c>
    </x:row>
    <x:row r="15">
      <x:c r="A15" s="52" t="str">
        <x:f>IF(Invoices!$A15="","",Invoices!$A15)</x:f>
      </x:c>
      <x:c r="B15" s="52" t="str">
        <x:f>IF($A15="","",Invoices!$C15)</x:f>
      </x:c>
      <x:c r="C15" s="52" t="str">
        <x:f>IF($A15="","",Invoices!$D15)</x:f>
      </x:c>
      <x:c r="D15" s="66" t="str">
        <x:f>IF($A15="","",Invoices!$B15)</x:f>
      </x:c>
      <x:c r="E15" s="66" t="str">
        <x:f>IF($A15="","",Invoices!$R15)</x:f>
      </x:c>
      <x:c r="F15" s="60" t="str">
        <x:f>IF($A15="","",Invoices!$L15)</x:f>
      </x:c>
      <x:c r="G15" s="60" t="str">
        <x:f>IF($A15="","",Invoices!$G15)</x:f>
      </x:c>
      <x:c r="H15" s="60" t="str">
        <x:f>IF($A15="","",Invoices!$Q15)</x:f>
      </x:c>
      <x:c r="I15" s="52" t="str">
        <x:f>IF($A15="","",Invoices!$S15)</x:f>
      </x:c>
      <x:c r="J15" s="52" t="str">
        <x:f>IF($A15="","",Invoices!$T15)</x:f>
      </x:c>
      <x:c r="K15" s="52" t="str">
        <x:f>IF($A15="","",Invoices!$U15)</x:f>
      </x:c>
      <x:c r="L15" s="52" t="str">
        <x:f>IF($A15="","",IF($H15&lt;=0,"Closed",IF($K15="Current","Monitor",IF($K15="1-30","Follow up",IF($K15="31-60","Escalate",IF($K15="61-90","Urgent","Immediate action"))))))</x:f>
      </x:c>
    </x:row>
    <x:row r="16">
      <x:c r="A16" s="52" t="str">
        <x:f>IF(Invoices!$A16="","",Invoices!$A16)</x:f>
      </x:c>
      <x:c r="B16" s="52" t="str">
        <x:f>IF($A16="","",Invoices!$C16)</x:f>
      </x:c>
      <x:c r="C16" s="52" t="str">
        <x:f>IF($A16="","",Invoices!$D16)</x:f>
      </x:c>
      <x:c r="D16" s="66" t="str">
        <x:f>IF($A16="","",Invoices!$B16)</x:f>
      </x:c>
      <x:c r="E16" s="66" t="str">
        <x:f>IF($A16="","",Invoices!$R16)</x:f>
      </x:c>
      <x:c r="F16" s="60" t="str">
        <x:f>IF($A16="","",Invoices!$L16)</x:f>
      </x:c>
      <x:c r="G16" s="60" t="str">
        <x:f>IF($A16="","",Invoices!$G16)</x:f>
      </x:c>
      <x:c r="H16" s="60" t="str">
        <x:f>IF($A16="","",Invoices!$Q16)</x:f>
      </x:c>
      <x:c r="I16" s="52" t="str">
        <x:f>IF($A16="","",Invoices!$S16)</x:f>
      </x:c>
      <x:c r="J16" s="52" t="str">
        <x:f>IF($A16="","",Invoices!$T16)</x:f>
      </x:c>
      <x:c r="K16" s="52" t="str">
        <x:f>IF($A16="","",Invoices!$U16)</x:f>
      </x:c>
      <x:c r="L16" s="52" t="str">
        <x:f>IF($A16="","",IF($H16&lt;=0,"Closed",IF($K16="Current","Monitor",IF($K16="1-30","Follow up",IF($K16="31-60","Escalate",IF($K16="61-90","Urgent","Immediate action"))))))</x:f>
      </x:c>
    </x:row>
    <x:row r="17">
      <x:c r="A17" s="52" t="str">
        <x:f>IF(Invoices!$A17="","",Invoices!$A17)</x:f>
      </x:c>
      <x:c r="B17" s="52" t="str">
        <x:f>IF($A17="","",Invoices!$C17)</x:f>
      </x:c>
      <x:c r="C17" s="52" t="str">
        <x:f>IF($A17="","",Invoices!$D17)</x:f>
      </x:c>
      <x:c r="D17" s="66" t="str">
        <x:f>IF($A17="","",Invoices!$B17)</x:f>
      </x:c>
      <x:c r="E17" s="66" t="str">
        <x:f>IF($A17="","",Invoices!$R17)</x:f>
      </x:c>
      <x:c r="F17" s="60" t="str">
        <x:f>IF($A17="","",Invoices!$L17)</x:f>
      </x:c>
      <x:c r="G17" s="60" t="str">
        <x:f>IF($A17="","",Invoices!$G17)</x:f>
      </x:c>
      <x:c r="H17" s="60" t="str">
        <x:f>IF($A17="","",Invoices!$Q17)</x:f>
      </x:c>
      <x:c r="I17" s="52" t="str">
        <x:f>IF($A17="","",Invoices!$S17)</x:f>
      </x:c>
      <x:c r="J17" s="52" t="str">
        <x:f>IF($A17="","",Invoices!$T17)</x:f>
      </x:c>
      <x:c r="K17" s="52" t="str">
        <x:f>IF($A17="","",Invoices!$U17)</x:f>
      </x:c>
      <x:c r="L17" s="52" t="str">
        <x:f>IF($A17="","",IF($H17&lt;=0,"Closed",IF($K17="Current","Monitor",IF($K17="1-30","Follow up",IF($K17="31-60","Escalate",IF($K17="61-90","Urgent","Immediate action"))))))</x:f>
      </x:c>
    </x:row>
    <x:row r="18">
      <x:c r="A18" s="52" t="str">
        <x:f>IF(Invoices!$A18="","",Invoices!$A18)</x:f>
      </x:c>
      <x:c r="B18" s="52" t="str">
        <x:f>IF($A18="","",Invoices!$C18)</x:f>
      </x:c>
      <x:c r="C18" s="52" t="str">
        <x:f>IF($A18="","",Invoices!$D18)</x:f>
      </x:c>
      <x:c r="D18" s="66" t="str">
        <x:f>IF($A18="","",Invoices!$B18)</x:f>
      </x:c>
      <x:c r="E18" s="66" t="str">
        <x:f>IF($A18="","",Invoices!$R18)</x:f>
      </x:c>
      <x:c r="F18" s="60" t="str">
        <x:f>IF($A18="","",Invoices!$L18)</x:f>
      </x:c>
      <x:c r="G18" s="60" t="str">
        <x:f>IF($A18="","",Invoices!$G18)</x:f>
      </x:c>
      <x:c r="H18" s="60" t="str">
        <x:f>IF($A18="","",Invoices!$Q18)</x:f>
      </x:c>
      <x:c r="I18" s="52" t="str">
        <x:f>IF($A18="","",Invoices!$S18)</x:f>
      </x:c>
      <x:c r="J18" s="52" t="str">
        <x:f>IF($A18="","",Invoices!$T18)</x:f>
      </x:c>
      <x:c r="K18" s="52" t="str">
        <x:f>IF($A18="","",Invoices!$U18)</x:f>
      </x:c>
      <x:c r="L18" s="52" t="str">
        <x:f>IF($A18="","",IF($H18&lt;=0,"Closed",IF($K18="Current","Monitor",IF($K18="1-30","Follow up",IF($K18="31-60","Escalate",IF($K18="61-90","Urgent","Immediate action"))))))</x:f>
      </x:c>
    </x:row>
    <x:row r="19">
      <x:c r="A19" s="52" t="str">
        <x:f>IF(Invoices!$A19="","",Invoices!$A19)</x:f>
      </x:c>
      <x:c r="B19" s="52" t="str">
        <x:f>IF($A19="","",Invoices!$C19)</x:f>
      </x:c>
      <x:c r="C19" s="52" t="str">
        <x:f>IF($A19="","",Invoices!$D19)</x:f>
      </x:c>
      <x:c r="D19" s="66" t="str">
        <x:f>IF($A19="","",Invoices!$B19)</x:f>
      </x:c>
      <x:c r="E19" s="66" t="str">
        <x:f>IF($A19="","",Invoices!$R19)</x:f>
      </x:c>
      <x:c r="F19" s="60" t="str">
        <x:f>IF($A19="","",Invoices!$L19)</x:f>
      </x:c>
      <x:c r="G19" s="60" t="str">
        <x:f>IF($A19="","",Invoices!$G19)</x:f>
      </x:c>
      <x:c r="H19" s="60" t="str">
        <x:f>IF($A19="","",Invoices!$Q19)</x:f>
      </x:c>
      <x:c r="I19" s="52" t="str">
        <x:f>IF($A19="","",Invoices!$S19)</x:f>
      </x:c>
      <x:c r="J19" s="52" t="str">
        <x:f>IF($A19="","",Invoices!$T19)</x:f>
      </x:c>
      <x:c r="K19" s="52" t="str">
        <x:f>IF($A19="","",Invoices!$U19)</x:f>
      </x:c>
      <x:c r="L19" s="52" t="str">
        <x:f>IF($A19="","",IF($H19&lt;=0,"Closed",IF($K19="Current","Monitor",IF($K19="1-30","Follow up",IF($K19="31-60","Escalate",IF($K19="61-90","Urgent","Immediate action"))))))</x:f>
      </x:c>
    </x:row>
    <x:row r="20">
      <x:c r="A20" s="52" t="str">
        <x:f>IF(Invoices!$A20="","",Invoices!$A20)</x:f>
      </x:c>
      <x:c r="B20" s="52" t="str">
        <x:f>IF($A20="","",Invoices!$C20)</x:f>
      </x:c>
      <x:c r="C20" s="52" t="str">
        <x:f>IF($A20="","",Invoices!$D20)</x:f>
      </x:c>
      <x:c r="D20" s="66" t="str">
        <x:f>IF($A20="","",Invoices!$B20)</x:f>
      </x:c>
      <x:c r="E20" s="66" t="str">
        <x:f>IF($A20="","",Invoices!$R20)</x:f>
      </x:c>
      <x:c r="F20" s="60" t="str">
        <x:f>IF($A20="","",Invoices!$L20)</x:f>
      </x:c>
      <x:c r="G20" s="60" t="str">
        <x:f>IF($A20="","",Invoices!$G20)</x:f>
      </x:c>
      <x:c r="H20" s="60" t="str">
        <x:f>IF($A20="","",Invoices!$Q20)</x:f>
      </x:c>
      <x:c r="I20" s="52" t="str">
        <x:f>IF($A20="","",Invoices!$S20)</x:f>
      </x:c>
      <x:c r="J20" s="52" t="str">
        <x:f>IF($A20="","",Invoices!$T20)</x:f>
      </x:c>
      <x:c r="K20" s="52" t="str">
        <x:f>IF($A20="","",Invoices!$U20)</x:f>
      </x:c>
      <x:c r="L20" s="52" t="str">
        <x:f>IF($A20="","",IF($H20&lt;=0,"Closed",IF($K20="Current","Monitor",IF($K20="1-30","Follow up",IF($K20="31-60","Escalate",IF($K20="61-90","Urgent","Immediate action"))))))</x:f>
      </x:c>
    </x:row>
    <x:row r="21">
      <x:c r="A21" s="52" t="str">
        <x:f>IF(Invoices!$A21="","",Invoices!$A21)</x:f>
      </x:c>
      <x:c r="B21" s="52" t="str">
        <x:f>IF($A21="","",Invoices!$C21)</x:f>
      </x:c>
      <x:c r="C21" s="52" t="str">
        <x:f>IF($A21="","",Invoices!$D21)</x:f>
      </x:c>
      <x:c r="D21" s="66" t="str">
        <x:f>IF($A21="","",Invoices!$B21)</x:f>
      </x:c>
      <x:c r="E21" s="66" t="str">
        <x:f>IF($A21="","",Invoices!$R21)</x:f>
      </x:c>
      <x:c r="F21" s="60" t="str">
        <x:f>IF($A21="","",Invoices!$L21)</x:f>
      </x:c>
      <x:c r="G21" s="60" t="str">
        <x:f>IF($A21="","",Invoices!$G21)</x:f>
      </x:c>
      <x:c r="H21" s="60" t="str">
        <x:f>IF($A21="","",Invoices!$Q21)</x:f>
      </x:c>
      <x:c r="I21" s="52" t="str">
        <x:f>IF($A21="","",Invoices!$S21)</x:f>
      </x:c>
      <x:c r="J21" s="52" t="str">
        <x:f>IF($A21="","",Invoices!$T21)</x:f>
      </x:c>
      <x:c r="K21" s="52" t="str">
        <x:f>IF($A21="","",Invoices!$U21)</x:f>
      </x:c>
      <x:c r="L21" s="52" t="str">
        <x:f>IF($A21="","",IF($H21&lt;=0,"Closed",IF($K21="Current","Monitor",IF($K21="1-30","Follow up",IF($K21="31-60","Escalate",IF($K21="61-90","Urgent","Immediate action"))))))</x:f>
      </x:c>
    </x:row>
    <x:row r="22">
      <x:c r="A22" s="52" t="str">
        <x:f>IF(Invoices!$A22="","",Invoices!$A22)</x:f>
      </x:c>
      <x:c r="B22" s="52" t="str">
        <x:f>IF($A22="","",Invoices!$C22)</x:f>
      </x:c>
      <x:c r="C22" s="52" t="str">
        <x:f>IF($A22="","",Invoices!$D22)</x:f>
      </x:c>
      <x:c r="D22" s="66" t="str">
        <x:f>IF($A22="","",Invoices!$B22)</x:f>
      </x:c>
      <x:c r="E22" s="66" t="str">
        <x:f>IF($A22="","",Invoices!$R22)</x:f>
      </x:c>
      <x:c r="F22" s="60" t="str">
        <x:f>IF($A22="","",Invoices!$L22)</x:f>
      </x:c>
      <x:c r="G22" s="60" t="str">
        <x:f>IF($A22="","",Invoices!$G22)</x:f>
      </x:c>
      <x:c r="H22" s="60" t="str">
        <x:f>IF($A22="","",Invoices!$Q22)</x:f>
      </x:c>
      <x:c r="I22" s="52" t="str">
        <x:f>IF($A22="","",Invoices!$S22)</x:f>
      </x:c>
      <x:c r="J22" s="52" t="str">
        <x:f>IF($A22="","",Invoices!$T22)</x:f>
      </x:c>
      <x:c r="K22" s="52" t="str">
        <x:f>IF($A22="","",Invoices!$U22)</x:f>
      </x:c>
      <x:c r="L22" s="52" t="str">
        <x:f>IF($A22="","",IF($H22&lt;=0,"Closed",IF($K22="Current","Monitor",IF($K22="1-30","Follow up",IF($K22="31-60","Escalate",IF($K22="61-90","Urgent","Immediate action"))))))</x:f>
      </x:c>
    </x:row>
    <x:row r="23">
      <x:c r="A23" s="52" t="str">
        <x:f>IF(Invoices!$A23="","",Invoices!$A23)</x:f>
      </x:c>
      <x:c r="B23" s="52" t="str">
        <x:f>IF($A23="","",Invoices!$C23)</x:f>
      </x:c>
      <x:c r="C23" s="52" t="str">
        <x:f>IF($A23="","",Invoices!$D23)</x:f>
      </x:c>
      <x:c r="D23" s="66" t="str">
        <x:f>IF($A23="","",Invoices!$B23)</x:f>
      </x:c>
      <x:c r="E23" s="66" t="str">
        <x:f>IF($A23="","",Invoices!$R23)</x:f>
      </x:c>
      <x:c r="F23" s="60" t="str">
        <x:f>IF($A23="","",Invoices!$L23)</x:f>
      </x:c>
      <x:c r="G23" s="60" t="str">
        <x:f>IF($A23="","",Invoices!$G23)</x:f>
      </x:c>
      <x:c r="H23" s="60" t="str">
        <x:f>IF($A23="","",Invoices!$Q23)</x:f>
      </x:c>
      <x:c r="I23" s="52" t="str">
        <x:f>IF($A23="","",Invoices!$S23)</x:f>
      </x:c>
      <x:c r="J23" s="52" t="str">
        <x:f>IF($A23="","",Invoices!$T23)</x:f>
      </x:c>
      <x:c r="K23" s="52" t="str">
        <x:f>IF($A23="","",Invoices!$U23)</x:f>
      </x:c>
      <x:c r="L23" s="52" t="str">
        <x:f>IF($A23="","",IF($H23&lt;=0,"Closed",IF($K23="Current","Monitor",IF($K23="1-30","Follow up",IF($K23="31-60","Escalate",IF($K23="61-90","Urgent","Immediate action"))))))</x:f>
      </x:c>
    </x:row>
    <x:row r="24">
      <x:c r="A24" s="52" t="str">
        <x:f>IF(Invoices!$A24="","",Invoices!$A24)</x:f>
      </x:c>
      <x:c r="B24" s="52" t="str">
        <x:f>IF($A24="","",Invoices!$C24)</x:f>
      </x:c>
      <x:c r="C24" s="52" t="str">
        <x:f>IF($A24="","",Invoices!$D24)</x:f>
      </x:c>
      <x:c r="D24" s="66" t="str">
        <x:f>IF($A24="","",Invoices!$B24)</x:f>
      </x:c>
      <x:c r="E24" s="66" t="str">
        <x:f>IF($A24="","",Invoices!$R24)</x:f>
      </x:c>
      <x:c r="F24" s="60" t="str">
        <x:f>IF($A24="","",Invoices!$L24)</x:f>
      </x:c>
      <x:c r="G24" s="60" t="str">
        <x:f>IF($A24="","",Invoices!$G24)</x:f>
      </x:c>
      <x:c r="H24" s="60" t="str">
        <x:f>IF($A24="","",Invoices!$Q24)</x:f>
      </x:c>
      <x:c r="I24" s="52" t="str">
        <x:f>IF($A24="","",Invoices!$S24)</x:f>
      </x:c>
      <x:c r="J24" s="52" t="str">
        <x:f>IF($A24="","",Invoices!$T24)</x:f>
      </x:c>
      <x:c r="K24" s="52" t="str">
        <x:f>IF($A24="","",Invoices!$U24)</x:f>
      </x:c>
      <x:c r="L24" s="52" t="str">
        <x:f>IF($A24="","",IF($H24&lt;=0,"Closed",IF($K24="Current","Monitor",IF($K24="1-30","Follow up",IF($K24="31-60","Escalate",IF($K24="61-90","Urgent","Immediate action"))))))</x:f>
      </x:c>
    </x:row>
    <x:row r="25">
      <x:c r="A25" s="52" t="str">
        <x:f>IF(Invoices!$A25="","",Invoices!$A25)</x:f>
      </x:c>
      <x:c r="B25" s="52" t="str">
        <x:f>IF($A25="","",Invoices!$C25)</x:f>
      </x:c>
      <x:c r="C25" s="52" t="str">
        <x:f>IF($A25="","",Invoices!$D25)</x:f>
      </x:c>
      <x:c r="D25" s="66" t="str">
        <x:f>IF($A25="","",Invoices!$B25)</x:f>
      </x:c>
      <x:c r="E25" s="66" t="str">
        <x:f>IF($A25="","",Invoices!$R25)</x:f>
      </x:c>
      <x:c r="F25" s="60" t="str">
        <x:f>IF($A25="","",Invoices!$L25)</x:f>
      </x:c>
      <x:c r="G25" s="60" t="str">
        <x:f>IF($A25="","",Invoices!$G25)</x:f>
      </x:c>
      <x:c r="H25" s="60" t="str">
        <x:f>IF($A25="","",Invoices!$Q25)</x:f>
      </x:c>
      <x:c r="I25" s="52" t="str">
        <x:f>IF($A25="","",Invoices!$S25)</x:f>
      </x:c>
      <x:c r="J25" s="52" t="str">
        <x:f>IF($A25="","",Invoices!$T25)</x:f>
      </x:c>
      <x:c r="K25" s="52" t="str">
        <x:f>IF($A25="","",Invoices!$U25)</x:f>
      </x:c>
      <x:c r="L25" s="52" t="str">
        <x:f>IF($A25="","",IF($H25&lt;=0,"Closed",IF($K25="Current","Monitor",IF($K25="1-30","Follow up",IF($K25="31-60","Escalate",IF($K25="61-90","Urgent","Immediate action"))))))</x:f>
      </x:c>
    </x:row>
    <x:row r="26">
      <x:c r="A26" s="52" t="str">
        <x:f>IF(Invoices!$A26="","",Invoices!$A26)</x:f>
      </x:c>
      <x:c r="B26" s="52" t="str">
        <x:f>IF($A26="","",Invoices!$C26)</x:f>
      </x:c>
      <x:c r="C26" s="52" t="str">
        <x:f>IF($A26="","",Invoices!$D26)</x:f>
      </x:c>
      <x:c r="D26" s="66" t="str">
        <x:f>IF($A26="","",Invoices!$B26)</x:f>
      </x:c>
      <x:c r="E26" s="66" t="str">
        <x:f>IF($A26="","",Invoices!$R26)</x:f>
      </x:c>
      <x:c r="F26" s="60" t="str">
        <x:f>IF($A26="","",Invoices!$L26)</x:f>
      </x:c>
      <x:c r="G26" s="60" t="str">
        <x:f>IF($A26="","",Invoices!$G26)</x:f>
      </x:c>
      <x:c r="H26" s="60" t="str">
        <x:f>IF($A26="","",Invoices!$Q26)</x:f>
      </x:c>
      <x:c r="I26" s="52" t="str">
        <x:f>IF($A26="","",Invoices!$S26)</x:f>
      </x:c>
      <x:c r="J26" s="52" t="str">
        <x:f>IF($A26="","",Invoices!$T26)</x:f>
      </x:c>
      <x:c r="K26" s="52" t="str">
        <x:f>IF($A26="","",Invoices!$U26)</x:f>
      </x:c>
      <x:c r="L26" s="52" t="str">
        <x:f>IF($A26="","",IF($H26&lt;=0,"Closed",IF($K26="Current","Monitor",IF($K26="1-30","Follow up",IF($K26="31-60","Escalate",IF($K26="61-90","Urgent","Immediate action"))))))</x:f>
      </x:c>
    </x:row>
    <x:row r="27">
      <x:c r="A27" s="52" t="str">
        <x:f>IF(Invoices!$A27="","",Invoices!$A27)</x:f>
      </x:c>
      <x:c r="B27" s="52" t="str">
        <x:f>IF($A27="","",Invoices!$C27)</x:f>
      </x:c>
      <x:c r="C27" s="52" t="str">
        <x:f>IF($A27="","",Invoices!$D27)</x:f>
      </x:c>
      <x:c r="D27" s="66" t="str">
        <x:f>IF($A27="","",Invoices!$B27)</x:f>
      </x:c>
      <x:c r="E27" s="66" t="str">
        <x:f>IF($A27="","",Invoices!$R27)</x:f>
      </x:c>
      <x:c r="F27" s="60" t="str">
        <x:f>IF($A27="","",Invoices!$L27)</x:f>
      </x:c>
      <x:c r="G27" s="60" t="str">
        <x:f>IF($A27="","",Invoices!$G27)</x:f>
      </x:c>
      <x:c r="H27" s="60" t="str">
        <x:f>IF($A27="","",Invoices!$Q27)</x:f>
      </x:c>
      <x:c r="I27" s="52" t="str">
        <x:f>IF($A27="","",Invoices!$S27)</x:f>
      </x:c>
      <x:c r="J27" s="52" t="str">
        <x:f>IF($A27="","",Invoices!$T27)</x:f>
      </x:c>
      <x:c r="K27" s="52" t="str">
        <x:f>IF($A27="","",Invoices!$U27)</x:f>
      </x:c>
      <x:c r="L27" s="52" t="str">
        <x:f>IF($A27="","",IF($H27&lt;=0,"Closed",IF($K27="Current","Monitor",IF($K27="1-30","Follow up",IF($K27="31-60","Escalate",IF($K27="61-90","Urgent","Immediate action"))))))</x:f>
      </x:c>
    </x:row>
    <x:row r="28">
      <x:c r="A28" s="52" t="str">
        <x:f>IF(Invoices!$A28="","",Invoices!$A28)</x:f>
      </x:c>
      <x:c r="B28" s="52" t="str">
        <x:f>IF($A28="","",Invoices!$C28)</x:f>
      </x:c>
      <x:c r="C28" s="52" t="str">
        <x:f>IF($A28="","",Invoices!$D28)</x:f>
      </x:c>
      <x:c r="D28" s="66" t="str">
        <x:f>IF($A28="","",Invoices!$B28)</x:f>
      </x:c>
      <x:c r="E28" s="66" t="str">
        <x:f>IF($A28="","",Invoices!$R28)</x:f>
      </x:c>
      <x:c r="F28" s="60" t="str">
        <x:f>IF($A28="","",Invoices!$L28)</x:f>
      </x:c>
      <x:c r="G28" s="60" t="str">
        <x:f>IF($A28="","",Invoices!$G28)</x:f>
      </x:c>
      <x:c r="H28" s="60" t="str">
        <x:f>IF($A28="","",Invoices!$Q28)</x:f>
      </x:c>
      <x:c r="I28" s="52" t="str">
        <x:f>IF($A28="","",Invoices!$S28)</x:f>
      </x:c>
      <x:c r="J28" s="52" t="str">
        <x:f>IF($A28="","",Invoices!$T28)</x:f>
      </x:c>
      <x:c r="K28" s="52" t="str">
        <x:f>IF($A28="","",Invoices!$U28)</x:f>
      </x:c>
      <x:c r="L28" s="52" t="str">
        <x:f>IF($A28="","",IF($H28&lt;=0,"Closed",IF($K28="Current","Monitor",IF($K28="1-30","Follow up",IF($K28="31-60","Escalate",IF($K28="61-90","Urgent","Immediate action"))))))</x:f>
      </x:c>
    </x:row>
    <x:row r="29">
      <x:c r="A29" s="52" t="str">
        <x:f>IF(Invoices!$A29="","",Invoices!$A29)</x:f>
      </x:c>
      <x:c r="B29" s="52" t="str">
        <x:f>IF($A29="","",Invoices!$C29)</x:f>
      </x:c>
      <x:c r="C29" s="52" t="str">
        <x:f>IF($A29="","",Invoices!$D29)</x:f>
      </x:c>
      <x:c r="D29" s="66" t="str">
        <x:f>IF($A29="","",Invoices!$B29)</x:f>
      </x:c>
      <x:c r="E29" s="66" t="str">
        <x:f>IF($A29="","",Invoices!$R29)</x:f>
      </x:c>
      <x:c r="F29" s="60" t="str">
        <x:f>IF($A29="","",Invoices!$L29)</x:f>
      </x:c>
      <x:c r="G29" s="60" t="str">
        <x:f>IF($A29="","",Invoices!$G29)</x:f>
      </x:c>
      <x:c r="H29" s="60" t="str">
        <x:f>IF($A29="","",Invoices!$Q29)</x:f>
      </x:c>
      <x:c r="I29" s="52" t="str">
        <x:f>IF($A29="","",Invoices!$S29)</x:f>
      </x:c>
      <x:c r="J29" s="52" t="str">
        <x:f>IF($A29="","",Invoices!$T29)</x:f>
      </x:c>
      <x:c r="K29" s="52" t="str">
        <x:f>IF($A29="","",Invoices!$U29)</x:f>
      </x:c>
      <x:c r="L29" s="52" t="str">
        <x:f>IF($A29="","",IF($H29&lt;=0,"Closed",IF($K29="Current","Monitor",IF($K29="1-30","Follow up",IF($K29="31-60","Escalate",IF($K29="61-90","Urgent","Immediate action"))))))</x:f>
      </x:c>
    </x:row>
    <x:row r="30">
      <x:c r="A30" s="52" t="str">
        <x:f>IF(Invoices!$A30="","",Invoices!$A30)</x:f>
      </x:c>
      <x:c r="B30" s="52" t="str">
        <x:f>IF($A30="","",Invoices!$C30)</x:f>
      </x:c>
      <x:c r="C30" s="52" t="str">
        <x:f>IF($A30="","",Invoices!$D30)</x:f>
      </x:c>
      <x:c r="D30" s="66" t="str">
        <x:f>IF($A30="","",Invoices!$B30)</x:f>
      </x:c>
      <x:c r="E30" s="66" t="str">
        <x:f>IF($A30="","",Invoices!$R30)</x:f>
      </x:c>
      <x:c r="F30" s="60" t="str">
        <x:f>IF($A30="","",Invoices!$L30)</x:f>
      </x:c>
      <x:c r="G30" s="60" t="str">
        <x:f>IF($A30="","",Invoices!$G30)</x:f>
      </x:c>
      <x:c r="H30" s="60" t="str">
        <x:f>IF($A30="","",Invoices!$Q30)</x:f>
      </x:c>
      <x:c r="I30" s="52" t="str">
        <x:f>IF($A30="","",Invoices!$S30)</x:f>
      </x:c>
      <x:c r="J30" s="52" t="str">
        <x:f>IF($A30="","",Invoices!$T30)</x:f>
      </x:c>
      <x:c r="K30" s="52" t="str">
        <x:f>IF($A30="","",Invoices!$U30)</x:f>
      </x:c>
      <x:c r="L30" s="52" t="str">
        <x:f>IF($A30="","",IF($H30&lt;=0,"Closed",IF($K30="Current","Monitor",IF($K30="1-30","Follow up",IF($K30="31-60","Escalate",IF($K30="61-90","Urgent","Immediate action"))))))</x:f>
      </x:c>
    </x:row>
    <x:row r="31">
      <x:c r="A31" s="52" t="str">
        <x:f>IF(Invoices!$A31="","",Invoices!$A31)</x:f>
      </x:c>
      <x:c r="B31" s="52" t="str">
        <x:f>IF($A31="","",Invoices!$C31)</x:f>
      </x:c>
      <x:c r="C31" s="52" t="str">
        <x:f>IF($A31="","",Invoices!$D31)</x:f>
      </x:c>
      <x:c r="D31" s="66" t="str">
        <x:f>IF($A31="","",Invoices!$B31)</x:f>
      </x:c>
      <x:c r="E31" s="66" t="str">
        <x:f>IF($A31="","",Invoices!$R31)</x:f>
      </x:c>
      <x:c r="F31" s="60" t="str">
        <x:f>IF($A31="","",Invoices!$L31)</x:f>
      </x:c>
      <x:c r="G31" s="60" t="str">
        <x:f>IF($A31="","",Invoices!$G31)</x:f>
      </x:c>
      <x:c r="H31" s="60" t="str">
        <x:f>IF($A31="","",Invoices!$Q31)</x:f>
      </x:c>
      <x:c r="I31" s="52" t="str">
        <x:f>IF($A31="","",Invoices!$S31)</x:f>
      </x:c>
      <x:c r="J31" s="52" t="str">
        <x:f>IF($A31="","",Invoices!$T31)</x:f>
      </x:c>
      <x:c r="K31" s="52" t="str">
        <x:f>IF($A31="","",Invoices!$U31)</x:f>
      </x:c>
      <x:c r="L31" s="52" t="str">
        <x:f>IF($A31="","",IF($H31&lt;=0,"Closed",IF($K31="Current","Monitor",IF($K31="1-30","Follow up",IF($K31="31-60","Escalate",IF($K31="61-90","Urgent","Immediate action"))))))</x:f>
      </x:c>
    </x:row>
    <x:row r="32">
      <x:c r="A32" s="52" t="str">
        <x:f>IF(Invoices!$A32="","",Invoices!$A32)</x:f>
      </x:c>
      <x:c r="B32" s="52" t="str">
        <x:f>IF($A32="","",Invoices!$C32)</x:f>
      </x:c>
      <x:c r="C32" s="52" t="str">
        <x:f>IF($A32="","",Invoices!$D32)</x:f>
      </x:c>
      <x:c r="D32" s="66" t="str">
        <x:f>IF($A32="","",Invoices!$B32)</x:f>
      </x:c>
      <x:c r="E32" s="66" t="str">
        <x:f>IF($A32="","",Invoices!$R32)</x:f>
      </x:c>
      <x:c r="F32" s="60" t="str">
        <x:f>IF($A32="","",Invoices!$L32)</x:f>
      </x:c>
      <x:c r="G32" s="60" t="str">
        <x:f>IF($A32="","",Invoices!$G32)</x:f>
      </x:c>
      <x:c r="H32" s="60" t="str">
        <x:f>IF($A32="","",Invoices!$Q32)</x:f>
      </x:c>
      <x:c r="I32" s="52" t="str">
        <x:f>IF($A32="","",Invoices!$S32)</x:f>
      </x:c>
      <x:c r="J32" s="52" t="str">
        <x:f>IF($A32="","",Invoices!$T32)</x:f>
      </x:c>
      <x:c r="K32" s="52" t="str">
        <x:f>IF($A32="","",Invoices!$U32)</x:f>
      </x:c>
      <x:c r="L32" s="52" t="str">
        <x:f>IF($A32="","",IF($H32&lt;=0,"Closed",IF($K32="Current","Monitor",IF($K32="1-30","Follow up",IF($K32="31-60","Escalate",IF($K32="61-90","Urgent","Immediate action"))))))</x:f>
      </x:c>
    </x:row>
    <x:row r="33">
      <x:c r="A33" s="52" t="str">
        <x:f>IF(Invoices!$A33="","",Invoices!$A33)</x:f>
      </x:c>
      <x:c r="B33" s="52" t="str">
        <x:f>IF($A33="","",Invoices!$C33)</x:f>
      </x:c>
      <x:c r="C33" s="52" t="str">
        <x:f>IF($A33="","",Invoices!$D33)</x:f>
      </x:c>
      <x:c r="D33" s="66" t="str">
        <x:f>IF($A33="","",Invoices!$B33)</x:f>
      </x:c>
      <x:c r="E33" s="66" t="str">
        <x:f>IF($A33="","",Invoices!$R33)</x:f>
      </x:c>
      <x:c r="F33" s="60" t="str">
        <x:f>IF($A33="","",Invoices!$L33)</x:f>
      </x:c>
      <x:c r="G33" s="60" t="str">
        <x:f>IF($A33="","",Invoices!$G33)</x:f>
      </x:c>
      <x:c r="H33" s="60" t="str">
        <x:f>IF($A33="","",Invoices!$Q33)</x:f>
      </x:c>
      <x:c r="I33" s="52" t="str">
        <x:f>IF($A33="","",Invoices!$S33)</x:f>
      </x:c>
      <x:c r="J33" s="52" t="str">
        <x:f>IF($A33="","",Invoices!$T33)</x:f>
      </x:c>
      <x:c r="K33" s="52" t="str">
        <x:f>IF($A33="","",Invoices!$U33)</x:f>
      </x:c>
      <x:c r="L33" s="52" t="str">
        <x:f>IF($A33="","",IF($H33&lt;=0,"Closed",IF($K33="Current","Monitor",IF($K33="1-30","Follow up",IF($K33="31-60","Escalate",IF($K33="61-90","Urgent","Immediate action"))))))</x:f>
      </x:c>
    </x:row>
    <x:row r="34">
      <x:c r="A34" s="52" t="str">
        <x:f>IF(Invoices!$A34="","",Invoices!$A34)</x:f>
      </x:c>
      <x:c r="B34" s="52" t="str">
        <x:f>IF($A34="","",Invoices!$C34)</x:f>
      </x:c>
      <x:c r="C34" s="52" t="str">
        <x:f>IF($A34="","",Invoices!$D34)</x:f>
      </x:c>
      <x:c r="D34" s="66" t="str">
        <x:f>IF($A34="","",Invoices!$B34)</x:f>
      </x:c>
      <x:c r="E34" s="66" t="str">
        <x:f>IF($A34="","",Invoices!$R34)</x:f>
      </x:c>
      <x:c r="F34" s="60" t="str">
        <x:f>IF($A34="","",Invoices!$L34)</x:f>
      </x:c>
      <x:c r="G34" s="60" t="str">
        <x:f>IF($A34="","",Invoices!$G34)</x:f>
      </x:c>
      <x:c r="H34" s="60" t="str">
        <x:f>IF($A34="","",Invoices!$Q34)</x:f>
      </x:c>
      <x:c r="I34" s="52" t="str">
        <x:f>IF($A34="","",Invoices!$S34)</x:f>
      </x:c>
      <x:c r="J34" s="52" t="str">
        <x:f>IF($A34="","",Invoices!$T34)</x:f>
      </x:c>
      <x:c r="K34" s="52" t="str">
        <x:f>IF($A34="","",Invoices!$U34)</x:f>
      </x:c>
      <x:c r="L34" s="52" t="str">
        <x:f>IF($A34="","",IF($H34&lt;=0,"Closed",IF($K34="Current","Monitor",IF($K34="1-30","Follow up",IF($K34="31-60","Escalate",IF($K34="61-90","Urgent","Immediate action"))))))</x:f>
      </x:c>
    </x:row>
    <x:row r="35">
      <x:c r="A35" s="52" t="str">
        <x:f>IF(Invoices!$A35="","",Invoices!$A35)</x:f>
      </x:c>
      <x:c r="B35" s="52" t="str">
        <x:f>IF($A35="","",Invoices!$C35)</x:f>
      </x:c>
      <x:c r="C35" s="52" t="str">
        <x:f>IF($A35="","",Invoices!$D35)</x:f>
      </x:c>
      <x:c r="D35" s="66" t="str">
        <x:f>IF($A35="","",Invoices!$B35)</x:f>
      </x:c>
      <x:c r="E35" s="66" t="str">
        <x:f>IF($A35="","",Invoices!$R35)</x:f>
      </x:c>
      <x:c r="F35" s="60" t="str">
        <x:f>IF($A35="","",Invoices!$L35)</x:f>
      </x:c>
      <x:c r="G35" s="60" t="str">
        <x:f>IF($A35="","",Invoices!$G35)</x:f>
      </x:c>
      <x:c r="H35" s="60" t="str">
        <x:f>IF($A35="","",Invoices!$Q35)</x:f>
      </x:c>
      <x:c r="I35" s="52" t="str">
        <x:f>IF($A35="","",Invoices!$S35)</x:f>
      </x:c>
      <x:c r="J35" s="52" t="str">
        <x:f>IF($A35="","",Invoices!$T35)</x:f>
      </x:c>
      <x:c r="K35" s="52" t="str">
        <x:f>IF($A35="","",Invoices!$U35)</x:f>
      </x:c>
      <x:c r="L35" s="52" t="str">
        <x:f>IF($A35="","",IF($H35&lt;=0,"Closed",IF($K35="Current","Monitor",IF($K35="1-30","Follow up",IF($K35="31-60","Escalate",IF($K35="61-90","Urgent","Immediate action"))))))</x:f>
      </x:c>
    </x:row>
    <x:row r="36">
      <x:c r="A36" s="52" t="str">
        <x:f>IF(Invoices!$A36="","",Invoices!$A36)</x:f>
      </x:c>
      <x:c r="B36" s="52" t="str">
        <x:f>IF($A36="","",Invoices!$C36)</x:f>
      </x:c>
      <x:c r="C36" s="52" t="str">
        <x:f>IF($A36="","",Invoices!$D36)</x:f>
      </x:c>
      <x:c r="D36" s="66" t="str">
        <x:f>IF($A36="","",Invoices!$B36)</x:f>
      </x:c>
      <x:c r="E36" s="66" t="str">
        <x:f>IF($A36="","",Invoices!$R36)</x:f>
      </x:c>
      <x:c r="F36" s="60" t="str">
        <x:f>IF($A36="","",Invoices!$L36)</x:f>
      </x:c>
      <x:c r="G36" s="60" t="str">
        <x:f>IF($A36="","",Invoices!$G36)</x:f>
      </x:c>
      <x:c r="H36" s="60" t="str">
        <x:f>IF($A36="","",Invoices!$Q36)</x:f>
      </x:c>
      <x:c r="I36" s="52" t="str">
        <x:f>IF($A36="","",Invoices!$S36)</x:f>
      </x:c>
      <x:c r="J36" s="52" t="str">
        <x:f>IF($A36="","",Invoices!$T36)</x:f>
      </x:c>
      <x:c r="K36" s="52" t="str">
        <x:f>IF($A36="","",Invoices!$U36)</x:f>
      </x:c>
      <x:c r="L36" s="52" t="str">
        <x:f>IF($A36="","",IF($H36&lt;=0,"Closed",IF($K36="Current","Monitor",IF($K36="1-30","Follow up",IF($K36="31-60","Escalate",IF($K36="61-90","Urgent","Immediate action"))))))</x:f>
      </x:c>
    </x:row>
    <x:row r="37">
      <x:c r="A37" s="52" t="str">
        <x:f>IF(Invoices!$A37="","",Invoices!$A37)</x:f>
      </x:c>
      <x:c r="B37" s="52" t="str">
        <x:f>IF($A37="","",Invoices!$C37)</x:f>
      </x:c>
      <x:c r="C37" s="52" t="str">
        <x:f>IF($A37="","",Invoices!$D37)</x:f>
      </x:c>
      <x:c r="D37" s="66" t="str">
        <x:f>IF($A37="","",Invoices!$B37)</x:f>
      </x:c>
      <x:c r="E37" s="66" t="str">
        <x:f>IF($A37="","",Invoices!$R37)</x:f>
      </x:c>
      <x:c r="F37" s="60" t="str">
        <x:f>IF($A37="","",Invoices!$L37)</x:f>
      </x:c>
      <x:c r="G37" s="60" t="str">
        <x:f>IF($A37="","",Invoices!$G37)</x:f>
      </x:c>
      <x:c r="H37" s="60" t="str">
        <x:f>IF($A37="","",Invoices!$Q37)</x:f>
      </x:c>
      <x:c r="I37" s="52" t="str">
        <x:f>IF($A37="","",Invoices!$S37)</x:f>
      </x:c>
      <x:c r="J37" s="52" t="str">
        <x:f>IF($A37="","",Invoices!$T37)</x:f>
      </x:c>
      <x:c r="K37" s="52" t="str">
        <x:f>IF($A37="","",Invoices!$U37)</x:f>
      </x:c>
      <x:c r="L37" s="52" t="str">
        <x:f>IF($A37="","",IF($H37&lt;=0,"Closed",IF($K37="Current","Monitor",IF($K37="1-30","Follow up",IF($K37="31-60","Escalate",IF($K37="61-90","Urgent","Immediate action"))))))</x:f>
      </x:c>
    </x:row>
    <x:row r="38">
      <x:c r="A38" s="52" t="str">
        <x:f>IF(Invoices!$A38="","",Invoices!$A38)</x:f>
      </x:c>
      <x:c r="B38" s="52" t="str">
        <x:f>IF($A38="","",Invoices!$C38)</x:f>
      </x:c>
      <x:c r="C38" s="52" t="str">
        <x:f>IF($A38="","",Invoices!$D38)</x:f>
      </x:c>
      <x:c r="D38" s="66" t="str">
        <x:f>IF($A38="","",Invoices!$B38)</x:f>
      </x:c>
      <x:c r="E38" s="66" t="str">
        <x:f>IF($A38="","",Invoices!$R38)</x:f>
      </x:c>
      <x:c r="F38" s="60" t="str">
        <x:f>IF($A38="","",Invoices!$L38)</x:f>
      </x:c>
      <x:c r="G38" s="60" t="str">
        <x:f>IF($A38="","",Invoices!$G38)</x:f>
      </x:c>
      <x:c r="H38" s="60" t="str">
        <x:f>IF($A38="","",Invoices!$Q38)</x:f>
      </x:c>
      <x:c r="I38" s="52" t="str">
        <x:f>IF($A38="","",Invoices!$S38)</x:f>
      </x:c>
      <x:c r="J38" s="52" t="str">
        <x:f>IF($A38="","",Invoices!$T38)</x:f>
      </x:c>
      <x:c r="K38" s="52" t="str">
        <x:f>IF($A38="","",Invoices!$U38)</x:f>
      </x:c>
      <x:c r="L38" s="52" t="str">
        <x:f>IF($A38="","",IF($H38&lt;=0,"Closed",IF($K38="Current","Monitor",IF($K38="1-30","Follow up",IF($K38="31-60","Escalate",IF($K38="61-90","Urgent","Immediate action"))))))</x:f>
      </x:c>
    </x:row>
    <x:row r="39">
      <x:c r="A39" s="52" t="str">
        <x:f>IF(Invoices!$A39="","",Invoices!$A39)</x:f>
      </x:c>
      <x:c r="B39" s="52" t="str">
        <x:f>IF($A39="","",Invoices!$C39)</x:f>
      </x:c>
      <x:c r="C39" s="52" t="str">
        <x:f>IF($A39="","",Invoices!$D39)</x:f>
      </x:c>
      <x:c r="D39" s="66" t="str">
        <x:f>IF($A39="","",Invoices!$B39)</x:f>
      </x:c>
      <x:c r="E39" s="66" t="str">
        <x:f>IF($A39="","",Invoices!$R39)</x:f>
      </x:c>
      <x:c r="F39" s="60" t="str">
        <x:f>IF($A39="","",Invoices!$L39)</x:f>
      </x:c>
      <x:c r="G39" s="60" t="str">
        <x:f>IF($A39="","",Invoices!$G39)</x:f>
      </x:c>
      <x:c r="H39" s="60" t="str">
        <x:f>IF($A39="","",Invoices!$Q39)</x:f>
      </x:c>
      <x:c r="I39" s="52" t="str">
        <x:f>IF($A39="","",Invoices!$S39)</x:f>
      </x:c>
      <x:c r="J39" s="52" t="str">
        <x:f>IF($A39="","",Invoices!$T39)</x:f>
      </x:c>
      <x:c r="K39" s="52" t="str">
        <x:f>IF($A39="","",Invoices!$U39)</x:f>
      </x:c>
      <x:c r="L39" s="52" t="str">
        <x:f>IF($A39="","",IF($H39&lt;=0,"Closed",IF($K39="Current","Monitor",IF($K39="1-30","Follow up",IF($K39="31-60","Escalate",IF($K39="61-90","Urgent","Immediate action"))))))</x:f>
      </x:c>
    </x:row>
    <x:row r="40">
      <x:c r="A40" s="52" t="str">
        <x:f>IF(Invoices!$A40="","",Invoices!$A40)</x:f>
      </x:c>
      <x:c r="B40" s="52" t="str">
        <x:f>IF($A40="","",Invoices!$C40)</x:f>
      </x:c>
      <x:c r="C40" s="52" t="str">
        <x:f>IF($A40="","",Invoices!$D40)</x:f>
      </x:c>
      <x:c r="D40" s="66" t="str">
        <x:f>IF($A40="","",Invoices!$B40)</x:f>
      </x:c>
      <x:c r="E40" s="66" t="str">
        <x:f>IF($A40="","",Invoices!$R40)</x:f>
      </x:c>
      <x:c r="F40" s="60" t="str">
        <x:f>IF($A40="","",Invoices!$L40)</x:f>
      </x:c>
      <x:c r="G40" s="60" t="str">
        <x:f>IF($A40="","",Invoices!$G40)</x:f>
      </x:c>
      <x:c r="H40" s="60" t="str">
        <x:f>IF($A40="","",Invoices!$Q40)</x:f>
      </x:c>
      <x:c r="I40" s="52" t="str">
        <x:f>IF($A40="","",Invoices!$S40)</x:f>
      </x:c>
      <x:c r="J40" s="52" t="str">
        <x:f>IF($A40="","",Invoices!$T40)</x:f>
      </x:c>
      <x:c r="K40" s="52" t="str">
        <x:f>IF($A40="","",Invoices!$U40)</x:f>
      </x:c>
      <x:c r="L40" s="52" t="str">
        <x:f>IF($A40="","",IF($H40&lt;=0,"Closed",IF($K40="Current","Monitor",IF($K40="1-30","Follow up",IF($K40="31-60","Escalate",IF($K40="61-90","Urgent","Immediate action"))))))</x:f>
      </x:c>
    </x:row>
    <x:row r="41">
      <x:c r="A41" s="52" t="str">
        <x:f>IF(Invoices!$A41="","",Invoices!$A41)</x:f>
      </x:c>
      <x:c r="B41" s="52" t="str">
        <x:f>IF($A41="","",Invoices!$C41)</x:f>
      </x:c>
      <x:c r="C41" s="52" t="str">
        <x:f>IF($A41="","",Invoices!$D41)</x:f>
      </x:c>
      <x:c r="D41" s="66" t="str">
        <x:f>IF($A41="","",Invoices!$B41)</x:f>
      </x:c>
      <x:c r="E41" s="66" t="str">
        <x:f>IF($A41="","",Invoices!$R41)</x:f>
      </x:c>
      <x:c r="F41" s="60" t="str">
        <x:f>IF($A41="","",Invoices!$L41)</x:f>
      </x:c>
      <x:c r="G41" s="60" t="str">
        <x:f>IF($A41="","",Invoices!$G41)</x:f>
      </x:c>
      <x:c r="H41" s="60" t="str">
        <x:f>IF($A41="","",Invoices!$Q41)</x:f>
      </x:c>
      <x:c r="I41" s="52" t="str">
        <x:f>IF($A41="","",Invoices!$S41)</x:f>
      </x:c>
      <x:c r="J41" s="52" t="str">
        <x:f>IF($A41="","",Invoices!$T41)</x:f>
      </x:c>
      <x:c r="K41" s="52" t="str">
        <x:f>IF($A41="","",Invoices!$U41)</x:f>
      </x:c>
      <x:c r="L41" s="52" t="str">
        <x:f>IF($A41="","",IF($H41&lt;=0,"Closed",IF($K41="Current","Monitor",IF($K41="1-30","Follow up",IF($K41="31-60","Escalate",IF($K41="61-90","Urgent","Immediate action"))))))</x:f>
      </x:c>
    </x:row>
    <x:row r="42">
      <x:c r="A42" s="52" t="str">
        <x:f>IF(Invoices!$A42="","",Invoices!$A42)</x:f>
      </x:c>
      <x:c r="B42" s="52" t="str">
        <x:f>IF($A42="","",Invoices!$C42)</x:f>
      </x:c>
      <x:c r="C42" s="52" t="str">
        <x:f>IF($A42="","",Invoices!$D42)</x:f>
      </x:c>
      <x:c r="D42" s="66" t="str">
        <x:f>IF($A42="","",Invoices!$B42)</x:f>
      </x:c>
      <x:c r="E42" s="66" t="str">
        <x:f>IF($A42="","",Invoices!$R42)</x:f>
      </x:c>
      <x:c r="F42" s="60" t="str">
        <x:f>IF($A42="","",Invoices!$L42)</x:f>
      </x:c>
      <x:c r="G42" s="60" t="str">
        <x:f>IF($A42="","",Invoices!$G42)</x:f>
      </x:c>
      <x:c r="H42" s="60" t="str">
        <x:f>IF($A42="","",Invoices!$Q42)</x:f>
      </x:c>
      <x:c r="I42" s="52" t="str">
        <x:f>IF($A42="","",Invoices!$S42)</x:f>
      </x:c>
      <x:c r="J42" s="52" t="str">
        <x:f>IF($A42="","",Invoices!$T42)</x:f>
      </x:c>
      <x:c r="K42" s="52" t="str">
        <x:f>IF($A42="","",Invoices!$U42)</x:f>
      </x:c>
      <x:c r="L42" s="52" t="str">
        <x:f>IF($A42="","",IF($H42&lt;=0,"Closed",IF($K42="Current","Monitor",IF($K42="1-30","Follow up",IF($K42="31-60","Escalate",IF($K42="61-90","Urgent","Immediate action"))))))</x:f>
      </x:c>
    </x:row>
    <x:row r="43">
      <x:c r="A43" s="52" t="str">
        <x:f>IF(Invoices!$A43="","",Invoices!$A43)</x:f>
      </x:c>
      <x:c r="B43" s="52" t="str">
        <x:f>IF($A43="","",Invoices!$C43)</x:f>
      </x:c>
      <x:c r="C43" s="52" t="str">
        <x:f>IF($A43="","",Invoices!$D43)</x:f>
      </x:c>
      <x:c r="D43" s="66" t="str">
        <x:f>IF($A43="","",Invoices!$B43)</x:f>
      </x:c>
      <x:c r="E43" s="66" t="str">
        <x:f>IF($A43="","",Invoices!$R43)</x:f>
      </x:c>
      <x:c r="F43" s="60" t="str">
        <x:f>IF($A43="","",Invoices!$L43)</x:f>
      </x:c>
      <x:c r="G43" s="60" t="str">
        <x:f>IF($A43="","",Invoices!$G43)</x:f>
      </x:c>
      <x:c r="H43" s="60" t="str">
        <x:f>IF($A43="","",Invoices!$Q43)</x:f>
      </x:c>
      <x:c r="I43" s="52" t="str">
        <x:f>IF($A43="","",Invoices!$S43)</x:f>
      </x:c>
      <x:c r="J43" s="52" t="str">
        <x:f>IF($A43="","",Invoices!$T43)</x:f>
      </x:c>
      <x:c r="K43" s="52" t="str">
        <x:f>IF($A43="","",Invoices!$U43)</x:f>
      </x:c>
      <x:c r="L43" s="52" t="str">
        <x:f>IF($A43="","",IF($H43&lt;=0,"Closed",IF($K43="Current","Monitor",IF($K43="1-30","Follow up",IF($K43="31-60","Escalate",IF($K43="61-90","Urgent","Immediate action"))))))</x:f>
      </x:c>
    </x:row>
    <x:row r="44">
      <x:c r="A44" s="52" t="str">
        <x:f>IF(Invoices!$A44="","",Invoices!$A44)</x:f>
      </x:c>
      <x:c r="B44" s="52" t="str">
        <x:f>IF($A44="","",Invoices!$C44)</x:f>
      </x:c>
      <x:c r="C44" s="52" t="str">
        <x:f>IF($A44="","",Invoices!$D44)</x:f>
      </x:c>
      <x:c r="D44" s="66" t="str">
        <x:f>IF($A44="","",Invoices!$B44)</x:f>
      </x:c>
      <x:c r="E44" s="66" t="str">
        <x:f>IF($A44="","",Invoices!$R44)</x:f>
      </x:c>
      <x:c r="F44" s="60" t="str">
        <x:f>IF($A44="","",Invoices!$L44)</x:f>
      </x:c>
      <x:c r="G44" s="60" t="str">
        <x:f>IF($A44="","",Invoices!$G44)</x:f>
      </x:c>
      <x:c r="H44" s="60" t="str">
        <x:f>IF($A44="","",Invoices!$Q44)</x:f>
      </x:c>
      <x:c r="I44" s="52" t="str">
        <x:f>IF($A44="","",Invoices!$S44)</x:f>
      </x:c>
      <x:c r="J44" s="52" t="str">
        <x:f>IF($A44="","",Invoices!$T44)</x:f>
      </x:c>
      <x:c r="K44" s="52" t="str">
        <x:f>IF($A44="","",Invoices!$U44)</x:f>
      </x:c>
      <x:c r="L44" s="52" t="str">
        <x:f>IF($A44="","",IF($H44&lt;=0,"Closed",IF($K44="Current","Monitor",IF($K44="1-30","Follow up",IF($K44="31-60","Escalate",IF($K44="61-90","Urgent","Immediate action"))))))</x:f>
      </x:c>
    </x:row>
    <x:row r="45">
      <x:c r="A45" s="52" t="str">
        <x:f>IF(Invoices!$A45="","",Invoices!$A45)</x:f>
      </x:c>
      <x:c r="B45" s="52" t="str">
        <x:f>IF($A45="","",Invoices!$C45)</x:f>
      </x:c>
      <x:c r="C45" s="52" t="str">
        <x:f>IF($A45="","",Invoices!$D45)</x:f>
      </x:c>
      <x:c r="D45" s="66" t="str">
        <x:f>IF($A45="","",Invoices!$B45)</x:f>
      </x:c>
      <x:c r="E45" s="66" t="str">
        <x:f>IF($A45="","",Invoices!$R45)</x:f>
      </x:c>
      <x:c r="F45" s="60" t="str">
        <x:f>IF($A45="","",Invoices!$L45)</x:f>
      </x:c>
      <x:c r="G45" s="60" t="str">
        <x:f>IF($A45="","",Invoices!$G45)</x:f>
      </x:c>
      <x:c r="H45" s="60" t="str">
        <x:f>IF($A45="","",Invoices!$Q45)</x:f>
      </x:c>
      <x:c r="I45" s="52" t="str">
        <x:f>IF($A45="","",Invoices!$S45)</x:f>
      </x:c>
      <x:c r="J45" s="52" t="str">
        <x:f>IF($A45="","",Invoices!$T45)</x:f>
      </x:c>
      <x:c r="K45" s="52" t="str">
        <x:f>IF($A45="","",Invoices!$U45)</x:f>
      </x:c>
      <x:c r="L45" s="52" t="str">
        <x:f>IF($A45="","",IF($H45&lt;=0,"Closed",IF($K45="Current","Monitor",IF($K45="1-30","Follow up",IF($K45="31-60","Escalate",IF($K45="61-90","Urgent","Immediate action"))))))</x:f>
      </x:c>
    </x:row>
    <x:row r="46">
      <x:c r="A46" s="52" t="str">
        <x:f>IF(Invoices!$A46="","",Invoices!$A46)</x:f>
      </x:c>
      <x:c r="B46" s="52" t="str">
        <x:f>IF($A46="","",Invoices!$C46)</x:f>
      </x:c>
      <x:c r="C46" s="52" t="str">
        <x:f>IF($A46="","",Invoices!$D46)</x:f>
      </x:c>
      <x:c r="D46" s="66" t="str">
        <x:f>IF($A46="","",Invoices!$B46)</x:f>
      </x:c>
      <x:c r="E46" s="66" t="str">
        <x:f>IF($A46="","",Invoices!$R46)</x:f>
      </x:c>
      <x:c r="F46" s="60" t="str">
        <x:f>IF($A46="","",Invoices!$L46)</x:f>
      </x:c>
      <x:c r="G46" s="60" t="str">
        <x:f>IF($A46="","",Invoices!$G46)</x:f>
      </x:c>
      <x:c r="H46" s="60" t="str">
        <x:f>IF($A46="","",Invoices!$Q46)</x:f>
      </x:c>
      <x:c r="I46" s="52" t="str">
        <x:f>IF($A46="","",Invoices!$S46)</x:f>
      </x:c>
      <x:c r="J46" s="52" t="str">
        <x:f>IF($A46="","",Invoices!$T46)</x:f>
      </x:c>
      <x:c r="K46" s="52" t="str">
        <x:f>IF($A46="","",Invoices!$U46)</x:f>
      </x:c>
      <x:c r="L46" s="52" t="str">
        <x:f>IF($A46="","",IF($H46&lt;=0,"Closed",IF($K46="Current","Monitor",IF($K46="1-30","Follow up",IF($K46="31-60","Escalate",IF($K46="61-90","Urgent","Immediate action"))))))</x:f>
      </x:c>
    </x:row>
    <x:row r="47">
      <x:c r="A47" s="52" t="str">
        <x:f>IF(Invoices!$A47="","",Invoices!$A47)</x:f>
      </x:c>
      <x:c r="B47" s="52" t="str">
        <x:f>IF($A47="","",Invoices!$C47)</x:f>
      </x:c>
      <x:c r="C47" s="52" t="str">
        <x:f>IF($A47="","",Invoices!$D47)</x:f>
      </x:c>
      <x:c r="D47" s="66" t="str">
        <x:f>IF($A47="","",Invoices!$B47)</x:f>
      </x:c>
      <x:c r="E47" s="66" t="str">
        <x:f>IF($A47="","",Invoices!$R47)</x:f>
      </x:c>
      <x:c r="F47" s="60" t="str">
        <x:f>IF($A47="","",Invoices!$L47)</x:f>
      </x:c>
      <x:c r="G47" s="60" t="str">
        <x:f>IF($A47="","",Invoices!$G47)</x:f>
      </x:c>
      <x:c r="H47" s="60" t="str">
        <x:f>IF($A47="","",Invoices!$Q47)</x:f>
      </x:c>
      <x:c r="I47" s="52" t="str">
        <x:f>IF($A47="","",Invoices!$S47)</x:f>
      </x:c>
      <x:c r="J47" s="52" t="str">
        <x:f>IF($A47="","",Invoices!$T47)</x:f>
      </x:c>
      <x:c r="K47" s="52" t="str">
        <x:f>IF($A47="","",Invoices!$U47)</x:f>
      </x:c>
      <x:c r="L47" s="52" t="str">
        <x:f>IF($A47="","",IF($H47&lt;=0,"Closed",IF($K47="Current","Monitor",IF($K47="1-30","Follow up",IF($K47="31-60","Escalate",IF($K47="61-90","Urgent","Immediate action"))))))</x:f>
      </x:c>
    </x:row>
    <x:row r="48">
      <x:c r="A48" s="52" t="str">
        <x:f>IF(Invoices!$A48="","",Invoices!$A48)</x:f>
      </x:c>
      <x:c r="B48" s="52" t="str">
        <x:f>IF($A48="","",Invoices!$C48)</x:f>
      </x:c>
      <x:c r="C48" s="52" t="str">
        <x:f>IF($A48="","",Invoices!$D48)</x:f>
      </x:c>
      <x:c r="D48" s="66" t="str">
        <x:f>IF($A48="","",Invoices!$B48)</x:f>
      </x:c>
      <x:c r="E48" s="66" t="str">
        <x:f>IF($A48="","",Invoices!$R48)</x:f>
      </x:c>
      <x:c r="F48" s="60" t="str">
        <x:f>IF($A48="","",Invoices!$L48)</x:f>
      </x:c>
      <x:c r="G48" s="60" t="str">
        <x:f>IF($A48="","",Invoices!$G48)</x:f>
      </x:c>
      <x:c r="H48" s="60" t="str">
        <x:f>IF($A48="","",Invoices!$Q48)</x:f>
      </x:c>
      <x:c r="I48" s="52" t="str">
        <x:f>IF($A48="","",Invoices!$S48)</x:f>
      </x:c>
      <x:c r="J48" s="52" t="str">
        <x:f>IF($A48="","",Invoices!$T48)</x:f>
      </x:c>
      <x:c r="K48" s="52" t="str">
        <x:f>IF($A48="","",Invoices!$U48)</x:f>
      </x:c>
      <x:c r="L48" s="52" t="str">
        <x:f>IF($A48="","",IF($H48&lt;=0,"Closed",IF($K48="Current","Monitor",IF($K48="1-30","Follow up",IF($K48="31-60","Escalate",IF($K48="61-90","Urgent","Immediate action"))))))</x:f>
      </x:c>
    </x:row>
    <x:row r="49">
      <x:c r="A49" s="52" t="str">
        <x:f>IF(Invoices!$A49="","",Invoices!$A49)</x:f>
      </x:c>
      <x:c r="B49" s="52" t="str">
        <x:f>IF($A49="","",Invoices!$C49)</x:f>
      </x:c>
      <x:c r="C49" s="52" t="str">
        <x:f>IF($A49="","",Invoices!$D49)</x:f>
      </x:c>
      <x:c r="D49" s="66" t="str">
        <x:f>IF($A49="","",Invoices!$B49)</x:f>
      </x:c>
      <x:c r="E49" s="66" t="str">
        <x:f>IF($A49="","",Invoices!$R49)</x:f>
      </x:c>
      <x:c r="F49" s="60" t="str">
        <x:f>IF($A49="","",Invoices!$L49)</x:f>
      </x:c>
      <x:c r="G49" s="60" t="str">
        <x:f>IF($A49="","",Invoices!$G49)</x:f>
      </x:c>
      <x:c r="H49" s="60" t="str">
        <x:f>IF($A49="","",Invoices!$Q49)</x:f>
      </x:c>
      <x:c r="I49" s="52" t="str">
        <x:f>IF($A49="","",Invoices!$S49)</x:f>
      </x:c>
      <x:c r="J49" s="52" t="str">
        <x:f>IF($A49="","",Invoices!$T49)</x:f>
      </x:c>
      <x:c r="K49" s="52" t="str">
        <x:f>IF($A49="","",Invoices!$U49)</x:f>
      </x:c>
      <x:c r="L49" s="52" t="str">
        <x:f>IF($A49="","",IF($H49&lt;=0,"Closed",IF($K49="Current","Monitor",IF($K49="1-30","Follow up",IF($K49="31-60","Escalate",IF($K49="61-90","Urgent","Immediate action"))))))</x:f>
      </x:c>
    </x:row>
    <x:row r="50">
      <x:c r="A50" s="52" t="str">
        <x:f>IF(Invoices!$A50="","",Invoices!$A50)</x:f>
      </x:c>
      <x:c r="B50" s="52" t="str">
        <x:f>IF($A50="","",Invoices!$C50)</x:f>
      </x:c>
      <x:c r="C50" s="52" t="str">
        <x:f>IF($A50="","",Invoices!$D50)</x:f>
      </x:c>
      <x:c r="D50" s="66" t="str">
        <x:f>IF($A50="","",Invoices!$B50)</x:f>
      </x:c>
      <x:c r="E50" s="66" t="str">
        <x:f>IF($A50="","",Invoices!$R50)</x:f>
      </x:c>
      <x:c r="F50" s="60" t="str">
        <x:f>IF($A50="","",Invoices!$L50)</x:f>
      </x:c>
      <x:c r="G50" s="60" t="str">
        <x:f>IF($A50="","",Invoices!$G50)</x:f>
      </x:c>
      <x:c r="H50" s="60" t="str">
        <x:f>IF($A50="","",Invoices!$Q50)</x:f>
      </x:c>
      <x:c r="I50" s="52" t="str">
        <x:f>IF($A50="","",Invoices!$S50)</x:f>
      </x:c>
      <x:c r="J50" s="52" t="str">
        <x:f>IF($A50="","",Invoices!$T50)</x:f>
      </x:c>
      <x:c r="K50" s="52" t="str">
        <x:f>IF($A50="","",Invoices!$U50)</x:f>
      </x:c>
      <x:c r="L50" s="52" t="str">
        <x:f>IF($A50="","",IF($H50&lt;=0,"Closed",IF($K50="Current","Monitor",IF($K50="1-30","Follow up",IF($K50="31-60","Escalate",IF($K50="61-90","Urgent","Immediate action"))))))</x:f>
      </x:c>
    </x:row>
    <x:row r="51">
      <x:c r="A51" s="52" t="str">
        <x:f>IF(Invoices!$A51="","",Invoices!$A51)</x:f>
      </x:c>
      <x:c r="B51" s="52" t="str">
        <x:f>IF($A51="","",Invoices!$C51)</x:f>
      </x:c>
      <x:c r="C51" s="52" t="str">
        <x:f>IF($A51="","",Invoices!$D51)</x:f>
      </x:c>
      <x:c r="D51" s="66" t="str">
        <x:f>IF($A51="","",Invoices!$B51)</x:f>
      </x:c>
      <x:c r="E51" s="66" t="str">
        <x:f>IF($A51="","",Invoices!$R51)</x:f>
      </x:c>
      <x:c r="F51" s="60" t="str">
        <x:f>IF($A51="","",Invoices!$L51)</x:f>
      </x:c>
      <x:c r="G51" s="60" t="str">
        <x:f>IF($A51="","",Invoices!$G51)</x:f>
      </x:c>
      <x:c r="H51" s="60" t="str">
        <x:f>IF($A51="","",Invoices!$Q51)</x:f>
      </x:c>
      <x:c r="I51" s="52" t="str">
        <x:f>IF($A51="","",Invoices!$S51)</x:f>
      </x:c>
      <x:c r="J51" s="52" t="str">
        <x:f>IF($A51="","",Invoices!$T51)</x:f>
      </x:c>
      <x:c r="K51" s="52" t="str">
        <x:f>IF($A51="","",Invoices!$U51)</x:f>
      </x:c>
      <x:c r="L51" s="52" t="str">
        <x:f>IF($A51="","",IF($H51&lt;=0,"Closed",IF($K51="Current","Monitor",IF($K51="1-30","Follow up",IF($K51="31-60","Escalate",IF($K51="61-90","Urgent","Immediate action"))))))</x:f>
      </x:c>
    </x:row>
    <x:row r="52">
      <x:c r="A52" s="52" t="str">
        <x:f>IF(Invoices!$A52="","",Invoices!$A52)</x:f>
      </x:c>
      <x:c r="B52" s="52" t="str">
        <x:f>IF($A52="","",Invoices!$C52)</x:f>
      </x:c>
      <x:c r="C52" s="52" t="str">
        <x:f>IF($A52="","",Invoices!$D52)</x:f>
      </x:c>
      <x:c r="D52" s="66" t="str">
        <x:f>IF($A52="","",Invoices!$B52)</x:f>
      </x:c>
      <x:c r="E52" s="66" t="str">
        <x:f>IF($A52="","",Invoices!$R52)</x:f>
      </x:c>
      <x:c r="F52" s="60" t="str">
        <x:f>IF($A52="","",Invoices!$L52)</x:f>
      </x:c>
      <x:c r="G52" s="60" t="str">
        <x:f>IF($A52="","",Invoices!$G52)</x:f>
      </x:c>
      <x:c r="H52" s="60" t="str">
        <x:f>IF($A52="","",Invoices!$Q52)</x:f>
      </x:c>
      <x:c r="I52" s="52" t="str">
        <x:f>IF($A52="","",Invoices!$S52)</x:f>
      </x:c>
      <x:c r="J52" s="52" t="str">
        <x:f>IF($A52="","",Invoices!$T52)</x:f>
      </x:c>
      <x:c r="K52" s="52" t="str">
        <x:f>IF($A52="","",Invoices!$U52)</x:f>
      </x:c>
      <x:c r="L52" s="52" t="str">
        <x:f>IF($A52="","",IF($H52&lt;=0,"Closed",IF($K52="Current","Monitor",IF($K52="1-30","Follow up",IF($K52="31-60","Escalate",IF($K52="61-90","Urgent","Immediate action"))))))</x:f>
      </x:c>
    </x:row>
    <x:row r="53">
      <x:c r="A53" s="52" t="str">
        <x:f>IF(Invoices!$A53="","",Invoices!$A53)</x:f>
      </x:c>
      <x:c r="B53" s="52" t="str">
        <x:f>IF($A53="","",Invoices!$C53)</x:f>
      </x:c>
      <x:c r="C53" s="52" t="str">
        <x:f>IF($A53="","",Invoices!$D53)</x:f>
      </x:c>
      <x:c r="D53" s="66" t="str">
        <x:f>IF($A53="","",Invoices!$B53)</x:f>
      </x:c>
      <x:c r="E53" s="66" t="str">
        <x:f>IF($A53="","",Invoices!$R53)</x:f>
      </x:c>
      <x:c r="F53" s="60" t="str">
        <x:f>IF($A53="","",Invoices!$L53)</x:f>
      </x:c>
      <x:c r="G53" s="60" t="str">
        <x:f>IF($A53="","",Invoices!$G53)</x:f>
      </x:c>
      <x:c r="H53" s="60" t="str">
        <x:f>IF($A53="","",Invoices!$Q53)</x:f>
      </x:c>
      <x:c r="I53" s="52" t="str">
        <x:f>IF($A53="","",Invoices!$S53)</x:f>
      </x:c>
      <x:c r="J53" s="52" t="str">
        <x:f>IF($A53="","",Invoices!$T53)</x:f>
      </x:c>
      <x:c r="K53" s="52" t="str">
        <x:f>IF($A53="","",Invoices!$U53)</x:f>
      </x:c>
      <x:c r="L53" s="52" t="str">
        <x:f>IF($A53="","",IF($H53&lt;=0,"Closed",IF($K53="Current","Monitor",IF($K53="1-30","Follow up",IF($K53="31-60","Escalate",IF($K53="61-90","Urgent","Immediate action"))))))</x:f>
      </x:c>
    </x:row>
    <x:row r="54">
      <x:c r="A54" s="52" t="str">
        <x:f>IF(Invoices!$A54="","",Invoices!$A54)</x:f>
      </x:c>
      <x:c r="B54" s="52" t="str">
        <x:f>IF($A54="","",Invoices!$C54)</x:f>
      </x:c>
      <x:c r="C54" s="52" t="str">
        <x:f>IF($A54="","",Invoices!$D54)</x:f>
      </x:c>
      <x:c r="D54" s="66" t="str">
        <x:f>IF($A54="","",Invoices!$B54)</x:f>
      </x:c>
      <x:c r="E54" s="66" t="str">
        <x:f>IF($A54="","",Invoices!$R54)</x:f>
      </x:c>
      <x:c r="F54" s="60" t="str">
        <x:f>IF($A54="","",Invoices!$L54)</x:f>
      </x:c>
      <x:c r="G54" s="60" t="str">
        <x:f>IF($A54="","",Invoices!$G54)</x:f>
      </x:c>
      <x:c r="H54" s="60" t="str">
        <x:f>IF($A54="","",Invoices!$Q54)</x:f>
      </x:c>
      <x:c r="I54" s="52" t="str">
        <x:f>IF($A54="","",Invoices!$S54)</x:f>
      </x:c>
      <x:c r="J54" s="52" t="str">
        <x:f>IF($A54="","",Invoices!$T54)</x:f>
      </x:c>
      <x:c r="K54" s="52" t="str">
        <x:f>IF($A54="","",Invoices!$U54)</x:f>
      </x:c>
      <x:c r="L54" s="52" t="str">
        <x:f>IF($A54="","",IF($H54&lt;=0,"Closed",IF($K54="Current","Monitor",IF($K54="1-30","Follow up",IF($K54="31-60","Escalate",IF($K54="61-90","Urgent","Immediate action"))))))</x:f>
      </x:c>
    </x:row>
    <x:row r="55">
      <x:c r="A55" s="52" t="str">
        <x:f>IF(Invoices!$A55="","",Invoices!$A55)</x:f>
      </x:c>
      <x:c r="B55" s="52" t="str">
        <x:f>IF($A55="","",Invoices!$C55)</x:f>
      </x:c>
      <x:c r="C55" s="52" t="str">
        <x:f>IF($A55="","",Invoices!$D55)</x:f>
      </x:c>
      <x:c r="D55" s="66" t="str">
        <x:f>IF($A55="","",Invoices!$B55)</x:f>
      </x:c>
      <x:c r="E55" s="66" t="str">
        <x:f>IF($A55="","",Invoices!$R55)</x:f>
      </x:c>
      <x:c r="F55" s="60" t="str">
        <x:f>IF($A55="","",Invoices!$L55)</x:f>
      </x:c>
      <x:c r="G55" s="60" t="str">
        <x:f>IF($A55="","",Invoices!$G55)</x:f>
      </x:c>
      <x:c r="H55" s="60" t="str">
        <x:f>IF($A55="","",Invoices!$Q55)</x:f>
      </x:c>
      <x:c r="I55" s="52" t="str">
        <x:f>IF($A55="","",Invoices!$S55)</x:f>
      </x:c>
      <x:c r="J55" s="52" t="str">
        <x:f>IF($A55="","",Invoices!$T55)</x:f>
      </x:c>
      <x:c r="K55" s="52" t="str">
        <x:f>IF($A55="","",Invoices!$U55)</x:f>
      </x:c>
      <x:c r="L55" s="52" t="str">
        <x:f>IF($A55="","",IF($H55&lt;=0,"Closed",IF($K55="Current","Monitor",IF($K55="1-30","Follow up",IF($K55="31-60","Escalate",IF($K55="61-90","Urgent","Immediate action"))))))</x:f>
      </x:c>
    </x:row>
    <x:row r="56">
      <x:c r="A56" s="52" t="str">
        <x:f>IF(Invoices!$A56="","",Invoices!$A56)</x:f>
      </x:c>
      <x:c r="B56" s="52" t="str">
        <x:f>IF($A56="","",Invoices!$C56)</x:f>
      </x:c>
      <x:c r="C56" s="52" t="str">
        <x:f>IF($A56="","",Invoices!$D56)</x:f>
      </x:c>
      <x:c r="D56" s="66" t="str">
        <x:f>IF($A56="","",Invoices!$B56)</x:f>
      </x:c>
      <x:c r="E56" s="66" t="str">
        <x:f>IF($A56="","",Invoices!$R56)</x:f>
      </x:c>
      <x:c r="F56" s="60" t="str">
        <x:f>IF($A56="","",Invoices!$L56)</x:f>
      </x:c>
      <x:c r="G56" s="60" t="str">
        <x:f>IF($A56="","",Invoices!$G56)</x:f>
      </x:c>
      <x:c r="H56" s="60" t="str">
        <x:f>IF($A56="","",Invoices!$Q56)</x:f>
      </x:c>
      <x:c r="I56" s="52" t="str">
        <x:f>IF($A56="","",Invoices!$S56)</x:f>
      </x:c>
      <x:c r="J56" s="52" t="str">
        <x:f>IF($A56="","",Invoices!$T56)</x:f>
      </x:c>
      <x:c r="K56" s="52" t="str">
        <x:f>IF($A56="","",Invoices!$U56)</x:f>
      </x:c>
      <x:c r="L56" s="52" t="str">
        <x:f>IF($A56="","",IF($H56&lt;=0,"Closed",IF($K56="Current","Monitor",IF($K56="1-30","Follow up",IF($K56="31-60","Escalate",IF($K56="61-90","Urgent","Immediate action"))))))</x:f>
      </x:c>
    </x:row>
    <x:row r="57">
      <x:c r="A57" s="52" t="str">
        <x:f>IF(Invoices!$A57="","",Invoices!$A57)</x:f>
      </x:c>
      <x:c r="B57" s="52" t="str">
        <x:f>IF($A57="","",Invoices!$C57)</x:f>
      </x:c>
      <x:c r="C57" s="52" t="str">
        <x:f>IF($A57="","",Invoices!$D57)</x:f>
      </x:c>
      <x:c r="D57" s="66" t="str">
        <x:f>IF($A57="","",Invoices!$B57)</x:f>
      </x:c>
      <x:c r="E57" s="66" t="str">
        <x:f>IF($A57="","",Invoices!$R57)</x:f>
      </x:c>
      <x:c r="F57" s="60" t="str">
        <x:f>IF($A57="","",Invoices!$L57)</x:f>
      </x:c>
      <x:c r="G57" s="60" t="str">
        <x:f>IF($A57="","",Invoices!$G57)</x:f>
      </x:c>
      <x:c r="H57" s="60" t="str">
        <x:f>IF($A57="","",Invoices!$Q57)</x:f>
      </x:c>
      <x:c r="I57" s="52" t="str">
        <x:f>IF($A57="","",Invoices!$S57)</x:f>
      </x:c>
      <x:c r="J57" s="52" t="str">
        <x:f>IF($A57="","",Invoices!$T57)</x:f>
      </x:c>
      <x:c r="K57" s="52" t="str">
        <x:f>IF($A57="","",Invoices!$U57)</x:f>
      </x:c>
      <x:c r="L57" s="52" t="str">
        <x:f>IF($A57="","",IF($H57&lt;=0,"Closed",IF($K57="Current","Monitor",IF($K57="1-30","Follow up",IF($K57="31-60","Escalate",IF($K57="61-90","Urgent","Immediate action"))))))</x:f>
      </x:c>
    </x:row>
    <x:row r="58">
      <x:c r="A58" s="52" t="str">
        <x:f>IF(Invoices!$A58="","",Invoices!$A58)</x:f>
      </x:c>
      <x:c r="B58" s="52" t="str">
        <x:f>IF($A58="","",Invoices!$C58)</x:f>
      </x:c>
      <x:c r="C58" s="52" t="str">
        <x:f>IF($A58="","",Invoices!$D58)</x:f>
      </x:c>
      <x:c r="D58" s="66" t="str">
        <x:f>IF($A58="","",Invoices!$B58)</x:f>
      </x:c>
      <x:c r="E58" s="66" t="str">
        <x:f>IF($A58="","",Invoices!$R58)</x:f>
      </x:c>
      <x:c r="F58" s="60" t="str">
        <x:f>IF($A58="","",Invoices!$L58)</x:f>
      </x:c>
      <x:c r="G58" s="60" t="str">
        <x:f>IF($A58="","",Invoices!$G58)</x:f>
      </x:c>
      <x:c r="H58" s="60" t="str">
        <x:f>IF($A58="","",Invoices!$Q58)</x:f>
      </x:c>
      <x:c r="I58" s="52" t="str">
        <x:f>IF($A58="","",Invoices!$S58)</x:f>
      </x:c>
      <x:c r="J58" s="52" t="str">
        <x:f>IF($A58="","",Invoices!$T58)</x:f>
      </x:c>
      <x:c r="K58" s="52" t="str">
        <x:f>IF($A58="","",Invoices!$U58)</x:f>
      </x:c>
      <x:c r="L58" s="52" t="str">
        <x:f>IF($A58="","",IF($H58&lt;=0,"Closed",IF($K58="Current","Monitor",IF($K58="1-30","Follow up",IF($K58="31-60","Escalate",IF($K58="61-90","Urgent","Immediate action"))))))</x:f>
      </x:c>
    </x:row>
    <x:row r="59">
      <x:c r="A59" s="52" t="str">
        <x:f>IF(Invoices!$A59="","",Invoices!$A59)</x:f>
      </x:c>
      <x:c r="B59" s="52" t="str">
        <x:f>IF($A59="","",Invoices!$C59)</x:f>
      </x:c>
      <x:c r="C59" s="52" t="str">
        <x:f>IF($A59="","",Invoices!$D59)</x:f>
      </x:c>
      <x:c r="D59" s="66" t="str">
        <x:f>IF($A59="","",Invoices!$B59)</x:f>
      </x:c>
      <x:c r="E59" s="66" t="str">
        <x:f>IF($A59="","",Invoices!$R59)</x:f>
      </x:c>
      <x:c r="F59" s="60" t="str">
        <x:f>IF($A59="","",Invoices!$L59)</x:f>
      </x:c>
      <x:c r="G59" s="60" t="str">
        <x:f>IF($A59="","",Invoices!$G59)</x:f>
      </x:c>
      <x:c r="H59" s="60" t="str">
        <x:f>IF($A59="","",Invoices!$Q59)</x:f>
      </x:c>
      <x:c r="I59" s="52" t="str">
        <x:f>IF($A59="","",Invoices!$S59)</x:f>
      </x:c>
      <x:c r="J59" s="52" t="str">
        <x:f>IF($A59="","",Invoices!$T59)</x:f>
      </x:c>
      <x:c r="K59" s="52" t="str">
        <x:f>IF($A59="","",Invoices!$U59)</x:f>
      </x:c>
      <x:c r="L59" s="52" t="str">
        <x:f>IF($A59="","",IF($H59&lt;=0,"Closed",IF($K59="Current","Monitor",IF($K59="1-30","Follow up",IF($K59="31-60","Escalate",IF($K59="61-90","Urgent","Immediate action"))))))</x:f>
      </x:c>
    </x:row>
    <x:row r="60">
      <x:c r="A60" s="52" t="str">
        <x:f>IF(Invoices!$A60="","",Invoices!$A60)</x:f>
      </x:c>
      <x:c r="B60" s="52" t="str">
        <x:f>IF($A60="","",Invoices!$C60)</x:f>
      </x:c>
      <x:c r="C60" s="52" t="str">
        <x:f>IF($A60="","",Invoices!$D60)</x:f>
      </x:c>
      <x:c r="D60" s="66" t="str">
        <x:f>IF($A60="","",Invoices!$B60)</x:f>
      </x:c>
      <x:c r="E60" s="66" t="str">
        <x:f>IF($A60="","",Invoices!$R60)</x:f>
      </x:c>
      <x:c r="F60" s="60" t="str">
        <x:f>IF($A60="","",Invoices!$L60)</x:f>
      </x:c>
      <x:c r="G60" s="60" t="str">
        <x:f>IF($A60="","",Invoices!$G60)</x:f>
      </x:c>
      <x:c r="H60" s="60" t="str">
        <x:f>IF($A60="","",Invoices!$Q60)</x:f>
      </x:c>
      <x:c r="I60" s="52" t="str">
        <x:f>IF($A60="","",Invoices!$S60)</x:f>
      </x:c>
      <x:c r="J60" s="52" t="str">
        <x:f>IF($A60="","",Invoices!$T60)</x:f>
      </x:c>
      <x:c r="K60" s="52" t="str">
        <x:f>IF($A60="","",Invoices!$U60)</x:f>
      </x:c>
      <x:c r="L60" s="52" t="str">
        <x:f>IF($A60="","",IF($H60&lt;=0,"Closed",IF($K60="Current","Monitor",IF($K60="1-30","Follow up",IF($K60="31-60","Escalate",IF($K60="61-90","Urgent","Immediate action"))))))</x:f>
      </x:c>
    </x:row>
    <x:row r="61">
      <x:c r="A61" s="52" t="str">
        <x:f>IF(Invoices!$A61="","",Invoices!$A61)</x:f>
      </x:c>
      <x:c r="B61" s="52" t="str">
        <x:f>IF($A61="","",Invoices!$C61)</x:f>
      </x:c>
      <x:c r="C61" s="52" t="str">
        <x:f>IF($A61="","",Invoices!$D61)</x:f>
      </x:c>
      <x:c r="D61" s="66" t="str">
        <x:f>IF($A61="","",Invoices!$B61)</x:f>
      </x:c>
      <x:c r="E61" s="66" t="str">
        <x:f>IF($A61="","",Invoices!$R61)</x:f>
      </x:c>
      <x:c r="F61" s="60" t="str">
        <x:f>IF($A61="","",Invoices!$L61)</x:f>
      </x:c>
      <x:c r="G61" s="60" t="str">
        <x:f>IF($A61="","",Invoices!$G61)</x:f>
      </x:c>
      <x:c r="H61" s="60" t="str">
        <x:f>IF($A61="","",Invoices!$Q61)</x:f>
      </x:c>
      <x:c r="I61" s="52" t="str">
        <x:f>IF($A61="","",Invoices!$S61)</x:f>
      </x:c>
      <x:c r="J61" s="52" t="str">
        <x:f>IF($A61="","",Invoices!$T61)</x:f>
      </x:c>
      <x:c r="K61" s="52" t="str">
        <x:f>IF($A61="","",Invoices!$U61)</x:f>
      </x:c>
      <x:c r="L61" s="52" t="str">
        <x:f>IF($A61="","",IF($H61&lt;=0,"Closed",IF($K61="Current","Monitor",IF($K61="1-30","Follow up",IF($K61="31-60","Escalate",IF($K61="61-90","Urgent","Immediate action"))))))</x:f>
      </x:c>
    </x:row>
    <x:row r="62">
      <x:c r="A62" s="52" t="str">
        <x:f>IF(Invoices!$A62="","",Invoices!$A62)</x:f>
      </x:c>
      <x:c r="B62" s="52" t="str">
        <x:f>IF($A62="","",Invoices!$C62)</x:f>
      </x:c>
      <x:c r="C62" s="52" t="str">
        <x:f>IF($A62="","",Invoices!$D62)</x:f>
      </x:c>
      <x:c r="D62" s="66" t="str">
        <x:f>IF($A62="","",Invoices!$B62)</x:f>
      </x:c>
      <x:c r="E62" s="66" t="str">
        <x:f>IF($A62="","",Invoices!$R62)</x:f>
      </x:c>
      <x:c r="F62" s="60" t="str">
        <x:f>IF($A62="","",Invoices!$L62)</x:f>
      </x:c>
      <x:c r="G62" s="60" t="str">
        <x:f>IF($A62="","",Invoices!$G62)</x:f>
      </x:c>
      <x:c r="H62" s="60" t="str">
        <x:f>IF($A62="","",Invoices!$Q62)</x:f>
      </x:c>
      <x:c r="I62" s="52" t="str">
        <x:f>IF($A62="","",Invoices!$S62)</x:f>
      </x:c>
      <x:c r="J62" s="52" t="str">
        <x:f>IF($A62="","",Invoices!$T62)</x:f>
      </x:c>
      <x:c r="K62" s="52" t="str">
        <x:f>IF($A62="","",Invoices!$U62)</x:f>
      </x:c>
      <x:c r="L62" s="52" t="str">
        <x:f>IF($A62="","",IF($H62&lt;=0,"Closed",IF($K62="Current","Monitor",IF($K62="1-30","Follow up",IF($K62="31-60","Escalate",IF($K62="61-90","Urgent","Immediate action"))))))</x:f>
      </x:c>
    </x:row>
    <x:row r="63">
      <x:c r="A63" s="52" t="str">
        <x:f>IF(Invoices!$A63="","",Invoices!$A63)</x:f>
      </x:c>
      <x:c r="B63" s="52" t="str">
        <x:f>IF($A63="","",Invoices!$C63)</x:f>
      </x:c>
      <x:c r="C63" s="52" t="str">
        <x:f>IF($A63="","",Invoices!$D63)</x:f>
      </x:c>
      <x:c r="D63" s="66" t="str">
        <x:f>IF($A63="","",Invoices!$B63)</x:f>
      </x:c>
      <x:c r="E63" s="66" t="str">
        <x:f>IF($A63="","",Invoices!$R63)</x:f>
      </x:c>
      <x:c r="F63" s="60" t="str">
        <x:f>IF($A63="","",Invoices!$L63)</x:f>
      </x:c>
      <x:c r="G63" s="60" t="str">
        <x:f>IF($A63="","",Invoices!$G63)</x:f>
      </x:c>
      <x:c r="H63" s="60" t="str">
        <x:f>IF($A63="","",Invoices!$Q63)</x:f>
      </x:c>
      <x:c r="I63" s="52" t="str">
        <x:f>IF($A63="","",Invoices!$S63)</x:f>
      </x:c>
      <x:c r="J63" s="52" t="str">
        <x:f>IF($A63="","",Invoices!$T63)</x:f>
      </x:c>
      <x:c r="K63" s="52" t="str">
        <x:f>IF($A63="","",Invoices!$U63)</x:f>
      </x:c>
      <x:c r="L63" s="52" t="str">
        <x:f>IF($A63="","",IF($H63&lt;=0,"Closed",IF($K63="Current","Monitor",IF($K63="1-30","Follow up",IF($K63="31-60","Escalate",IF($K63="61-90","Urgent","Immediate action"))))))</x:f>
      </x:c>
    </x:row>
    <x:row r="64">
      <x:c r="A64" s="52" t="str">
        <x:f>IF(Invoices!$A64="","",Invoices!$A64)</x:f>
      </x:c>
      <x:c r="B64" s="52" t="str">
        <x:f>IF($A64="","",Invoices!$C64)</x:f>
      </x:c>
      <x:c r="C64" s="52" t="str">
        <x:f>IF($A64="","",Invoices!$D64)</x:f>
      </x:c>
      <x:c r="D64" s="66" t="str">
        <x:f>IF($A64="","",Invoices!$B64)</x:f>
      </x:c>
      <x:c r="E64" s="66" t="str">
        <x:f>IF($A64="","",Invoices!$R64)</x:f>
      </x:c>
      <x:c r="F64" s="60" t="str">
        <x:f>IF($A64="","",Invoices!$L64)</x:f>
      </x:c>
      <x:c r="G64" s="60" t="str">
        <x:f>IF($A64="","",Invoices!$G64)</x:f>
      </x:c>
      <x:c r="H64" s="60" t="str">
        <x:f>IF($A64="","",Invoices!$Q64)</x:f>
      </x:c>
      <x:c r="I64" s="52" t="str">
        <x:f>IF($A64="","",Invoices!$S64)</x:f>
      </x:c>
      <x:c r="J64" s="52" t="str">
        <x:f>IF($A64="","",Invoices!$T64)</x:f>
      </x:c>
      <x:c r="K64" s="52" t="str">
        <x:f>IF($A64="","",Invoices!$U64)</x:f>
      </x:c>
      <x:c r="L64" s="52" t="str">
        <x:f>IF($A64="","",IF($H64&lt;=0,"Closed",IF($K64="Current","Monitor",IF($K64="1-30","Follow up",IF($K64="31-60","Escalate",IF($K64="61-90","Urgent","Immediate action"))))))</x:f>
      </x:c>
    </x:row>
    <x:row r="65">
      <x:c r="A65" s="52" t="str">
        <x:f>IF(Invoices!$A65="","",Invoices!$A65)</x:f>
      </x:c>
      <x:c r="B65" s="52" t="str">
        <x:f>IF($A65="","",Invoices!$C65)</x:f>
      </x:c>
      <x:c r="C65" s="52" t="str">
        <x:f>IF($A65="","",Invoices!$D65)</x:f>
      </x:c>
      <x:c r="D65" s="66" t="str">
        <x:f>IF($A65="","",Invoices!$B65)</x:f>
      </x:c>
      <x:c r="E65" s="66" t="str">
        <x:f>IF($A65="","",Invoices!$R65)</x:f>
      </x:c>
      <x:c r="F65" s="60" t="str">
        <x:f>IF($A65="","",Invoices!$L65)</x:f>
      </x:c>
      <x:c r="G65" s="60" t="str">
        <x:f>IF($A65="","",Invoices!$G65)</x:f>
      </x:c>
      <x:c r="H65" s="60" t="str">
        <x:f>IF($A65="","",Invoices!$Q65)</x:f>
      </x:c>
      <x:c r="I65" s="52" t="str">
        <x:f>IF($A65="","",Invoices!$S65)</x:f>
      </x:c>
      <x:c r="J65" s="52" t="str">
        <x:f>IF($A65="","",Invoices!$T65)</x:f>
      </x:c>
      <x:c r="K65" s="52" t="str">
        <x:f>IF($A65="","",Invoices!$U65)</x:f>
      </x:c>
      <x:c r="L65" s="52" t="str">
        <x:f>IF($A65="","",IF($H65&lt;=0,"Closed",IF($K65="Current","Monitor",IF($K65="1-30","Follow up",IF($K65="31-60","Escalate",IF($K65="61-90","Urgent","Immediate action"))))))</x:f>
      </x:c>
    </x:row>
    <x:row r="66">
      <x:c r="A66" s="52" t="str">
        <x:f>IF(Invoices!$A66="","",Invoices!$A66)</x:f>
      </x:c>
      <x:c r="B66" s="52" t="str">
        <x:f>IF($A66="","",Invoices!$C66)</x:f>
      </x:c>
      <x:c r="C66" s="52" t="str">
        <x:f>IF($A66="","",Invoices!$D66)</x:f>
      </x:c>
      <x:c r="D66" s="66" t="str">
        <x:f>IF($A66="","",Invoices!$B66)</x:f>
      </x:c>
      <x:c r="E66" s="66" t="str">
        <x:f>IF($A66="","",Invoices!$R66)</x:f>
      </x:c>
      <x:c r="F66" s="60" t="str">
        <x:f>IF($A66="","",Invoices!$L66)</x:f>
      </x:c>
      <x:c r="G66" s="60" t="str">
        <x:f>IF($A66="","",Invoices!$G66)</x:f>
      </x:c>
      <x:c r="H66" s="60" t="str">
        <x:f>IF($A66="","",Invoices!$Q66)</x:f>
      </x:c>
      <x:c r="I66" s="52" t="str">
        <x:f>IF($A66="","",Invoices!$S66)</x:f>
      </x:c>
      <x:c r="J66" s="52" t="str">
        <x:f>IF($A66="","",Invoices!$T66)</x:f>
      </x:c>
      <x:c r="K66" s="52" t="str">
        <x:f>IF($A66="","",Invoices!$U66)</x:f>
      </x:c>
      <x:c r="L66" s="52" t="str">
        <x:f>IF($A66="","",IF($H66&lt;=0,"Closed",IF($K66="Current","Monitor",IF($K66="1-30","Follow up",IF($K66="31-60","Escalate",IF($K66="61-90","Urgent","Immediate action"))))))</x:f>
      </x:c>
    </x:row>
    <x:row r="67">
      <x:c r="A67" s="52" t="str">
        <x:f>IF(Invoices!$A67="","",Invoices!$A67)</x:f>
      </x:c>
      <x:c r="B67" s="52" t="str">
        <x:f>IF($A67="","",Invoices!$C67)</x:f>
      </x:c>
      <x:c r="C67" s="52" t="str">
        <x:f>IF($A67="","",Invoices!$D67)</x:f>
      </x:c>
      <x:c r="D67" s="66" t="str">
        <x:f>IF($A67="","",Invoices!$B67)</x:f>
      </x:c>
      <x:c r="E67" s="66" t="str">
        <x:f>IF($A67="","",Invoices!$R67)</x:f>
      </x:c>
      <x:c r="F67" s="60" t="str">
        <x:f>IF($A67="","",Invoices!$L67)</x:f>
      </x:c>
      <x:c r="G67" s="60" t="str">
        <x:f>IF($A67="","",Invoices!$G67)</x:f>
      </x:c>
      <x:c r="H67" s="60" t="str">
        <x:f>IF($A67="","",Invoices!$Q67)</x:f>
      </x:c>
      <x:c r="I67" s="52" t="str">
        <x:f>IF($A67="","",Invoices!$S67)</x:f>
      </x:c>
      <x:c r="J67" s="52" t="str">
        <x:f>IF($A67="","",Invoices!$T67)</x:f>
      </x:c>
      <x:c r="K67" s="52" t="str">
        <x:f>IF($A67="","",Invoices!$U67)</x:f>
      </x:c>
      <x:c r="L67" s="52" t="str">
        <x:f>IF($A67="","",IF($H67&lt;=0,"Closed",IF($K67="Current","Monitor",IF($K67="1-30","Follow up",IF($K67="31-60","Escalate",IF($K67="61-90","Urgent","Immediate action"))))))</x:f>
      </x:c>
    </x:row>
    <x:row r="68">
      <x:c r="A68" s="52" t="str">
        <x:f>IF(Invoices!$A68="","",Invoices!$A68)</x:f>
      </x:c>
      <x:c r="B68" s="52" t="str">
        <x:f>IF($A68="","",Invoices!$C68)</x:f>
      </x:c>
      <x:c r="C68" s="52" t="str">
        <x:f>IF($A68="","",Invoices!$D68)</x:f>
      </x:c>
      <x:c r="D68" s="66" t="str">
        <x:f>IF($A68="","",Invoices!$B68)</x:f>
      </x:c>
      <x:c r="E68" s="66" t="str">
        <x:f>IF($A68="","",Invoices!$R68)</x:f>
      </x:c>
      <x:c r="F68" s="60" t="str">
        <x:f>IF($A68="","",Invoices!$L68)</x:f>
      </x:c>
      <x:c r="G68" s="60" t="str">
        <x:f>IF($A68="","",Invoices!$G68)</x:f>
      </x:c>
      <x:c r="H68" s="60" t="str">
        <x:f>IF($A68="","",Invoices!$Q68)</x:f>
      </x:c>
      <x:c r="I68" s="52" t="str">
        <x:f>IF($A68="","",Invoices!$S68)</x:f>
      </x:c>
      <x:c r="J68" s="52" t="str">
        <x:f>IF($A68="","",Invoices!$T68)</x:f>
      </x:c>
      <x:c r="K68" s="52" t="str">
        <x:f>IF($A68="","",Invoices!$U68)</x:f>
      </x:c>
      <x:c r="L68" s="52" t="str">
        <x:f>IF($A68="","",IF($H68&lt;=0,"Closed",IF($K68="Current","Monitor",IF($K68="1-30","Follow up",IF($K68="31-60","Escalate",IF($K68="61-90","Urgent","Immediate action"))))))</x:f>
      </x:c>
    </x:row>
    <x:row r="69">
      <x:c r="A69" s="52" t="str">
        <x:f>IF(Invoices!$A69="","",Invoices!$A69)</x:f>
      </x:c>
      <x:c r="B69" s="52" t="str">
        <x:f>IF($A69="","",Invoices!$C69)</x:f>
      </x:c>
      <x:c r="C69" s="52" t="str">
        <x:f>IF($A69="","",Invoices!$D69)</x:f>
      </x:c>
      <x:c r="D69" s="66" t="str">
        <x:f>IF($A69="","",Invoices!$B69)</x:f>
      </x:c>
      <x:c r="E69" s="66" t="str">
        <x:f>IF($A69="","",Invoices!$R69)</x:f>
      </x:c>
      <x:c r="F69" s="60" t="str">
        <x:f>IF($A69="","",Invoices!$L69)</x:f>
      </x:c>
      <x:c r="G69" s="60" t="str">
        <x:f>IF($A69="","",Invoices!$G69)</x:f>
      </x:c>
      <x:c r="H69" s="60" t="str">
        <x:f>IF($A69="","",Invoices!$Q69)</x:f>
      </x:c>
      <x:c r="I69" s="52" t="str">
        <x:f>IF($A69="","",Invoices!$S69)</x:f>
      </x:c>
      <x:c r="J69" s="52" t="str">
        <x:f>IF($A69="","",Invoices!$T69)</x:f>
      </x:c>
      <x:c r="K69" s="52" t="str">
        <x:f>IF($A69="","",Invoices!$U69)</x:f>
      </x:c>
      <x:c r="L69" s="52" t="str">
        <x:f>IF($A69="","",IF($H69&lt;=0,"Closed",IF($K69="Current","Monitor",IF($K69="1-30","Follow up",IF($K69="31-60","Escalate",IF($K69="61-90","Urgent","Immediate action"))))))</x:f>
      </x:c>
    </x:row>
    <x:row r="70">
      <x:c r="A70" s="52" t="str">
        <x:f>IF(Invoices!$A70="","",Invoices!$A70)</x:f>
      </x:c>
      <x:c r="B70" s="52" t="str">
        <x:f>IF($A70="","",Invoices!$C70)</x:f>
      </x:c>
      <x:c r="C70" s="52" t="str">
        <x:f>IF($A70="","",Invoices!$D70)</x:f>
      </x:c>
      <x:c r="D70" s="66" t="str">
        <x:f>IF($A70="","",Invoices!$B70)</x:f>
      </x:c>
      <x:c r="E70" s="66" t="str">
        <x:f>IF($A70="","",Invoices!$R70)</x:f>
      </x:c>
      <x:c r="F70" s="60" t="str">
        <x:f>IF($A70="","",Invoices!$L70)</x:f>
      </x:c>
      <x:c r="G70" s="60" t="str">
        <x:f>IF($A70="","",Invoices!$G70)</x:f>
      </x:c>
      <x:c r="H70" s="60" t="str">
        <x:f>IF($A70="","",Invoices!$Q70)</x:f>
      </x:c>
      <x:c r="I70" s="52" t="str">
        <x:f>IF($A70="","",Invoices!$S70)</x:f>
      </x:c>
      <x:c r="J70" s="52" t="str">
        <x:f>IF($A70="","",Invoices!$T70)</x:f>
      </x:c>
      <x:c r="K70" s="52" t="str">
        <x:f>IF($A70="","",Invoices!$U70)</x:f>
      </x:c>
      <x:c r="L70" s="52" t="str">
        <x:f>IF($A70="","",IF($H70&lt;=0,"Closed",IF($K70="Current","Monitor",IF($K70="1-30","Follow up",IF($K70="31-60","Escalate",IF($K70="61-90","Urgent","Immediate action"))))))</x:f>
      </x:c>
    </x:row>
    <x:row r="71">
      <x:c r="A71" s="52" t="str">
        <x:f>IF(Invoices!$A71="","",Invoices!$A71)</x:f>
      </x:c>
      <x:c r="B71" s="52" t="str">
        <x:f>IF($A71="","",Invoices!$C71)</x:f>
      </x:c>
      <x:c r="C71" s="52" t="str">
        <x:f>IF($A71="","",Invoices!$D71)</x:f>
      </x:c>
      <x:c r="D71" s="66" t="str">
        <x:f>IF($A71="","",Invoices!$B71)</x:f>
      </x:c>
      <x:c r="E71" s="66" t="str">
        <x:f>IF($A71="","",Invoices!$R71)</x:f>
      </x:c>
      <x:c r="F71" s="60" t="str">
        <x:f>IF($A71="","",Invoices!$L71)</x:f>
      </x:c>
      <x:c r="G71" s="60" t="str">
        <x:f>IF($A71="","",Invoices!$G71)</x:f>
      </x:c>
      <x:c r="H71" s="60" t="str">
        <x:f>IF($A71="","",Invoices!$Q71)</x:f>
      </x:c>
      <x:c r="I71" s="52" t="str">
        <x:f>IF($A71="","",Invoices!$S71)</x:f>
      </x:c>
      <x:c r="J71" s="52" t="str">
        <x:f>IF($A71="","",Invoices!$T71)</x:f>
      </x:c>
      <x:c r="K71" s="52" t="str">
        <x:f>IF($A71="","",Invoices!$U71)</x:f>
      </x:c>
      <x:c r="L71" s="52" t="str">
        <x:f>IF($A71="","",IF($H71&lt;=0,"Closed",IF($K71="Current","Monitor",IF($K71="1-30","Follow up",IF($K71="31-60","Escalate",IF($K71="61-90","Urgent","Immediate action"))))))</x:f>
      </x:c>
    </x:row>
    <x:row r="72">
      <x:c r="A72" s="52" t="str">
        <x:f>IF(Invoices!$A72="","",Invoices!$A72)</x:f>
      </x:c>
      <x:c r="B72" s="52" t="str">
        <x:f>IF($A72="","",Invoices!$C72)</x:f>
      </x:c>
      <x:c r="C72" s="52" t="str">
        <x:f>IF($A72="","",Invoices!$D72)</x:f>
      </x:c>
      <x:c r="D72" s="66" t="str">
        <x:f>IF($A72="","",Invoices!$B72)</x:f>
      </x:c>
      <x:c r="E72" s="66" t="str">
        <x:f>IF($A72="","",Invoices!$R72)</x:f>
      </x:c>
      <x:c r="F72" s="60" t="str">
        <x:f>IF($A72="","",Invoices!$L72)</x:f>
      </x:c>
      <x:c r="G72" s="60" t="str">
        <x:f>IF($A72="","",Invoices!$G72)</x:f>
      </x:c>
      <x:c r="H72" s="60" t="str">
        <x:f>IF($A72="","",Invoices!$Q72)</x:f>
      </x:c>
      <x:c r="I72" s="52" t="str">
        <x:f>IF($A72="","",Invoices!$S72)</x:f>
      </x:c>
      <x:c r="J72" s="52" t="str">
        <x:f>IF($A72="","",Invoices!$T72)</x:f>
      </x:c>
      <x:c r="K72" s="52" t="str">
        <x:f>IF($A72="","",Invoices!$U72)</x:f>
      </x:c>
      <x:c r="L72" s="52" t="str">
        <x:f>IF($A72="","",IF($H72&lt;=0,"Closed",IF($K72="Current","Monitor",IF($K72="1-30","Follow up",IF($K72="31-60","Escalate",IF($K72="61-90","Urgent","Immediate action"))))))</x:f>
      </x:c>
    </x:row>
    <x:row r="73">
      <x:c r="A73" s="52" t="str">
        <x:f>IF(Invoices!$A73="","",Invoices!$A73)</x:f>
      </x:c>
      <x:c r="B73" s="52" t="str">
        <x:f>IF($A73="","",Invoices!$C73)</x:f>
      </x:c>
      <x:c r="C73" s="52" t="str">
        <x:f>IF($A73="","",Invoices!$D73)</x:f>
      </x:c>
      <x:c r="D73" s="66" t="str">
        <x:f>IF($A73="","",Invoices!$B73)</x:f>
      </x:c>
      <x:c r="E73" s="66" t="str">
        <x:f>IF($A73="","",Invoices!$R73)</x:f>
      </x:c>
      <x:c r="F73" s="60" t="str">
        <x:f>IF($A73="","",Invoices!$L73)</x:f>
      </x:c>
      <x:c r="G73" s="60" t="str">
        <x:f>IF($A73="","",Invoices!$G73)</x:f>
      </x:c>
      <x:c r="H73" s="60" t="str">
        <x:f>IF($A73="","",Invoices!$Q73)</x:f>
      </x:c>
      <x:c r="I73" s="52" t="str">
        <x:f>IF($A73="","",Invoices!$S73)</x:f>
      </x:c>
      <x:c r="J73" s="52" t="str">
        <x:f>IF($A73="","",Invoices!$T73)</x:f>
      </x:c>
      <x:c r="K73" s="52" t="str">
        <x:f>IF($A73="","",Invoices!$U73)</x:f>
      </x:c>
      <x:c r="L73" s="52" t="str">
        <x:f>IF($A73="","",IF($H73&lt;=0,"Closed",IF($K73="Current","Monitor",IF($K73="1-30","Follow up",IF($K73="31-60","Escalate",IF($K73="61-90","Urgent","Immediate action"))))))</x:f>
      </x:c>
    </x:row>
    <x:row r="74">
      <x:c r="A74" s="52" t="str">
        <x:f>IF(Invoices!$A74="","",Invoices!$A74)</x:f>
      </x:c>
      <x:c r="B74" s="52" t="str">
        <x:f>IF($A74="","",Invoices!$C74)</x:f>
      </x:c>
      <x:c r="C74" s="52" t="str">
        <x:f>IF($A74="","",Invoices!$D74)</x:f>
      </x:c>
      <x:c r="D74" s="66" t="str">
        <x:f>IF($A74="","",Invoices!$B74)</x:f>
      </x:c>
      <x:c r="E74" s="66" t="str">
        <x:f>IF($A74="","",Invoices!$R74)</x:f>
      </x:c>
      <x:c r="F74" s="60" t="str">
        <x:f>IF($A74="","",Invoices!$L74)</x:f>
      </x:c>
      <x:c r="G74" s="60" t="str">
        <x:f>IF($A74="","",Invoices!$G74)</x:f>
      </x:c>
      <x:c r="H74" s="60" t="str">
        <x:f>IF($A74="","",Invoices!$Q74)</x:f>
      </x:c>
      <x:c r="I74" s="52" t="str">
        <x:f>IF($A74="","",Invoices!$S74)</x:f>
      </x:c>
      <x:c r="J74" s="52" t="str">
        <x:f>IF($A74="","",Invoices!$T74)</x:f>
      </x:c>
      <x:c r="K74" s="52" t="str">
        <x:f>IF($A74="","",Invoices!$U74)</x:f>
      </x:c>
      <x:c r="L74" s="52" t="str">
        <x:f>IF($A74="","",IF($H74&lt;=0,"Closed",IF($K74="Current","Monitor",IF($K74="1-30","Follow up",IF($K74="31-60","Escalate",IF($K74="61-90","Urgent","Immediate action"))))))</x:f>
      </x:c>
    </x:row>
    <x:row r="75">
      <x:c r="A75" s="52" t="str">
        <x:f>IF(Invoices!$A75="","",Invoices!$A75)</x:f>
      </x:c>
      <x:c r="B75" s="52" t="str">
        <x:f>IF($A75="","",Invoices!$C75)</x:f>
      </x:c>
      <x:c r="C75" s="52" t="str">
        <x:f>IF($A75="","",Invoices!$D75)</x:f>
      </x:c>
      <x:c r="D75" s="66" t="str">
        <x:f>IF($A75="","",Invoices!$B75)</x:f>
      </x:c>
      <x:c r="E75" s="66" t="str">
        <x:f>IF($A75="","",Invoices!$R75)</x:f>
      </x:c>
      <x:c r="F75" s="60" t="str">
        <x:f>IF($A75="","",Invoices!$L75)</x:f>
      </x:c>
      <x:c r="G75" s="60" t="str">
        <x:f>IF($A75="","",Invoices!$G75)</x:f>
      </x:c>
      <x:c r="H75" s="60" t="str">
        <x:f>IF($A75="","",Invoices!$Q75)</x:f>
      </x:c>
      <x:c r="I75" s="52" t="str">
        <x:f>IF($A75="","",Invoices!$S75)</x:f>
      </x:c>
      <x:c r="J75" s="52" t="str">
        <x:f>IF($A75="","",Invoices!$T75)</x:f>
      </x:c>
      <x:c r="K75" s="52" t="str">
        <x:f>IF($A75="","",Invoices!$U75)</x:f>
      </x:c>
      <x:c r="L75" s="52" t="str">
        <x:f>IF($A75="","",IF($H75&lt;=0,"Closed",IF($K75="Current","Monitor",IF($K75="1-30","Follow up",IF($K75="31-60","Escalate",IF($K75="61-90","Urgent","Immediate action"))))))</x:f>
      </x:c>
    </x:row>
    <x:row r="76">
      <x:c r="A76" s="52" t="str">
        <x:f>IF(Invoices!$A76="","",Invoices!$A76)</x:f>
      </x:c>
      <x:c r="B76" s="52" t="str">
        <x:f>IF($A76="","",Invoices!$C76)</x:f>
      </x:c>
      <x:c r="C76" s="52" t="str">
        <x:f>IF($A76="","",Invoices!$D76)</x:f>
      </x:c>
      <x:c r="D76" s="66" t="str">
        <x:f>IF($A76="","",Invoices!$B76)</x:f>
      </x:c>
      <x:c r="E76" s="66" t="str">
        <x:f>IF($A76="","",Invoices!$R76)</x:f>
      </x:c>
      <x:c r="F76" s="60" t="str">
        <x:f>IF($A76="","",Invoices!$L76)</x:f>
      </x:c>
      <x:c r="G76" s="60" t="str">
        <x:f>IF($A76="","",Invoices!$G76)</x:f>
      </x:c>
      <x:c r="H76" s="60" t="str">
        <x:f>IF($A76="","",Invoices!$Q76)</x:f>
      </x:c>
      <x:c r="I76" s="52" t="str">
        <x:f>IF($A76="","",Invoices!$S76)</x:f>
      </x:c>
      <x:c r="J76" s="52" t="str">
        <x:f>IF($A76="","",Invoices!$T76)</x:f>
      </x:c>
      <x:c r="K76" s="52" t="str">
        <x:f>IF($A76="","",Invoices!$U76)</x:f>
      </x:c>
      <x:c r="L76" s="52" t="str">
        <x:f>IF($A76="","",IF($H76&lt;=0,"Closed",IF($K76="Current","Monitor",IF($K76="1-30","Follow up",IF($K76="31-60","Escalate",IF($K76="61-90","Urgent","Immediate action"))))))</x:f>
      </x:c>
    </x:row>
    <x:row r="77">
      <x:c r="A77" s="52" t="str">
        <x:f>IF(Invoices!$A77="","",Invoices!$A77)</x:f>
      </x:c>
      <x:c r="B77" s="52" t="str">
        <x:f>IF($A77="","",Invoices!$C77)</x:f>
      </x:c>
      <x:c r="C77" s="52" t="str">
        <x:f>IF($A77="","",Invoices!$D77)</x:f>
      </x:c>
      <x:c r="D77" s="66" t="str">
        <x:f>IF($A77="","",Invoices!$B77)</x:f>
      </x:c>
      <x:c r="E77" s="66" t="str">
        <x:f>IF($A77="","",Invoices!$R77)</x:f>
      </x:c>
      <x:c r="F77" s="60" t="str">
        <x:f>IF($A77="","",Invoices!$L77)</x:f>
      </x:c>
      <x:c r="G77" s="60" t="str">
        <x:f>IF($A77="","",Invoices!$G77)</x:f>
      </x:c>
      <x:c r="H77" s="60" t="str">
        <x:f>IF($A77="","",Invoices!$Q77)</x:f>
      </x:c>
      <x:c r="I77" s="52" t="str">
        <x:f>IF($A77="","",Invoices!$S77)</x:f>
      </x:c>
      <x:c r="J77" s="52" t="str">
        <x:f>IF($A77="","",Invoices!$T77)</x:f>
      </x:c>
      <x:c r="K77" s="52" t="str">
        <x:f>IF($A77="","",Invoices!$U77)</x:f>
      </x:c>
      <x:c r="L77" s="52" t="str">
        <x:f>IF($A77="","",IF($H77&lt;=0,"Closed",IF($K77="Current","Monitor",IF($K77="1-30","Follow up",IF($K77="31-60","Escalate",IF($K77="61-90","Urgent","Immediate action"))))))</x:f>
      </x:c>
    </x:row>
    <x:row r="78">
      <x:c r="A78" s="52" t="str">
        <x:f>IF(Invoices!$A78="","",Invoices!$A78)</x:f>
      </x:c>
      <x:c r="B78" s="52" t="str">
        <x:f>IF($A78="","",Invoices!$C78)</x:f>
      </x:c>
      <x:c r="C78" s="52" t="str">
        <x:f>IF($A78="","",Invoices!$D78)</x:f>
      </x:c>
      <x:c r="D78" s="66" t="str">
        <x:f>IF($A78="","",Invoices!$B78)</x:f>
      </x:c>
      <x:c r="E78" s="66" t="str">
        <x:f>IF($A78="","",Invoices!$R78)</x:f>
      </x:c>
      <x:c r="F78" s="60" t="str">
        <x:f>IF($A78="","",Invoices!$L78)</x:f>
      </x:c>
      <x:c r="G78" s="60" t="str">
        <x:f>IF($A78="","",Invoices!$G78)</x:f>
      </x:c>
      <x:c r="H78" s="60" t="str">
        <x:f>IF($A78="","",Invoices!$Q78)</x:f>
      </x:c>
      <x:c r="I78" s="52" t="str">
        <x:f>IF($A78="","",Invoices!$S78)</x:f>
      </x:c>
      <x:c r="J78" s="52" t="str">
        <x:f>IF($A78="","",Invoices!$T78)</x:f>
      </x:c>
      <x:c r="K78" s="52" t="str">
        <x:f>IF($A78="","",Invoices!$U78)</x:f>
      </x:c>
      <x:c r="L78" s="52" t="str">
        <x:f>IF($A78="","",IF($H78&lt;=0,"Closed",IF($K78="Current","Monitor",IF($K78="1-30","Follow up",IF($K78="31-60","Escalate",IF($K78="61-90","Urgent","Immediate action"))))))</x:f>
      </x:c>
    </x:row>
    <x:row r="79">
      <x:c r="A79" s="52" t="str">
        <x:f>IF(Invoices!$A79="","",Invoices!$A79)</x:f>
      </x:c>
      <x:c r="B79" s="52" t="str">
        <x:f>IF($A79="","",Invoices!$C79)</x:f>
      </x:c>
      <x:c r="C79" s="52" t="str">
        <x:f>IF($A79="","",Invoices!$D79)</x:f>
      </x:c>
      <x:c r="D79" s="66" t="str">
        <x:f>IF($A79="","",Invoices!$B79)</x:f>
      </x:c>
      <x:c r="E79" s="66" t="str">
        <x:f>IF($A79="","",Invoices!$R79)</x:f>
      </x:c>
      <x:c r="F79" s="60" t="str">
        <x:f>IF($A79="","",Invoices!$L79)</x:f>
      </x:c>
      <x:c r="G79" s="60" t="str">
        <x:f>IF($A79="","",Invoices!$G79)</x:f>
      </x:c>
      <x:c r="H79" s="60" t="str">
        <x:f>IF($A79="","",Invoices!$Q79)</x:f>
      </x:c>
      <x:c r="I79" s="52" t="str">
        <x:f>IF($A79="","",Invoices!$S79)</x:f>
      </x:c>
      <x:c r="J79" s="52" t="str">
        <x:f>IF($A79="","",Invoices!$T79)</x:f>
      </x:c>
      <x:c r="K79" s="52" t="str">
        <x:f>IF($A79="","",Invoices!$U79)</x:f>
      </x:c>
      <x:c r="L79" s="52" t="str">
        <x:f>IF($A79="","",IF($H79&lt;=0,"Closed",IF($K79="Current","Monitor",IF($K79="1-30","Follow up",IF($K79="31-60","Escalate",IF($K79="61-90","Urgent","Immediate action"))))))</x:f>
      </x:c>
    </x:row>
    <x:row r="80">
      <x:c r="A80" s="52" t="str">
        <x:f>IF(Invoices!$A80="","",Invoices!$A80)</x:f>
      </x:c>
      <x:c r="B80" s="52" t="str">
        <x:f>IF($A80="","",Invoices!$C80)</x:f>
      </x:c>
      <x:c r="C80" s="52" t="str">
        <x:f>IF($A80="","",Invoices!$D80)</x:f>
      </x:c>
      <x:c r="D80" s="66" t="str">
        <x:f>IF($A80="","",Invoices!$B80)</x:f>
      </x:c>
      <x:c r="E80" s="66" t="str">
        <x:f>IF($A80="","",Invoices!$R80)</x:f>
      </x:c>
      <x:c r="F80" s="60" t="str">
        <x:f>IF($A80="","",Invoices!$L80)</x:f>
      </x:c>
      <x:c r="G80" s="60" t="str">
        <x:f>IF($A80="","",Invoices!$G80)</x:f>
      </x:c>
      <x:c r="H80" s="60" t="str">
        <x:f>IF($A80="","",Invoices!$Q80)</x:f>
      </x:c>
      <x:c r="I80" s="52" t="str">
        <x:f>IF($A80="","",Invoices!$S80)</x:f>
      </x:c>
      <x:c r="J80" s="52" t="str">
        <x:f>IF($A80="","",Invoices!$T80)</x:f>
      </x:c>
      <x:c r="K80" s="52" t="str">
        <x:f>IF($A80="","",Invoices!$U80)</x:f>
      </x:c>
      <x:c r="L80" s="52" t="str">
        <x:f>IF($A80="","",IF($H80&lt;=0,"Closed",IF($K80="Current","Monitor",IF($K80="1-30","Follow up",IF($K80="31-60","Escalate",IF($K80="61-90","Urgent","Immediate action"))))))</x:f>
      </x:c>
    </x:row>
    <x:row r="81">
      <x:c r="A81" s="52" t="str">
        <x:f>IF(Invoices!$A81="","",Invoices!$A81)</x:f>
      </x:c>
      <x:c r="B81" s="52" t="str">
        <x:f>IF($A81="","",Invoices!$C81)</x:f>
      </x:c>
      <x:c r="C81" s="52" t="str">
        <x:f>IF($A81="","",Invoices!$D81)</x:f>
      </x:c>
      <x:c r="D81" s="66" t="str">
        <x:f>IF($A81="","",Invoices!$B81)</x:f>
      </x:c>
      <x:c r="E81" s="66" t="str">
        <x:f>IF($A81="","",Invoices!$R81)</x:f>
      </x:c>
      <x:c r="F81" s="60" t="str">
        <x:f>IF($A81="","",Invoices!$L81)</x:f>
      </x:c>
      <x:c r="G81" s="60" t="str">
        <x:f>IF($A81="","",Invoices!$G81)</x:f>
      </x:c>
      <x:c r="H81" s="60" t="str">
        <x:f>IF($A81="","",Invoices!$Q81)</x:f>
      </x:c>
      <x:c r="I81" s="52" t="str">
        <x:f>IF($A81="","",Invoices!$S81)</x:f>
      </x:c>
      <x:c r="J81" s="52" t="str">
        <x:f>IF($A81="","",Invoices!$T81)</x:f>
      </x:c>
      <x:c r="K81" s="52" t="str">
        <x:f>IF($A81="","",Invoices!$U81)</x:f>
      </x:c>
      <x:c r="L81" s="52" t="str">
        <x:f>IF($A81="","",IF($H81&lt;=0,"Closed",IF($K81="Current","Monitor",IF($K81="1-30","Follow up",IF($K81="31-60","Escalate",IF($K81="61-90","Urgent","Immediate action"))))))</x:f>
      </x:c>
    </x:row>
    <x:row r="82">
      <x:c r="A82" s="52" t="str">
        <x:f>IF(Invoices!$A82="","",Invoices!$A82)</x:f>
      </x:c>
      <x:c r="B82" s="52" t="str">
        <x:f>IF($A82="","",Invoices!$C82)</x:f>
      </x:c>
      <x:c r="C82" s="52" t="str">
        <x:f>IF($A82="","",Invoices!$D82)</x:f>
      </x:c>
      <x:c r="D82" s="66" t="str">
        <x:f>IF($A82="","",Invoices!$B82)</x:f>
      </x:c>
      <x:c r="E82" s="66" t="str">
        <x:f>IF($A82="","",Invoices!$R82)</x:f>
      </x:c>
      <x:c r="F82" s="60" t="str">
        <x:f>IF($A82="","",Invoices!$L82)</x:f>
      </x:c>
      <x:c r="G82" s="60" t="str">
        <x:f>IF($A82="","",Invoices!$G82)</x:f>
      </x:c>
      <x:c r="H82" s="60" t="str">
        <x:f>IF($A82="","",Invoices!$Q82)</x:f>
      </x:c>
      <x:c r="I82" s="52" t="str">
        <x:f>IF($A82="","",Invoices!$S82)</x:f>
      </x:c>
      <x:c r="J82" s="52" t="str">
        <x:f>IF($A82="","",Invoices!$T82)</x:f>
      </x:c>
      <x:c r="K82" s="52" t="str">
        <x:f>IF($A82="","",Invoices!$U82)</x:f>
      </x:c>
      <x:c r="L82" s="52" t="str">
        <x:f>IF($A82="","",IF($H82&lt;=0,"Closed",IF($K82="Current","Monitor",IF($K82="1-30","Follow up",IF($K82="31-60","Escalate",IF($K82="61-90","Urgent","Immediate action"))))))</x:f>
      </x:c>
    </x:row>
    <x:row r="83">
      <x:c r="A83" s="52" t="str">
        <x:f>IF(Invoices!$A83="","",Invoices!$A83)</x:f>
      </x:c>
      <x:c r="B83" s="52" t="str">
        <x:f>IF($A83="","",Invoices!$C83)</x:f>
      </x:c>
      <x:c r="C83" s="52" t="str">
        <x:f>IF($A83="","",Invoices!$D83)</x:f>
      </x:c>
      <x:c r="D83" s="66" t="str">
        <x:f>IF($A83="","",Invoices!$B83)</x:f>
      </x:c>
      <x:c r="E83" s="66" t="str">
        <x:f>IF($A83="","",Invoices!$R83)</x:f>
      </x:c>
      <x:c r="F83" s="60" t="str">
        <x:f>IF($A83="","",Invoices!$L83)</x:f>
      </x:c>
      <x:c r="G83" s="60" t="str">
        <x:f>IF($A83="","",Invoices!$G83)</x:f>
      </x:c>
      <x:c r="H83" s="60" t="str">
        <x:f>IF($A83="","",Invoices!$Q83)</x:f>
      </x:c>
      <x:c r="I83" s="52" t="str">
        <x:f>IF($A83="","",Invoices!$S83)</x:f>
      </x:c>
      <x:c r="J83" s="52" t="str">
        <x:f>IF($A83="","",Invoices!$T83)</x:f>
      </x:c>
      <x:c r="K83" s="52" t="str">
        <x:f>IF($A83="","",Invoices!$U83)</x:f>
      </x:c>
      <x:c r="L83" s="52" t="str">
        <x:f>IF($A83="","",IF($H83&lt;=0,"Closed",IF($K83="Current","Monitor",IF($K83="1-30","Follow up",IF($K83="31-60","Escalate",IF($K83="61-90","Urgent","Immediate action"))))))</x:f>
      </x:c>
    </x:row>
    <x:row r="84">
      <x:c r="A84" s="52" t="str">
        <x:f>IF(Invoices!$A84="","",Invoices!$A84)</x:f>
      </x:c>
      <x:c r="B84" s="52" t="str">
        <x:f>IF($A84="","",Invoices!$C84)</x:f>
      </x:c>
      <x:c r="C84" s="52" t="str">
        <x:f>IF($A84="","",Invoices!$D84)</x:f>
      </x:c>
      <x:c r="D84" s="66" t="str">
        <x:f>IF($A84="","",Invoices!$B84)</x:f>
      </x:c>
      <x:c r="E84" s="66" t="str">
        <x:f>IF($A84="","",Invoices!$R84)</x:f>
      </x:c>
      <x:c r="F84" s="60" t="str">
        <x:f>IF($A84="","",Invoices!$L84)</x:f>
      </x:c>
      <x:c r="G84" s="60" t="str">
        <x:f>IF($A84="","",Invoices!$G84)</x:f>
      </x:c>
      <x:c r="H84" s="60" t="str">
        <x:f>IF($A84="","",Invoices!$Q84)</x:f>
      </x:c>
      <x:c r="I84" s="52" t="str">
        <x:f>IF($A84="","",Invoices!$S84)</x:f>
      </x:c>
      <x:c r="J84" s="52" t="str">
        <x:f>IF($A84="","",Invoices!$T84)</x:f>
      </x:c>
      <x:c r="K84" s="52" t="str">
        <x:f>IF($A84="","",Invoices!$U84)</x:f>
      </x:c>
      <x:c r="L84" s="52" t="str">
        <x:f>IF($A84="","",IF($H84&lt;=0,"Closed",IF($K84="Current","Monitor",IF($K84="1-30","Follow up",IF($K84="31-60","Escalate",IF($K84="61-90","Urgent","Immediate action"))))))</x:f>
      </x:c>
    </x:row>
    <x:row r="85">
      <x:c r="A85" s="52" t="str">
        <x:f>IF(Invoices!$A85="","",Invoices!$A85)</x:f>
      </x:c>
      <x:c r="B85" s="52" t="str">
        <x:f>IF($A85="","",Invoices!$C85)</x:f>
      </x:c>
      <x:c r="C85" s="52" t="str">
        <x:f>IF($A85="","",Invoices!$D85)</x:f>
      </x:c>
      <x:c r="D85" s="66" t="str">
        <x:f>IF($A85="","",Invoices!$B85)</x:f>
      </x:c>
      <x:c r="E85" s="66" t="str">
        <x:f>IF($A85="","",Invoices!$R85)</x:f>
      </x:c>
      <x:c r="F85" s="60" t="str">
        <x:f>IF($A85="","",Invoices!$L85)</x:f>
      </x:c>
      <x:c r="G85" s="60" t="str">
        <x:f>IF($A85="","",Invoices!$G85)</x:f>
      </x:c>
      <x:c r="H85" s="60" t="str">
        <x:f>IF($A85="","",Invoices!$Q85)</x:f>
      </x:c>
      <x:c r="I85" s="52" t="str">
        <x:f>IF($A85="","",Invoices!$S85)</x:f>
      </x:c>
      <x:c r="J85" s="52" t="str">
        <x:f>IF($A85="","",Invoices!$T85)</x:f>
      </x:c>
      <x:c r="K85" s="52" t="str">
        <x:f>IF($A85="","",Invoices!$U85)</x:f>
      </x:c>
      <x:c r="L85" s="52" t="str">
        <x:f>IF($A85="","",IF($H85&lt;=0,"Closed",IF($K85="Current","Monitor",IF($K85="1-30","Follow up",IF($K85="31-60","Escalate",IF($K85="61-90","Urgent","Immediate action"))))))</x:f>
      </x:c>
    </x:row>
    <x:row r="86">
      <x:c r="A86" s="52" t="str">
        <x:f>IF(Invoices!$A86="","",Invoices!$A86)</x:f>
      </x:c>
      <x:c r="B86" s="52" t="str">
        <x:f>IF($A86="","",Invoices!$C86)</x:f>
      </x:c>
      <x:c r="C86" s="52" t="str">
        <x:f>IF($A86="","",Invoices!$D86)</x:f>
      </x:c>
      <x:c r="D86" s="66" t="str">
        <x:f>IF($A86="","",Invoices!$B86)</x:f>
      </x:c>
      <x:c r="E86" s="66" t="str">
        <x:f>IF($A86="","",Invoices!$R86)</x:f>
      </x:c>
      <x:c r="F86" s="60" t="str">
        <x:f>IF($A86="","",Invoices!$L86)</x:f>
      </x:c>
      <x:c r="G86" s="60" t="str">
        <x:f>IF($A86="","",Invoices!$G86)</x:f>
      </x:c>
      <x:c r="H86" s="60" t="str">
        <x:f>IF($A86="","",Invoices!$Q86)</x:f>
      </x:c>
      <x:c r="I86" s="52" t="str">
        <x:f>IF($A86="","",Invoices!$S86)</x:f>
      </x:c>
      <x:c r="J86" s="52" t="str">
        <x:f>IF($A86="","",Invoices!$T86)</x:f>
      </x:c>
      <x:c r="K86" s="52" t="str">
        <x:f>IF($A86="","",Invoices!$U86)</x:f>
      </x:c>
      <x:c r="L86" s="52" t="str">
        <x:f>IF($A86="","",IF($H86&lt;=0,"Closed",IF($K86="Current","Monitor",IF($K86="1-30","Follow up",IF($K86="31-60","Escalate",IF($K86="61-90","Urgent","Immediate action"))))))</x:f>
      </x:c>
    </x:row>
    <x:row r="87">
      <x:c r="A87" s="52" t="str">
        <x:f>IF(Invoices!$A87="","",Invoices!$A87)</x:f>
      </x:c>
      <x:c r="B87" s="52" t="str">
        <x:f>IF($A87="","",Invoices!$C87)</x:f>
      </x:c>
      <x:c r="C87" s="52" t="str">
        <x:f>IF($A87="","",Invoices!$D87)</x:f>
      </x:c>
      <x:c r="D87" s="66" t="str">
        <x:f>IF($A87="","",Invoices!$B87)</x:f>
      </x:c>
      <x:c r="E87" s="66" t="str">
        <x:f>IF($A87="","",Invoices!$R87)</x:f>
      </x:c>
      <x:c r="F87" s="60" t="str">
        <x:f>IF($A87="","",Invoices!$L87)</x:f>
      </x:c>
      <x:c r="G87" s="60" t="str">
        <x:f>IF($A87="","",Invoices!$G87)</x:f>
      </x:c>
      <x:c r="H87" s="60" t="str">
        <x:f>IF($A87="","",Invoices!$Q87)</x:f>
      </x:c>
      <x:c r="I87" s="52" t="str">
        <x:f>IF($A87="","",Invoices!$S87)</x:f>
      </x:c>
      <x:c r="J87" s="52" t="str">
        <x:f>IF($A87="","",Invoices!$T87)</x:f>
      </x:c>
      <x:c r="K87" s="52" t="str">
        <x:f>IF($A87="","",Invoices!$U87)</x:f>
      </x:c>
      <x:c r="L87" s="52" t="str">
        <x:f>IF($A87="","",IF($H87&lt;=0,"Closed",IF($K87="Current","Monitor",IF($K87="1-30","Follow up",IF($K87="31-60","Escalate",IF($K87="61-90","Urgent","Immediate action"))))))</x:f>
      </x:c>
    </x:row>
    <x:row r="88">
      <x:c r="A88" s="52" t="str">
        <x:f>IF(Invoices!$A88="","",Invoices!$A88)</x:f>
      </x:c>
      <x:c r="B88" s="52" t="str">
        <x:f>IF($A88="","",Invoices!$C88)</x:f>
      </x:c>
      <x:c r="C88" s="52" t="str">
        <x:f>IF($A88="","",Invoices!$D88)</x:f>
      </x:c>
      <x:c r="D88" s="66" t="str">
        <x:f>IF($A88="","",Invoices!$B88)</x:f>
      </x:c>
      <x:c r="E88" s="66" t="str">
        <x:f>IF($A88="","",Invoices!$R88)</x:f>
      </x:c>
      <x:c r="F88" s="60" t="str">
        <x:f>IF($A88="","",Invoices!$L88)</x:f>
      </x:c>
      <x:c r="G88" s="60" t="str">
        <x:f>IF($A88="","",Invoices!$G88)</x:f>
      </x:c>
      <x:c r="H88" s="60" t="str">
        <x:f>IF($A88="","",Invoices!$Q88)</x:f>
      </x:c>
      <x:c r="I88" s="52" t="str">
        <x:f>IF($A88="","",Invoices!$S88)</x:f>
      </x:c>
      <x:c r="J88" s="52" t="str">
        <x:f>IF($A88="","",Invoices!$T88)</x:f>
      </x:c>
      <x:c r="K88" s="52" t="str">
        <x:f>IF($A88="","",Invoices!$U88)</x:f>
      </x:c>
      <x:c r="L88" s="52" t="str">
        <x:f>IF($A88="","",IF($H88&lt;=0,"Closed",IF($K88="Current","Monitor",IF($K88="1-30","Follow up",IF($K88="31-60","Escalate",IF($K88="61-90","Urgent","Immediate action"))))))</x:f>
      </x:c>
    </x:row>
    <x:row r="89">
      <x:c r="A89" s="52" t="str">
        <x:f>IF(Invoices!$A89="","",Invoices!$A89)</x:f>
      </x:c>
      <x:c r="B89" s="52" t="str">
        <x:f>IF($A89="","",Invoices!$C89)</x:f>
      </x:c>
      <x:c r="C89" s="52" t="str">
        <x:f>IF($A89="","",Invoices!$D89)</x:f>
      </x:c>
      <x:c r="D89" s="66" t="str">
        <x:f>IF($A89="","",Invoices!$B89)</x:f>
      </x:c>
      <x:c r="E89" s="66" t="str">
        <x:f>IF($A89="","",Invoices!$R89)</x:f>
      </x:c>
      <x:c r="F89" s="60" t="str">
        <x:f>IF($A89="","",Invoices!$L89)</x:f>
      </x:c>
      <x:c r="G89" s="60" t="str">
        <x:f>IF($A89="","",Invoices!$G89)</x:f>
      </x:c>
      <x:c r="H89" s="60" t="str">
        <x:f>IF($A89="","",Invoices!$Q89)</x:f>
      </x:c>
      <x:c r="I89" s="52" t="str">
        <x:f>IF($A89="","",Invoices!$S89)</x:f>
      </x:c>
      <x:c r="J89" s="52" t="str">
        <x:f>IF($A89="","",Invoices!$T89)</x:f>
      </x:c>
      <x:c r="K89" s="52" t="str">
        <x:f>IF($A89="","",Invoices!$U89)</x:f>
      </x:c>
      <x:c r="L89" s="52" t="str">
        <x:f>IF($A89="","",IF($H89&lt;=0,"Closed",IF($K89="Current","Monitor",IF($K89="1-30","Follow up",IF($K89="31-60","Escalate",IF($K89="61-90","Urgent","Immediate action"))))))</x:f>
      </x:c>
    </x:row>
    <x:row r="90">
      <x:c r="A90" s="52" t="str">
        <x:f>IF(Invoices!$A90="","",Invoices!$A90)</x:f>
      </x:c>
      <x:c r="B90" s="52" t="str">
        <x:f>IF($A90="","",Invoices!$C90)</x:f>
      </x:c>
      <x:c r="C90" s="52" t="str">
        <x:f>IF($A90="","",Invoices!$D90)</x:f>
      </x:c>
      <x:c r="D90" s="66" t="str">
        <x:f>IF($A90="","",Invoices!$B90)</x:f>
      </x:c>
      <x:c r="E90" s="66" t="str">
        <x:f>IF($A90="","",Invoices!$R90)</x:f>
      </x:c>
      <x:c r="F90" s="60" t="str">
        <x:f>IF($A90="","",Invoices!$L90)</x:f>
      </x:c>
      <x:c r="G90" s="60" t="str">
        <x:f>IF($A90="","",Invoices!$G90)</x:f>
      </x:c>
      <x:c r="H90" s="60" t="str">
        <x:f>IF($A90="","",Invoices!$Q90)</x:f>
      </x:c>
      <x:c r="I90" s="52" t="str">
        <x:f>IF($A90="","",Invoices!$S90)</x:f>
      </x:c>
      <x:c r="J90" s="52" t="str">
        <x:f>IF($A90="","",Invoices!$T90)</x:f>
      </x:c>
      <x:c r="K90" s="52" t="str">
        <x:f>IF($A90="","",Invoices!$U90)</x:f>
      </x:c>
      <x:c r="L90" s="52" t="str">
        <x:f>IF($A90="","",IF($H90&lt;=0,"Closed",IF($K90="Current","Monitor",IF($K90="1-30","Follow up",IF($K90="31-60","Escalate",IF($K90="61-90","Urgent","Immediate action"))))))</x:f>
      </x:c>
    </x:row>
    <x:row r="91">
      <x:c r="A91" s="52" t="str">
        <x:f>IF(Invoices!$A91="","",Invoices!$A91)</x:f>
      </x:c>
      <x:c r="B91" s="52" t="str">
        <x:f>IF($A91="","",Invoices!$C91)</x:f>
      </x:c>
      <x:c r="C91" s="52" t="str">
        <x:f>IF($A91="","",Invoices!$D91)</x:f>
      </x:c>
      <x:c r="D91" s="66" t="str">
        <x:f>IF($A91="","",Invoices!$B91)</x:f>
      </x:c>
      <x:c r="E91" s="66" t="str">
        <x:f>IF($A91="","",Invoices!$R91)</x:f>
      </x:c>
      <x:c r="F91" s="60" t="str">
        <x:f>IF($A91="","",Invoices!$L91)</x:f>
      </x:c>
      <x:c r="G91" s="60" t="str">
        <x:f>IF($A91="","",Invoices!$G91)</x:f>
      </x:c>
      <x:c r="H91" s="60" t="str">
        <x:f>IF($A91="","",Invoices!$Q91)</x:f>
      </x:c>
      <x:c r="I91" s="52" t="str">
        <x:f>IF($A91="","",Invoices!$S91)</x:f>
      </x:c>
      <x:c r="J91" s="52" t="str">
        <x:f>IF($A91="","",Invoices!$T91)</x:f>
      </x:c>
      <x:c r="K91" s="52" t="str">
        <x:f>IF($A91="","",Invoices!$U91)</x:f>
      </x:c>
      <x:c r="L91" s="52" t="str">
        <x:f>IF($A91="","",IF($H91&lt;=0,"Closed",IF($K91="Current","Monitor",IF($K91="1-30","Follow up",IF($K91="31-60","Escalate",IF($K91="61-90","Urgent","Immediate action"))))))</x:f>
      </x:c>
    </x:row>
    <x:row r="92">
      <x:c r="A92" s="52" t="str">
        <x:f>IF(Invoices!$A92="","",Invoices!$A92)</x:f>
      </x:c>
      <x:c r="B92" s="52" t="str">
        <x:f>IF($A92="","",Invoices!$C92)</x:f>
      </x:c>
      <x:c r="C92" s="52" t="str">
        <x:f>IF($A92="","",Invoices!$D92)</x:f>
      </x:c>
      <x:c r="D92" s="66" t="str">
        <x:f>IF($A92="","",Invoices!$B92)</x:f>
      </x:c>
      <x:c r="E92" s="66" t="str">
        <x:f>IF($A92="","",Invoices!$R92)</x:f>
      </x:c>
      <x:c r="F92" s="60" t="str">
        <x:f>IF($A92="","",Invoices!$L92)</x:f>
      </x:c>
      <x:c r="G92" s="60" t="str">
        <x:f>IF($A92="","",Invoices!$G92)</x:f>
      </x:c>
      <x:c r="H92" s="60" t="str">
        <x:f>IF($A92="","",Invoices!$Q92)</x:f>
      </x:c>
      <x:c r="I92" s="52" t="str">
        <x:f>IF($A92="","",Invoices!$S92)</x:f>
      </x:c>
      <x:c r="J92" s="52" t="str">
        <x:f>IF($A92="","",Invoices!$T92)</x:f>
      </x:c>
      <x:c r="K92" s="52" t="str">
        <x:f>IF($A92="","",Invoices!$U92)</x:f>
      </x:c>
      <x:c r="L92" s="52" t="str">
        <x:f>IF($A92="","",IF($H92&lt;=0,"Closed",IF($K92="Current","Monitor",IF($K92="1-30","Follow up",IF($K92="31-60","Escalate",IF($K92="61-90","Urgent","Immediate action"))))))</x:f>
      </x:c>
    </x:row>
    <x:row r="93">
      <x:c r="A93" s="52" t="str">
        <x:f>IF(Invoices!$A93="","",Invoices!$A93)</x:f>
      </x:c>
      <x:c r="B93" s="52" t="str">
        <x:f>IF($A93="","",Invoices!$C93)</x:f>
      </x:c>
      <x:c r="C93" s="52" t="str">
        <x:f>IF($A93="","",Invoices!$D93)</x:f>
      </x:c>
      <x:c r="D93" s="66" t="str">
        <x:f>IF($A93="","",Invoices!$B93)</x:f>
      </x:c>
      <x:c r="E93" s="66" t="str">
        <x:f>IF($A93="","",Invoices!$R93)</x:f>
      </x:c>
      <x:c r="F93" s="60" t="str">
        <x:f>IF($A93="","",Invoices!$L93)</x:f>
      </x:c>
      <x:c r="G93" s="60" t="str">
        <x:f>IF($A93="","",Invoices!$G93)</x:f>
      </x:c>
      <x:c r="H93" s="60" t="str">
        <x:f>IF($A93="","",Invoices!$Q93)</x:f>
      </x:c>
      <x:c r="I93" s="52" t="str">
        <x:f>IF($A93="","",Invoices!$S93)</x:f>
      </x:c>
      <x:c r="J93" s="52" t="str">
        <x:f>IF($A93="","",Invoices!$T93)</x:f>
      </x:c>
      <x:c r="K93" s="52" t="str">
        <x:f>IF($A93="","",Invoices!$U93)</x:f>
      </x:c>
      <x:c r="L93" s="52" t="str">
        <x:f>IF($A93="","",IF($H93&lt;=0,"Closed",IF($K93="Current","Monitor",IF($K93="1-30","Follow up",IF($K93="31-60","Escalate",IF($K93="61-90","Urgent","Immediate action"))))))</x:f>
      </x:c>
    </x:row>
    <x:row r="94">
      <x:c r="A94" s="52" t="str">
        <x:f>IF(Invoices!$A94="","",Invoices!$A94)</x:f>
      </x:c>
      <x:c r="B94" s="52" t="str">
        <x:f>IF($A94="","",Invoices!$C94)</x:f>
      </x:c>
      <x:c r="C94" s="52" t="str">
        <x:f>IF($A94="","",Invoices!$D94)</x:f>
      </x:c>
      <x:c r="D94" s="66" t="str">
        <x:f>IF($A94="","",Invoices!$B94)</x:f>
      </x:c>
      <x:c r="E94" s="66" t="str">
        <x:f>IF($A94="","",Invoices!$R94)</x:f>
      </x:c>
      <x:c r="F94" s="60" t="str">
        <x:f>IF($A94="","",Invoices!$L94)</x:f>
      </x:c>
      <x:c r="G94" s="60" t="str">
        <x:f>IF($A94="","",Invoices!$G94)</x:f>
      </x:c>
      <x:c r="H94" s="60" t="str">
        <x:f>IF($A94="","",Invoices!$Q94)</x:f>
      </x:c>
      <x:c r="I94" s="52" t="str">
        <x:f>IF($A94="","",Invoices!$S94)</x:f>
      </x:c>
      <x:c r="J94" s="52" t="str">
        <x:f>IF($A94="","",Invoices!$T94)</x:f>
      </x:c>
      <x:c r="K94" s="52" t="str">
        <x:f>IF($A94="","",Invoices!$U94)</x:f>
      </x:c>
      <x:c r="L94" s="52" t="str">
        <x:f>IF($A94="","",IF($H94&lt;=0,"Closed",IF($K94="Current","Monitor",IF($K94="1-30","Follow up",IF($K94="31-60","Escalate",IF($K94="61-90","Urgent","Immediate action"))))))</x:f>
      </x:c>
    </x:row>
    <x:row r="95">
      <x:c r="A95" s="52" t="str">
        <x:f>IF(Invoices!$A95="","",Invoices!$A95)</x:f>
      </x:c>
      <x:c r="B95" s="52" t="str">
        <x:f>IF($A95="","",Invoices!$C95)</x:f>
      </x:c>
      <x:c r="C95" s="52" t="str">
        <x:f>IF($A95="","",Invoices!$D95)</x:f>
      </x:c>
      <x:c r="D95" s="66" t="str">
        <x:f>IF($A95="","",Invoices!$B95)</x:f>
      </x:c>
      <x:c r="E95" s="66" t="str">
        <x:f>IF($A95="","",Invoices!$R95)</x:f>
      </x:c>
      <x:c r="F95" s="60" t="str">
        <x:f>IF($A95="","",Invoices!$L95)</x:f>
      </x:c>
      <x:c r="G95" s="60" t="str">
        <x:f>IF($A95="","",Invoices!$G95)</x:f>
      </x:c>
      <x:c r="H95" s="60" t="str">
        <x:f>IF($A95="","",Invoices!$Q95)</x:f>
      </x:c>
      <x:c r="I95" s="52" t="str">
        <x:f>IF($A95="","",Invoices!$S95)</x:f>
      </x:c>
      <x:c r="J95" s="52" t="str">
        <x:f>IF($A95="","",Invoices!$T95)</x:f>
      </x:c>
      <x:c r="K95" s="52" t="str">
        <x:f>IF($A95="","",Invoices!$U95)</x:f>
      </x:c>
      <x:c r="L95" s="52" t="str">
        <x:f>IF($A95="","",IF($H95&lt;=0,"Closed",IF($K95="Current","Monitor",IF($K95="1-30","Follow up",IF($K95="31-60","Escalate",IF($K95="61-90","Urgent","Immediate action"))))))</x:f>
      </x:c>
    </x:row>
    <x:row r="96">
      <x:c r="A96" s="52" t="str">
        <x:f>IF(Invoices!$A96="","",Invoices!$A96)</x:f>
      </x:c>
      <x:c r="B96" s="52" t="str">
        <x:f>IF($A96="","",Invoices!$C96)</x:f>
      </x:c>
      <x:c r="C96" s="52" t="str">
        <x:f>IF($A96="","",Invoices!$D96)</x:f>
      </x:c>
      <x:c r="D96" s="66" t="str">
        <x:f>IF($A96="","",Invoices!$B96)</x:f>
      </x:c>
      <x:c r="E96" s="66" t="str">
        <x:f>IF($A96="","",Invoices!$R96)</x:f>
      </x:c>
      <x:c r="F96" s="60" t="str">
        <x:f>IF($A96="","",Invoices!$L96)</x:f>
      </x:c>
      <x:c r="G96" s="60" t="str">
        <x:f>IF($A96="","",Invoices!$G96)</x:f>
      </x:c>
      <x:c r="H96" s="60" t="str">
        <x:f>IF($A96="","",Invoices!$Q96)</x:f>
      </x:c>
      <x:c r="I96" s="52" t="str">
        <x:f>IF($A96="","",Invoices!$S96)</x:f>
      </x:c>
      <x:c r="J96" s="52" t="str">
        <x:f>IF($A96="","",Invoices!$T96)</x:f>
      </x:c>
      <x:c r="K96" s="52" t="str">
        <x:f>IF($A96="","",Invoices!$U96)</x:f>
      </x:c>
      <x:c r="L96" s="52" t="str">
        <x:f>IF($A96="","",IF($H96&lt;=0,"Closed",IF($K96="Current","Monitor",IF($K96="1-30","Follow up",IF($K96="31-60","Escalate",IF($K96="61-90","Urgent","Immediate action"))))))</x:f>
      </x:c>
    </x:row>
    <x:row r="97">
      <x:c r="A97" s="52" t="str">
        <x:f>IF(Invoices!$A97="","",Invoices!$A97)</x:f>
      </x:c>
      <x:c r="B97" s="52" t="str">
        <x:f>IF($A97="","",Invoices!$C97)</x:f>
      </x:c>
      <x:c r="C97" s="52" t="str">
        <x:f>IF($A97="","",Invoices!$D97)</x:f>
      </x:c>
      <x:c r="D97" s="66" t="str">
        <x:f>IF($A97="","",Invoices!$B97)</x:f>
      </x:c>
      <x:c r="E97" s="66" t="str">
        <x:f>IF($A97="","",Invoices!$R97)</x:f>
      </x:c>
      <x:c r="F97" s="60" t="str">
        <x:f>IF($A97="","",Invoices!$L97)</x:f>
      </x:c>
      <x:c r="G97" s="60" t="str">
        <x:f>IF($A97="","",Invoices!$G97)</x:f>
      </x:c>
      <x:c r="H97" s="60" t="str">
        <x:f>IF($A97="","",Invoices!$Q97)</x:f>
      </x:c>
      <x:c r="I97" s="52" t="str">
        <x:f>IF($A97="","",Invoices!$S97)</x:f>
      </x:c>
      <x:c r="J97" s="52" t="str">
        <x:f>IF($A97="","",Invoices!$T97)</x:f>
      </x:c>
      <x:c r="K97" s="52" t="str">
        <x:f>IF($A97="","",Invoices!$U97)</x:f>
      </x:c>
      <x:c r="L97" s="52" t="str">
        <x:f>IF($A97="","",IF($H97&lt;=0,"Closed",IF($K97="Current","Monitor",IF($K97="1-30","Follow up",IF($K97="31-60","Escalate",IF($K97="61-90","Urgent","Immediate action"))))))</x:f>
      </x:c>
    </x:row>
    <x:row r="98">
      <x:c r="A98" s="52" t="str">
        <x:f>IF(Invoices!$A98="","",Invoices!$A98)</x:f>
      </x:c>
      <x:c r="B98" s="52" t="str">
        <x:f>IF($A98="","",Invoices!$C98)</x:f>
      </x:c>
      <x:c r="C98" s="52" t="str">
        <x:f>IF($A98="","",Invoices!$D98)</x:f>
      </x:c>
      <x:c r="D98" s="66" t="str">
        <x:f>IF($A98="","",Invoices!$B98)</x:f>
      </x:c>
      <x:c r="E98" s="66" t="str">
        <x:f>IF($A98="","",Invoices!$R98)</x:f>
      </x:c>
      <x:c r="F98" s="60" t="str">
        <x:f>IF($A98="","",Invoices!$L98)</x:f>
      </x:c>
      <x:c r="G98" s="60" t="str">
        <x:f>IF($A98="","",Invoices!$G98)</x:f>
      </x:c>
      <x:c r="H98" s="60" t="str">
        <x:f>IF($A98="","",Invoices!$Q98)</x:f>
      </x:c>
      <x:c r="I98" s="52" t="str">
        <x:f>IF($A98="","",Invoices!$S98)</x:f>
      </x:c>
      <x:c r="J98" s="52" t="str">
        <x:f>IF($A98="","",Invoices!$T98)</x:f>
      </x:c>
      <x:c r="K98" s="52" t="str">
        <x:f>IF($A98="","",Invoices!$U98)</x:f>
      </x:c>
      <x:c r="L98" s="52" t="str">
        <x:f>IF($A98="","",IF($H98&lt;=0,"Closed",IF($K98="Current","Monitor",IF($K98="1-30","Follow up",IF($K98="31-60","Escalate",IF($K98="61-90","Urgent","Immediate action"))))))</x:f>
      </x:c>
    </x:row>
    <x:row r="99">
      <x:c r="A99" s="52" t="str">
        <x:f>IF(Invoices!$A99="","",Invoices!$A99)</x:f>
      </x:c>
      <x:c r="B99" s="52" t="str">
        <x:f>IF($A99="","",Invoices!$C99)</x:f>
      </x:c>
      <x:c r="C99" s="52" t="str">
        <x:f>IF($A99="","",Invoices!$D99)</x:f>
      </x:c>
      <x:c r="D99" s="66" t="str">
        <x:f>IF($A99="","",Invoices!$B99)</x:f>
      </x:c>
      <x:c r="E99" s="66" t="str">
        <x:f>IF($A99="","",Invoices!$R99)</x:f>
      </x:c>
      <x:c r="F99" s="60" t="str">
        <x:f>IF($A99="","",Invoices!$L99)</x:f>
      </x:c>
      <x:c r="G99" s="60" t="str">
        <x:f>IF($A99="","",Invoices!$G99)</x:f>
      </x:c>
      <x:c r="H99" s="60" t="str">
        <x:f>IF($A99="","",Invoices!$Q99)</x:f>
      </x:c>
      <x:c r="I99" s="52" t="str">
        <x:f>IF($A99="","",Invoices!$S99)</x:f>
      </x:c>
      <x:c r="J99" s="52" t="str">
        <x:f>IF($A99="","",Invoices!$T99)</x:f>
      </x:c>
      <x:c r="K99" s="52" t="str">
        <x:f>IF($A99="","",Invoices!$U99)</x:f>
      </x:c>
      <x:c r="L99" s="52" t="str">
        <x:f>IF($A99="","",IF($H99&lt;=0,"Closed",IF($K99="Current","Monitor",IF($K99="1-30","Follow up",IF($K99="31-60","Escalate",IF($K99="61-90","Urgent","Immediate action"))))))</x:f>
      </x:c>
    </x:row>
    <x:row r="100">
      <x:c r="A100" s="52" t="str">
        <x:f>IF(Invoices!$A100="","",Invoices!$A100)</x:f>
      </x:c>
      <x:c r="B100" s="52" t="str">
        <x:f>IF($A100="","",Invoices!$C100)</x:f>
      </x:c>
      <x:c r="C100" s="52" t="str">
        <x:f>IF($A100="","",Invoices!$D100)</x:f>
      </x:c>
      <x:c r="D100" s="66" t="str">
        <x:f>IF($A100="","",Invoices!$B100)</x:f>
      </x:c>
      <x:c r="E100" s="66" t="str">
        <x:f>IF($A100="","",Invoices!$R100)</x:f>
      </x:c>
      <x:c r="F100" s="60" t="str">
        <x:f>IF($A100="","",Invoices!$L100)</x:f>
      </x:c>
      <x:c r="G100" s="60" t="str">
        <x:f>IF($A100="","",Invoices!$G100)</x:f>
      </x:c>
      <x:c r="H100" s="60" t="str">
        <x:f>IF($A100="","",Invoices!$Q100)</x:f>
      </x:c>
      <x:c r="I100" s="52" t="str">
        <x:f>IF($A100="","",Invoices!$S100)</x:f>
      </x:c>
      <x:c r="J100" s="52" t="str">
        <x:f>IF($A100="","",Invoices!$T100)</x:f>
      </x:c>
      <x:c r="K100" s="52" t="str">
        <x:f>IF($A100="","",Invoices!$U100)</x:f>
      </x:c>
      <x:c r="L100" s="52" t="str">
        <x:f>IF($A100="","",IF($H100&lt;=0,"Closed",IF($K100="Current","Monitor",IF($K100="1-30","Follow up",IF($K100="31-60","Escalate",IF($K100="61-90","Urgent","Immediate action"))))))</x:f>
      </x:c>
    </x:row>
    <x:row r="101">
      <x:c r="A101" s="52" t="str">
        <x:f>IF(Invoices!$A101="","",Invoices!$A101)</x:f>
      </x:c>
      <x:c r="B101" s="52" t="str">
        <x:f>IF($A101="","",Invoices!$C101)</x:f>
      </x:c>
      <x:c r="C101" s="52" t="str">
        <x:f>IF($A101="","",Invoices!$D101)</x:f>
      </x:c>
      <x:c r="D101" s="66" t="str">
        <x:f>IF($A101="","",Invoices!$B101)</x:f>
      </x:c>
      <x:c r="E101" s="66" t="str">
        <x:f>IF($A101="","",Invoices!$R101)</x:f>
      </x:c>
      <x:c r="F101" s="60" t="str">
        <x:f>IF($A101="","",Invoices!$L101)</x:f>
      </x:c>
      <x:c r="G101" s="60" t="str">
        <x:f>IF($A101="","",Invoices!$G101)</x:f>
      </x:c>
      <x:c r="H101" s="60" t="str">
        <x:f>IF($A101="","",Invoices!$Q101)</x:f>
      </x:c>
      <x:c r="I101" s="52" t="str">
        <x:f>IF($A101="","",Invoices!$S101)</x:f>
      </x:c>
      <x:c r="J101" s="52" t="str">
        <x:f>IF($A101="","",Invoices!$T101)</x:f>
      </x:c>
      <x:c r="K101" s="52" t="str">
        <x:f>IF($A101="","",Invoices!$U101)</x:f>
      </x:c>
      <x:c r="L101" s="52" t="str">
        <x:f>IF($A101="","",IF($H101&lt;=0,"Closed",IF($K101="Current","Monitor",IF($K101="1-30","Follow up",IF($K101="31-60","Escalate",IF($K101="61-90","Urgent","Immediate action"))))))</x:f>
      </x:c>
    </x:row>
    <x:row r="102">
      <x:c r="A102" s="52" t="str">
        <x:f>IF(Invoices!$A102="","",Invoices!$A102)</x:f>
      </x:c>
      <x:c r="B102" s="52" t="str">
        <x:f>IF($A102="","",Invoices!$C102)</x:f>
      </x:c>
      <x:c r="C102" s="52" t="str">
        <x:f>IF($A102="","",Invoices!$D102)</x:f>
      </x:c>
      <x:c r="D102" s="66" t="str">
        <x:f>IF($A102="","",Invoices!$B102)</x:f>
      </x:c>
      <x:c r="E102" s="66" t="str">
        <x:f>IF($A102="","",Invoices!$R102)</x:f>
      </x:c>
      <x:c r="F102" s="60" t="str">
        <x:f>IF($A102="","",Invoices!$L102)</x:f>
      </x:c>
      <x:c r="G102" s="60" t="str">
        <x:f>IF($A102="","",Invoices!$G102)</x:f>
      </x:c>
      <x:c r="H102" s="60" t="str">
        <x:f>IF($A102="","",Invoices!$Q102)</x:f>
      </x:c>
      <x:c r="I102" s="52" t="str">
        <x:f>IF($A102="","",Invoices!$S102)</x:f>
      </x:c>
      <x:c r="J102" s="52" t="str">
        <x:f>IF($A102="","",Invoices!$T102)</x:f>
      </x:c>
      <x:c r="K102" s="52" t="str">
        <x:f>IF($A102="","",Invoices!$U102)</x:f>
      </x:c>
      <x:c r="L102" s="52" t="str">
        <x:f>IF($A102="","",IF($H102&lt;=0,"Closed",IF($K102="Current","Monitor",IF($K102="1-30","Follow up",IF($K102="31-60","Escalate",IF($K102="61-90","Urgent","Immediate action"))))))</x:f>
      </x:c>
    </x:row>
    <x:row r="103">
      <x:c r="A103" s="52" t="str">
        <x:f>IF(Invoices!$A103="","",Invoices!$A103)</x:f>
      </x:c>
      <x:c r="B103" s="52" t="str">
        <x:f>IF($A103="","",Invoices!$C103)</x:f>
      </x:c>
      <x:c r="C103" s="52" t="str">
        <x:f>IF($A103="","",Invoices!$D103)</x:f>
      </x:c>
      <x:c r="D103" s="66" t="str">
        <x:f>IF($A103="","",Invoices!$B103)</x:f>
      </x:c>
      <x:c r="E103" s="66" t="str">
        <x:f>IF($A103="","",Invoices!$R103)</x:f>
      </x:c>
      <x:c r="F103" s="60" t="str">
        <x:f>IF($A103="","",Invoices!$L103)</x:f>
      </x:c>
      <x:c r="G103" s="60" t="str">
        <x:f>IF($A103="","",Invoices!$G103)</x:f>
      </x:c>
      <x:c r="H103" s="60" t="str">
        <x:f>IF($A103="","",Invoices!$Q103)</x:f>
      </x:c>
      <x:c r="I103" s="52" t="str">
        <x:f>IF($A103="","",Invoices!$S103)</x:f>
      </x:c>
      <x:c r="J103" s="52" t="str">
        <x:f>IF($A103="","",Invoices!$T103)</x:f>
      </x:c>
      <x:c r="K103" s="52" t="str">
        <x:f>IF($A103="","",Invoices!$U103)</x:f>
      </x:c>
      <x:c r="L103" s="52" t="str">
        <x:f>IF($A103="","",IF($H103&lt;=0,"Closed",IF($K103="Current","Monitor",IF($K103="1-30","Follow up",IF($K103="31-60","Escalate",IF($K103="61-90","Urgent","Immediate action"))))))</x:f>
      </x:c>
    </x:row>
    <x:row r="104">
      <x:c r="A104" s="52" t="str">
        <x:f>IF(Invoices!$A104="","",Invoices!$A104)</x:f>
      </x:c>
      <x:c r="B104" s="52" t="str">
        <x:f>IF($A104="","",Invoices!$C104)</x:f>
      </x:c>
      <x:c r="C104" s="52" t="str">
        <x:f>IF($A104="","",Invoices!$D104)</x:f>
      </x:c>
      <x:c r="D104" s="66" t="str">
        <x:f>IF($A104="","",Invoices!$B104)</x:f>
      </x:c>
      <x:c r="E104" s="66" t="str">
        <x:f>IF($A104="","",Invoices!$R104)</x:f>
      </x:c>
      <x:c r="F104" s="60" t="str">
        <x:f>IF($A104="","",Invoices!$L104)</x:f>
      </x:c>
      <x:c r="G104" s="60" t="str">
        <x:f>IF($A104="","",Invoices!$G104)</x:f>
      </x:c>
      <x:c r="H104" s="60" t="str">
        <x:f>IF($A104="","",Invoices!$Q104)</x:f>
      </x:c>
      <x:c r="I104" s="52" t="str">
        <x:f>IF($A104="","",Invoices!$S104)</x:f>
      </x:c>
      <x:c r="J104" s="52" t="str">
        <x:f>IF($A104="","",Invoices!$T104)</x:f>
      </x:c>
      <x:c r="K104" s="52" t="str">
        <x:f>IF($A104="","",Invoices!$U104)</x:f>
      </x:c>
      <x:c r="L104" s="52" t="str">
        <x:f>IF($A104="","",IF($H104&lt;=0,"Closed",IF($K104="Current","Monitor",IF($K104="1-30","Follow up",IF($K104="31-60","Escalate",IF($K104="61-90","Urgent","Immediate action"))))))</x:f>
      </x:c>
    </x:row>
    <x:row r="105">
      <x:c r="A105" s="52" t="str">
        <x:f>IF(Invoices!$A105="","",Invoices!$A105)</x:f>
      </x:c>
      <x:c r="B105" s="52" t="str">
        <x:f>IF($A105="","",Invoices!$C105)</x:f>
      </x:c>
      <x:c r="C105" s="52" t="str">
        <x:f>IF($A105="","",Invoices!$D105)</x:f>
      </x:c>
      <x:c r="D105" s="66" t="str">
        <x:f>IF($A105="","",Invoices!$B105)</x:f>
      </x:c>
      <x:c r="E105" s="66" t="str">
        <x:f>IF($A105="","",Invoices!$R105)</x:f>
      </x:c>
      <x:c r="F105" s="60" t="str">
        <x:f>IF($A105="","",Invoices!$L105)</x:f>
      </x:c>
      <x:c r="G105" s="60" t="str">
        <x:f>IF($A105="","",Invoices!$G105)</x:f>
      </x:c>
      <x:c r="H105" s="60" t="str">
        <x:f>IF($A105="","",Invoices!$Q105)</x:f>
      </x:c>
      <x:c r="I105" s="52" t="str">
        <x:f>IF($A105="","",Invoices!$S105)</x:f>
      </x:c>
      <x:c r="J105" s="52" t="str">
        <x:f>IF($A105="","",Invoices!$T105)</x:f>
      </x:c>
      <x:c r="K105" s="52" t="str">
        <x:f>IF($A105="","",Invoices!$U105)</x:f>
      </x:c>
      <x:c r="L105" s="52" t="str">
        <x:f>IF($A105="","",IF($H105&lt;=0,"Closed",IF($K105="Current","Monitor",IF($K105="1-30","Follow up",IF($K105="31-60","Escalate",IF($K105="61-90","Urgent","Immediate action"))))))</x:f>
      </x:c>
    </x:row>
    <x:row r="106">
      <x:c r="A106" s="52" t="str">
        <x:f>IF(Invoices!$A106="","",Invoices!$A106)</x:f>
      </x:c>
      <x:c r="B106" s="52" t="str">
        <x:f>IF($A106="","",Invoices!$C106)</x:f>
      </x:c>
      <x:c r="C106" s="52" t="str">
        <x:f>IF($A106="","",Invoices!$D106)</x:f>
      </x:c>
      <x:c r="D106" s="66" t="str">
        <x:f>IF($A106="","",Invoices!$B106)</x:f>
      </x:c>
      <x:c r="E106" s="66" t="str">
        <x:f>IF($A106="","",Invoices!$R106)</x:f>
      </x:c>
      <x:c r="F106" s="60" t="str">
        <x:f>IF($A106="","",Invoices!$L106)</x:f>
      </x:c>
      <x:c r="G106" s="60" t="str">
        <x:f>IF($A106="","",Invoices!$G106)</x:f>
      </x:c>
      <x:c r="H106" s="60" t="str">
        <x:f>IF($A106="","",Invoices!$Q106)</x:f>
      </x:c>
      <x:c r="I106" s="52" t="str">
        <x:f>IF($A106="","",Invoices!$S106)</x:f>
      </x:c>
      <x:c r="J106" s="52" t="str">
        <x:f>IF($A106="","",Invoices!$T106)</x:f>
      </x:c>
      <x:c r="K106" s="52" t="str">
        <x:f>IF($A106="","",Invoices!$U106)</x:f>
      </x:c>
      <x:c r="L106" s="52" t="str">
        <x:f>IF($A106="","",IF($H106&lt;=0,"Closed",IF($K106="Current","Monitor",IF($K106="1-30","Follow up",IF($K106="31-60","Escalate",IF($K106="61-90","Urgent","Immediate action"))))))</x:f>
      </x:c>
    </x:row>
    <x:row r="107">
      <x:c r="A107" s="52" t="str">
        <x:f>IF(Invoices!$A107="","",Invoices!$A107)</x:f>
      </x:c>
      <x:c r="B107" s="52" t="str">
        <x:f>IF($A107="","",Invoices!$C107)</x:f>
      </x:c>
      <x:c r="C107" s="52" t="str">
        <x:f>IF($A107="","",Invoices!$D107)</x:f>
      </x:c>
      <x:c r="D107" s="66" t="str">
        <x:f>IF($A107="","",Invoices!$B107)</x:f>
      </x:c>
      <x:c r="E107" s="66" t="str">
        <x:f>IF($A107="","",Invoices!$R107)</x:f>
      </x:c>
      <x:c r="F107" s="60" t="str">
        <x:f>IF($A107="","",Invoices!$L107)</x:f>
      </x:c>
      <x:c r="G107" s="60" t="str">
        <x:f>IF($A107="","",Invoices!$G107)</x:f>
      </x:c>
      <x:c r="H107" s="60" t="str">
        <x:f>IF($A107="","",Invoices!$Q107)</x:f>
      </x:c>
      <x:c r="I107" s="52" t="str">
        <x:f>IF($A107="","",Invoices!$S107)</x:f>
      </x:c>
      <x:c r="J107" s="52" t="str">
        <x:f>IF($A107="","",Invoices!$T107)</x:f>
      </x:c>
      <x:c r="K107" s="52" t="str">
        <x:f>IF($A107="","",Invoices!$U107)</x:f>
      </x:c>
      <x:c r="L107" s="52" t="str">
        <x:f>IF($A107="","",IF($H107&lt;=0,"Closed",IF($K107="Current","Monitor",IF($K107="1-30","Follow up",IF($K107="31-60","Escalate",IF($K107="61-90","Urgent","Immediate action"))))))</x:f>
      </x:c>
    </x:row>
    <x:row r="108">
      <x:c r="A108" s="52" t="str">
        <x:f>IF(Invoices!$A108="","",Invoices!$A108)</x:f>
      </x:c>
      <x:c r="B108" s="52" t="str">
        <x:f>IF($A108="","",Invoices!$C108)</x:f>
      </x:c>
      <x:c r="C108" s="52" t="str">
        <x:f>IF($A108="","",Invoices!$D108)</x:f>
      </x:c>
      <x:c r="D108" s="66" t="str">
        <x:f>IF($A108="","",Invoices!$B108)</x:f>
      </x:c>
      <x:c r="E108" s="66" t="str">
        <x:f>IF($A108="","",Invoices!$R108)</x:f>
      </x:c>
      <x:c r="F108" s="60" t="str">
        <x:f>IF($A108="","",Invoices!$L108)</x:f>
      </x:c>
      <x:c r="G108" s="60" t="str">
        <x:f>IF($A108="","",Invoices!$G108)</x:f>
      </x:c>
      <x:c r="H108" s="60" t="str">
        <x:f>IF($A108="","",Invoices!$Q108)</x:f>
      </x:c>
      <x:c r="I108" s="52" t="str">
        <x:f>IF($A108="","",Invoices!$S108)</x:f>
      </x:c>
      <x:c r="J108" s="52" t="str">
        <x:f>IF($A108="","",Invoices!$T108)</x:f>
      </x:c>
      <x:c r="K108" s="52" t="str">
        <x:f>IF($A108="","",Invoices!$U108)</x:f>
      </x:c>
      <x:c r="L108" s="52" t="str">
        <x:f>IF($A108="","",IF($H108&lt;=0,"Closed",IF($K108="Current","Monitor",IF($K108="1-30","Follow up",IF($K108="31-60","Escalate",IF($K108="61-90","Urgent","Immediate action"))))))</x:f>
      </x:c>
    </x:row>
    <x:row r="109">
      <x:c r="A109" s="52" t="str">
        <x:f>IF(Invoices!$A109="","",Invoices!$A109)</x:f>
      </x:c>
      <x:c r="B109" s="52" t="str">
        <x:f>IF($A109="","",Invoices!$C109)</x:f>
      </x:c>
      <x:c r="C109" s="52" t="str">
        <x:f>IF($A109="","",Invoices!$D109)</x:f>
      </x:c>
      <x:c r="D109" s="66" t="str">
        <x:f>IF($A109="","",Invoices!$B109)</x:f>
      </x:c>
      <x:c r="E109" s="66" t="str">
        <x:f>IF($A109="","",Invoices!$R109)</x:f>
      </x:c>
      <x:c r="F109" s="60" t="str">
        <x:f>IF($A109="","",Invoices!$L109)</x:f>
      </x:c>
      <x:c r="G109" s="60" t="str">
        <x:f>IF($A109="","",Invoices!$G109)</x:f>
      </x:c>
      <x:c r="H109" s="60" t="str">
        <x:f>IF($A109="","",Invoices!$Q109)</x:f>
      </x:c>
      <x:c r="I109" s="52" t="str">
        <x:f>IF($A109="","",Invoices!$S109)</x:f>
      </x:c>
      <x:c r="J109" s="52" t="str">
        <x:f>IF($A109="","",Invoices!$T109)</x:f>
      </x:c>
      <x:c r="K109" s="52" t="str">
        <x:f>IF($A109="","",Invoices!$U109)</x:f>
      </x:c>
      <x:c r="L109" s="52" t="str">
        <x:f>IF($A109="","",IF($H109&lt;=0,"Closed",IF($K109="Current","Monitor",IF($K109="1-30","Follow up",IF($K109="31-60","Escalate",IF($K109="61-90","Urgent","Immediate action"))))))</x:f>
      </x:c>
    </x:row>
    <x:row r="110">
      <x:c r="A110" s="52" t="str">
        <x:f>IF(Invoices!$A110="","",Invoices!$A110)</x:f>
      </x:c>
      <x:c r="B110" s="52" t="str">
        <x:f>IF($A110="","",Invoices!$C110)</x:f>
      </x:c>
      <x:c r="C110" s="52" t="str">
        <x:f>IF($A110="","",Invoices!$D110)</x:f>
      </x:c>
      <x:c r="D110" s="66" t="str">
        <x:f>IF($A110="","",Invoices!$B110)</x:f>
      </x:c>
      <x:c r="E110" s="66" t="str">
        <x:f>IF($A110="","",Invoices!$R110)</x:f>
      </x:c>
      <x:c r="F110" s="60" t="str">
        <x:f>IF($A110="","",Invoices!$L110)</x:f>
      </x:c>
      <x:c r="G110" s="60" t="str">
        <x:f>IF($A110="","",Invoices!$G110)</x:f>
      </x:c>
      <x:c r="H110" s="60" t="str">
        <x:f>IF($A110="","",Invoices!$Q110)</x:f>
      </x:c>
      <x:c r="I110" s="52" t="str">
        <x:f>IF($A110="","",Invoices!$S110)</x:f>
      </x:c>
      <x:c r="J110" s="52" t="str">
        <x:f>IF($A110="","",Invoices!$T110)</x:f>
      </x:c>
      <x:c r="K110" s="52" t="str">
        <x:f>IF($A110="","",Invoices!$U110)</x:f>
      </x:c>
      <x:c r="L110" s="52" t="str">
        <x:f>IF($A110="","",IF($H110&lt;=0,"Closed",IF($K110="Current","Monitor",IF($K110="1-30","Follow up",IF($K110="31-60","Escalate",IF($K110="61-90","Urgent","Immediate action"))))))</x:f>
      </x:c>
    </x:row>
    <x:row r="111">
      <x:c r="A111" s="52" t="str">
        <x:f>IF(Invoices!$A111="","",Invoices!$A111)</x:f>
      </x:c>
      <x:c r="B111" s="52" t="str">
        <x:f>IF($A111="","",Invoices!$C111)</x:f>
      </x:c>
      <x:c r="C111" s="52" t="str">
        <x:f>IF($A111="","",Invoices!$D111)</x:f>
      </x:c>
      <x:c r="D111" s="66" t="str">
        <x:f>IF($A111="","",Invoices!$B111)</x:f>
      </x:c>
      <x:c r="E111" s="66" t="str">
        <x:f>IF($A111="","",Invoices!$R111)</x:f>
      </x:c>
      <x:c r="F111" s="60" t="str">
        <x:f>IF($A111="","",Invoices!$L111)</x:f>
      </x:c>
      <x:c r="G111" s="60" t="str">
        <x:f>IF($A111="","",Invoices!$G111)</x:f>
      </x:c>
      <x:c r="H111" s="60" t="str">
        <x:f>IF($A111="","",Invoices!$Q111)</x:f>
      </x:c>
      <x:c r="I111" s="52" t="str">
        <x:f>IF($A111="","",Invoices!$S111)</x:f>
      </x:c>
      <x:c r="J111" s="52" t="str">
        <x:f>IF($A111="","",Invoices!$T111)</x:f>
      </x:c>
      <x:c r="K111" s="52" t="str">
        <x:f>IF($A111="","",Invoices!$U111)</x:f>
      </x:c>
      <x:c r="L111" s="52" t="str">
        <x:f>IF($A111="","",IF($H111&lt;=0,"Closed",IF($K111="Current","Monitor",IF($K111="1-30","Follow up",IF($K111="31-60","Escalate",IF($K111="61-90","Urgent","Immediate action"))))))</x:f>
      </x:c>
    </x:row>
    <x:row r="112">
      <x:c r="A112" s="52" t="str">
        <x:f>IF(Invoices!$A112="","",Invoices!$A112)</x:f>
      </x:c>
      <x:c r="B112" s="52" t="str">
        <x:f>IF($A112="","",Invoices!$C112)</x:f>
      </x:c>
      <x:c r="C112" s="52" t="str">
        <x:f>IF($A112="","",Invoices!$D112)</x:f>
      </x:c>
      <x:c r="D112" s="66" t="str">
        <x:f>IF($A112="","",Invoices!$B112)</x:f>
      </x:c>
      <x:c r="E112" s="66" t="str">
        <x:f>IF($A112="","",Invoices!$R112)</x:f>
      </x:c>
      <x:c r="F112" s="60" t="str">
        <x:f>IF($A112="","",Invoices!$L112)</x:f>
      </x:c>
      <x:c r="G112" s="60" t="str">
        <x:f>IF($A112="","",Invoices!$G112)</x:f>
      </x:c>
      <x:c r="H112" s="60" t="str">
        <x:f>IF($A112="","",Invoices!$Q112)</x:f>
      </x:c>
      <x:c r="I112" s="52" t="str">
        <x:f>IF($A112="","",Invoices!$S112)</x:f>
      </x:c>
      <x:c r="J112" s="52" t="str">
        <x:f>IF($A112="","",Invoices!$T112)</x:f>
      </x:c>
      <x:c r="K112" s="52" t="str">
        <x:f>IF($A112="","",Invoices!$U112)</x:f>
      </x:c>
      <x:c r="L112" s="52" t="str">
        <x:f>IF($A112="","",IF($H112&lt;=0,"Closed",IF($K112="Current","Monitor",IF($K112="1-30","Follow up",IF($K112="31-60","Escalate",IF($K112="61-90","Urgent","Immediate action"))))))</x:f>
      </x:c>
    </x:row>
    <x:row r="113">
      <x:c r="A113" s="52" t="str">
        <x:f>IF(Invoices!$A113="","",Invoices!$A113)</x:f>
      </x:c>
      <x:c r="B113" s="52" t="str">
        <x:f>IF($A113="","",Invoices!$C113)</x:f>
      </x:c>
      <x:c r="C113" s="52" t="str">
        <x:f>IF($A113="","",Invoices!$D113)</x:f>
      </x:c>
      <x:c r="D113" s="66" t="str">
        <x:f>IF($A113="","",Invoices!$B113)</x:f>
      </x:c>
      <x:c r="E113" s="66" t="str">
        <x:f>IF($A113="","",Invoices!$R113)</x:f>
      </x:c>
      <x:c r="F113" s="60" t="str">
        <x:f>IF($A113="","",Invoices!$L113)</x:f>
      </x:c>
      <x:c r="G113" s="60" t="str">
        <x:f>IF($A113="","",Invoices!$G113)</x:f>
      </x:c>
      <x:c r="H113" s="60" t="str">
        <x:f>IF($A113="","",Invoices!$Q113)</x:f>
      </x:c>
      <x:c r="I113" s="52" t="str">
        <x:f>IF($A113="","",Invoices!$S113)</x:f>
      </x:c>
      <x:c r="J113" s="52" t="str">
        <x:f>IF($A113="","",Invoices!$T113)</x:f>
      </x:c>
      <x:c r="K113" s="52" t="str">
        <x:f>IF($A113="","",Invoices!$U113)</x:f>
      </x:c>
      <x:c r="L113" s="52" t="str">
        <x:f>IF($A113="","",IF($H113&lt;=0,"Closed",IF($K113="Current","Monitor",IF($K113="1-30","Follow up",IF($K113="31-60","Escalate",IF($K113="61-90","Urgent","Immediate action"))))))</x:f>
      </x:c>
    </x:row>
    <x:row r="114">
      <x:c r="A114" s="52" t="str">
        <x:f>IF(Invoices!$A114="","",Invoices!$A114)</x:f>
      </x:c>
      <x:c r="B114" s="52" t="str">
        <x:f>IF($A114="","",Invoices!$C114)</x:f>
      </x:c>
      <x:c r="C114" s="52" t="str">
        <x:f>IF($A114="","",Invoices!$D114)</x:f>
      </x:c>
      <x:c r="D114" s="66" t="str">
        <x:f>IF($A114="","",Invoices!$B114)</x:f>
      </x:c>
      <x:c r="E114" s="66" t="str">
        <x:f>IF($A114="","",Invoices!$R114)</x:f>
      </x:c>
      <x:c r="F114" s="60" t="str">
        <x:f>IF($A114="","",Invoices!$L114)</x:f>
      </x:c>
      <x:c r="G114" s="60" t="str">
        <x:f>IF($A114="","",Invoices!$G114)</x:f>
      </x:c>
      <x:c r="H114" s="60" t="str">
        <x:f>IF($A114="","",Invoices!$Q114)</x:f>
      </x:c>
      <x:c r="I114" s="52" t="str">
        <x:f>IF($A114="","",Invoices!$S114)</x:f>
      </x:c>
      <x:c r="J114" s="52" t="str">
        <x:f>IF($A114="","",Invoices!$T114)</x:f>
      </x:c>
      <x:c r="K114" s="52" t="str">
        <x:f>IF($A114="","",Invoices!$U114)</x:f>
      </x:c>
      <x:c r="L114" s="52" t="str">
        <x:f>IF($A114="","",IF($H114&lt;=0,"Closed",IF($K114="Current","Monitor",IF($K114="1-30","Follow up",IF($K114="31-60","Escalate",IF($K114="61-90","Urgent","Immediate action"))))))</x:f>
      </x:c>
    </x:row>
    <x:row r="115">
      <x:c r="A115" s="52" t="str">
        <x:f>IF(Invoices!$A115="","",Invoices!$A115)</x:f>
      </x:c>
      <x:c r="B115" s="52" t="str">
        <x:f>IF($A115="","",Invoices!$C115)</x:f>
      </x:c>
      <x:c r="C115" s="52" t="str">
        <x:f>IF($A115="","",Invoices!$D115)</x:f>
      </x:c>
      <x:c r="D115" s="66" t="str">
        <x:f>IF($A115="","",Invoices!$B115)</x:f>
      </x:c>
      <x:c r="E115" s="66" t="str">
        <x:f>IF($A115="","",Invoices!$R115)</x:f>
      </x:c>
      <x:c r="F115" s="60" t="str">
        <x:f>IF($A115="","",Invoices!$L115)</x:f>
      </x:c>
      <x:c r="G115" s="60" t="str">
        <x:f>IF($A115="","",Invoices!$G115)</x:f>
      </x:c>
      <x:c r="H115" s="60" t="str">
        <x:f>IF($A115="","",Invoices!$Q115)</x:f>
      </x:c>
      <x:c r="I115" s="52" t="str">
        <x:f>IF($A115="","",Invoices!$S115)</x:f>
      </x:c>
      <x:c r="J115" s="52" t="str">
        <x:f>IF($A115="","",Invoices!$T115)</x:f>
      </x:c>
      <x:c r="K115" s="52" t="str">
        <x:f>IF($A115="","",Invoices!$U115)</x:f>
      </x:c>
      <x:c r="L115" s="52" t="str">
        <x:f>IF($A115="","",IF($H115&lt;=0,"Closed",IF($K115="Current","Monitor",IF($K115="1-30","Follow up",IF($K115="31-60","Escalate",IF($K115="61-90","Urgent","Immediate action"))))))</x:f>
      </x:c>
    </x:row>
    <x:row r="116">
      <x:c r="A116" s="52" t="str">
        <x:f>IF(Invoices!$A116="","",Invoices!$A116)</x:f>
      </x:c>
      <x:c r="B116" s="52" t="str">
        <x:f>IF($A116="","",Invoices!$C116)</x:f>
      </x:c>
      <x:c r="C116" s="52" t="str">
        <x:f>IF($A116="","",Invoices!$D116)</x:f>
      </x:c>
      <x:c r="D116" s="66" t="str">
        <x:f>IF($A116="","",Invoices!$B116)</x:f>
      </x:c>
      <x:c r="E116" s="66" t="str">
        <x:f>IF($A116="","",Invoices!$R116)</x:f>
      </x:c>
      <x:c r="F116" s="60" t="str">
        <x:f>IF($A116="","",Invoices!$L116)</x:f>
      </x:c>
      <x:c r="G116" s="60" t="str">
        <x:f>IF($A116="","",Invoices!$G116)</x:f>
      </x:c>
      <x:c r="H116" s="60" t="str">
        <x:f>IF($A116="","",Invoices!$Q116)</x:f>
      </x:c>
      <x:c r="I116" s="52" t="str">
        <x:f>IF($A116="","",Invoices!$S116)</x:f>
      </x:c>
      <x:c r="J116" s="52" t="str">
        <x:f>IF($A116="","",Invoices!$T116)</x:f>
      </x:c>
      <x:c r="K116" s="52" t="str">
        <x:f>IF($A116="","",Invoices!$U116)</x:f>
      </x:c>
      <x:c r="L116" s="52" t="str">
        <x:f>IF($A116="","",IF($H116&lt;=0,"Closed",IF($K116="Current","Monitor",IF($K116="1-30","Follow up",IF($K116="31-60","Escalate",IF($K116="61-90","Urgent","Immediate action"))))))</x:f>
      </x:c>
    </x:row>
    <x:row r="117">
      <x:c r="A117" s="52" t="str">
        <x:f>IF(Invoices!$A117="","",Invoices!$A117)</x:f>
      </x:c>
      <x:c r="B117" s="52" t="str">
        <x:f>IF($A117="","",Invoices!$C117)</x:f>
      </x:c>
      <x:c r="C117" s="52" t="str">
        <x:f>IF($A117="","",Invoices!$D117)</x:f>
      </x:c>
      <x:c r="D117" s="66" t="str">
        <x:f>IF($A117="","",Invoices!$B117)</x:f>
      </x:c>
      <x:c r="E117" s="66" t="str">
        <x:f>IF($A117="","",Invoices!$R117)</x:f>
      </x:c>
      <x:c r="F117" s="60" t="str">
        <x:f>IF($A117="","",Invoices!$L117)</x:f>
      </x:c>
      <x:c r="G117" s="60" t="str">
        <x:f>IF($A117="","",Invoices!$G117)</x:f>
      </x:c>
      <x:c r="H117" s="60" t="str">
        <x:f>IF($A117="","",Invoices!$Q117)</x:f>
      </x:c>
      <x:c r="I117" s="52" t="str">
        <x:f>IF($A117="","",Invoices!$S117)</x:f>
      </x:c>
      <x:c r="J117" s="52" t="str">
        <x:f>IF($A117="","",Invoices!$T117)</x:f>
      </x:c>
      <x:c r="K117" s="52" t="str">
        <x:f>IF($A117="","",Invoices!$U117)</x:f>
      </x:c>
      <x:c r="L117" s="52" t="str">
        <x:f>IF($A117="","",IF($H117&lt;=0,"Closed",IF($K117="Current","Monitor",IF($K117="1-30","Follow up",IF($K117="31-60","Escalate",IF($K117="61-90","Urgent","Immediate action"))))))</x:f>
      </x:c>
    </x:row>
    <x:row r="118">
      <x:c r="A118" s="52" t="str">
        <x:f>IF(Invoices!$A118="","",Invoices!$A118)</x:f>
      </x:c>
      <x:c r="B118" s="52" t="str">
        <x:f>IF($A118="","",Invoices!$C118)</x:f>
      </x:c>
      <x:c r="C118" s="52" t="str">
        <x:f>IF($A118="","",Invoices!$D118)</x:f>
      </x:c>
      <x:c r="D118" s="66" t="str">
        <x:f>IF($A118="","",Invoices!$B118)</x:f>
      </x:c>
      <x:c r="E118" s="66" t="str">
        <x:f>IF($A118="","",Invoices!$R118)</x:f>
      </x:c>
      <x:c r="F118" s="60" t="str">
        <x:f>IF($A118="","",Invoices!$L118)</x:f>
      </x:c>
      <x:c r="G118" s="60" t="str">
        <x:f>IF($A118="","",Invoices!$G118)</x:f>
      </x:c>
      <x:c r="H118" s="60" t="str">
        <x:f>IF($A118="","",Invoices!$Q118)</x:f>
      </x:c>
      <x:c r="I118" s="52" t="str">
        <x:f>IF($A118="","",Invoices!$S118)</x:f>
      </x:c>
      <x:c r="J118" s="52" t="str">
        <x:f>IF($A118="","",Invoices!$T118)</x:f>
      </x:c>
      <x:c r="K118" s="52" t="str">
        <x:f>IF($A118="","",Invoices!$U118)</x:f>
      </x:c>
      <x:c r="L118" s="52" t="str">
        <x:f>IF($A118="","",IF($H118&lt;=0,"Closed",IF($K118="Current","Monitor",IF($K118="1-30","Follow up",IF($K118="31-60","Escalate",IF($K118="61-90","Urgent","Immediate action"))))))</x:f>
      </x:c>
    </x:row>
    <x:row r="119">
      <x:c r="A119" s="52" t="str">
        <x:f>IF(Invoices!$A119="","",Invoices!$A119)</x:f>
      </x:c>
      <x:c r="B119" s="52" t="str">
        <x:f>IF($A119="","",Invoices!$C119)</x:f>
      </x:c>
      <x:c r="C119" s="52" t="str">
        <x:f>IF($A119="","",Invoices!$D119)</x:f>
      </x:c>
      <x:c r="D119" s="66" t="str">
        <x:f>IF($A119="","",Invoices!$B119)</x:f>
      </x:c>
      <x:c r="E119" s="66" t="str">
        <x:f>IF($A119="","",Invoices!$R119)</x:f>
      </x:c>
      <x:c r="F119" s="60" t="str">
        <x:f>IF($A119="","",Invoices!$L119)</x:f>
      </x:c>
      <x:c r="G119" s="60" t="str">
        <x:f>IF($A119="","",Invoices!$G119)</x:f>
      </x:c>
      <x:c r="H119" s="60" t="str">
        <x:f>IF($A119="","",Invoices!$Q119)</x:f>
      </x:c>
      <x:c r="I119" s="52" t="str">
        <x:f>IF($A119="","",Invoices!$S119)</x:f>
      </x:c>
      <x:c r="J119" s="52" t="str">
        <x:f>IF($A119="","",Invoices!$T119)</x:f>
      </x:c>
      <x:c r="K119" s="52" t="str">
        <x:f>IF($A119="","",Invoices!$U119)</x:f>
      </x:c>
      <x:c r="L119" s="52" t="str">
        <x:f>IF($A119="","",IF($H119&lt;=0,"Closed",IF($K119="Current","Monitor",IF($K119="1-30","Follow up",IF($K119="31-60","Escalate",IF($K119="61-90","Urgent","Immediate action"))))))</x:f>
      </x:c>
    </x:row>
    <x:row r="120">
      <x:c r="A120" s="52" t="str">
        <x:f>IF(Invoices!$A120="","",Invoices!$A120)</x:f>
      </x:c>
      <x:c r="B120" s="52" t="str">
        <x:f>IF($A120="","",Invoices!$C120)</x:f>
      </x:c>
      <x:c r="C120" s="52" t="str">
        <x:f>IF($A120="","",Invoices!$D120)</x:f>
      </x:c>
      <x:c r="D120" s="66" t="str">
        <x:f>IF($A120="","",Invoices!$B120)</x:f>
      </x:c>
      <x:c r="E120" s="66" t="str">
        <x:f>IF($A120="","",Invoices!$R120)</x:f>
      </x:c>
      <x:c r="F120" s="60" t="str">
        <x:f>IF($A120="","",Invoices!$L120)</x:f>
      </x:c>
      <x:c r="G120" s="60" t="str">
        <x:f>IF($A120="","",Invoices!$G120)</x:f>
      </x:c>
      <x:c r="H120" s="60" t="str">
        <x:f>IF($A120="","",Invoices!$Q120)</x:f>
      </x:c>
      <x:c r="I120" s="52" t="str">
        <x:f>IF($A120="","",Invoices!$S120)</x:f>
      </x:c>
      <x:c r="J120" s="52" t="str">
        <x:f>IF($A120="","",Invoices!$T120)</x:f>
      </x:c>
      <x:c r="K120" s="52" t="str">
        <x:f>IF($A120="","",Invoices!$U120)</x:f>
      </x:c>
      <x:c r="L120" s="52" t="str">
        <x:f>IF($A120="","",IF($H120&lt;=0,"Closed",IF($K120="Current","Monitor",IF($K120="1-30","Follow up",IF($K120="31-60","Escalate",IF($K120="61-90","Urgent","Immediate action"))))))</x:f>
      </x:c>
    </x:row>
    <x:row r="121">
      <x:c r="A121" s="52" t="str">
        <x:f>IF(Invoices!$A121="","",Invoices!$A121)</x:f>
      </x:c>
      <x:c r="B121" s="52" t="str">
        <x:f>IF($A121="","",Invoices!$C121)</x:f>
      </x:c>
      <x:c r="C121" s="52" t="str">
        <x:f>IF($A121="","",Invoices!$D121)</x:f>
      </x:c>
      <x:c r="D121" s="66" t="str">
        <x:f>IF($A121="","",Invoices!$B121)</x:f>
      </x:c>
      <x:c r="E121" s="66" t="str">
        <x:f>IF($A121="","",Invoices!$R121)</x:f>
      </x:c>
      <x:c r="F121" s="60" t="str">
        <x:f>IF($A121="","",Invoices!$L121)</x:f>
      </x:c>
      <x:c r="G121" s="60" t="str">
        <x:f>IF($A121="","",Invoices!$G121)</x:f>
      </x:c>
      <x:c r="H121" s="60" t="str">
        <x:f>IF($A121="","",Invoices!$Q121)</x:f>
      </x:c>
      <x:c r="I121" s="52" t="str">
        <x:f>IF($A121="","",Invoices!$S121)</x:f>
      </x:c>
      <x:c r="J121" s="52" t="str">
        <x:f>IF($A121="","",Invoices!$T121)</x:f>
      </x:c>
      <x:c r="K121" s="52" t="str">
        <x:f>IF($A121="","",Invoices!$U121)</x:f>
      </x:c>
      <x:c r="L121" s="52" t="str">
        <x:f>IF($A121="","",IF($H121&lt;=0,"Closed",IF($K121="Current","Monitor",IF($K121="1-30","Follow up",IF($K121="31-60","Escalate",IF($K121="61-90","Urgent","Immediate action"))))))</x:f>
      </x:c>
    </x:row>
    <x:row r="122">
      <x:c r="A122" s="52" t="str">
        <x:f>IF(Invoices!$A122="","",Invoices!$A122)</x:f>
      </x:c>
      <x:c r="B122" s="52" t="str">
        <x:f>IF($A122="","",Invoices!$C122)</x:f>
      </x:c>
      <x:c r="C122" s="52" t="str">
        <x:f>IF($A122="","",Invoices!$D122)</x:f>
      </x:c>
      <x:c r="D122" s="66" t="str">
        <x:f>IF($A122="","",Invoices!$B122)</x:f>
      </x:c>
      <x:c r="E122" s="66" t="str">
        <x:f>IF($A122="","",Invoices!$R122)</x:f>
      </x:c>
      <x:c r="F122" s="60" t="str">
        <x:f>IF($A122="","",Invoices!$L122)</x:f>
      </x:c>
      <x:c r="G122" s="60" t="str">
        <x:f>IF($A122="","",Invoices!$G122)</x:f>
      </x:c>
      <x:c r="H122" s="60" t="str">
        <x:f>IF($A122="","",Invoices!$Q122)</x:f>
      </x:c>
      <x:c r="I122" s="52" t="str">
        <x:f>IF($A122="","",Invoices!$S122)</x:f>
      </x:c>
      <x:c r="J122" s="52" t="str">
        <x:f>IF($A122="","",Invoices!$T122)</x:f>
      </x:c>
      <x:c r="K122" s="52" t="str">
        <x:f>IF($A122="","",Invoices!$U122)</x:f>
      </x:c>
      <x:c r="L122" s="52" t="str">
        <x:f>IF($A122="","",IF($H122&lt;=0,"Closed",IF($K122="Current","Monitor",IF($K122="1-30","Follow up",IF($K122="31-60","Escalate",IF($K122="61-90","Urgent","Immediate action"))))))</x:f>
      </x:c>
    </x:row>
    <x:row r="123">
      <x:c r="A123" s="52" t="str">
        <x:f>IF(Invoices!$A123="","",Invoices!$A123)</x:f>
      </x:c>
      <x:c r="B123" s="52" t="str">
        <x:f>IF($A123="","",Invoices!$C123)</x:f>
      </x:c>
      <x:c r="C123" s="52" t="str">
        <x:f>IF($A123="","",Invoices!$D123)</x:f>
      </x:c>
      <x:c r="D123" s="66" t="str">
        <x:f>IF($A123="","",Invoices!$B123)</x:f>
      </x:c>
      <x:c r="E123" s="66" t="str">
        <x:f>IF($A123="","",Invoices!$R123)</x:f>
      </x:c>
      <x:c r="F123" s="60" t="str">
        <x:f>IF($A123="","",Invoices!$L123)</x:f>
      </x:c>
      <x:c r="G123" s="60" t="str">
        <x:f>IF($A123="","",Invoices!$G123)</x:f>
      </x:c>
      <x:c r="H123" s="60" t="str">
        <x:f>IF($A123="","",Invoices!$Q123)</x:f>
      </x:c>
      <x:c r="I123" s="52" t="str">
        <x:f>IF($A123="","",Invoices!$S123)</x:f>
      </x:c>
      <x:c r="J123" s="52" t="str">
        <x:f>IF($A123="","",Invoices!$T123)</x:f>
      </x:c>
      <x:c r="K123" s="52" t="str">
        <x:f>IF($A123="","",Invoices!$U123)</x:f>
      </x:c>
      <x:c r="L123" s="52" t="str">
        <x:f>IF($A123="","",IF($H123&lt;=0,"Closed",IF($K123="Current","Monitor",IF($K123="1-30","Follow up",IF($K123="31-60","Escalate",IF($K123="61-90","Urgent","Immediate action"))))))</x:f>
      </x:c>
    </x:row>
    <x:row r="124">
      <x:c r="A124" s="52" t="str">
        <x:f>IF(Invoices!$A124="","",Invoices!$A124)</x:f>
      </x:c>
      <x:c r="B124" s="52" t="str">
        <x:f>IF($A124="","",Invoices!$C124)</x:f>
      </x:c>
      <x:c r="C124" s="52" t="str">
        <x:f>IF($A124="","",Invoices!$D124)</x:f>
      </x:c>
      <x:c r="D124" s="66" t="str">
        <x:f>IF($A124="","",Invoices!$B124)</x:f>
      </x:c>
      <x:c r="E124" s="66" t="str">
        <x:f>IF($A124="","",Invoices!$R124)</x:f>
      </x:c>
      <x:c r="F124" s="60" t="str">
        <x:f>IF($A124="","",Invoices!$L124)</x:f>
      </x:c>
      <x:c r="G124" s="60" t="str">
        <x:f>IF($A124="","",Invoices!$G124)</x:f>
      </x:c>
      <x:c r="H124" s="60" t="str">
        <x:f>IF($A124="","",Invoices!$Q124)</x:f>
      </x:c>
      <x:c r="I124" s="52" t="str">
        <x:f>IF($A124="","",Invoices!$S124)</x:f>
      </x:c>
      <x:c r="J124" s="52" t="str">
        <x:f>IF($A124="","",Invoices!$T124)</x:f>
      </x:c>
      <x:c r="K124" s="52" t="str">
        <x:f>IF($A124="","",Invoices!$U124)</x:f>
      </x:c>
      <x:c r="L124" s="52" t="str">
        <x:f>IF($A124="","",IF($H124&lt;=0,"Closed",IF($K124="Current","Monitor",IF($K124="1-30","Follow up",IF($K124="31-60","Escalate",IF($K124="61-90","Urgent","Immediate action"))))))</x:f>
      </x:c>
    </x:row>
    <x:row r="125">
      <x:c r="A125" s="52" t="str">
        <x:f>IF(Invoices!$A125="","",Invoices!$A125)</x:f>
      </x:c>
      <x:c r="B125" s="52" t="str">
        <x:f>IF($A125="","",Invoices!$C125)</x:f>
      </x:c>
      <x:c r="C125" s="52" t="str">
        <x:f>IF($A125="","",Invoices!$D125)</x:f>
      </x:c>
      <x:c r="D125" s="66" t="str">
        <x:f>IF($A125="","",Invoices!$B125)</x:f>
      </x:c>
      <x:c r="E125" s="66" t="str">
        <x:f>IF($A125="","",Invoices!$R125)</x:f>
      </x:c>
      <x:c r="F125" s="60" t="str">
        <x:f>IF($A125="","",Invoices!$L125)</x:f>
      </x:c>
      <x:c r="G125" s="60" t="str">
        <x:f>IF($A125="","",Invoices!$G125)</x:f>
      </x:c>
      <x:c r="H125" s="60" t="str">
        <x:f>IF($A125="","",Invoices!$Q125)</x:f>
      </x:c>
      <x:c r="I125" s="52" t="str">
        <x:f>IF($A125="","",Invoices!$S125)</x:f>
      </x:c>
      <x:c r="J125" s="52" t="str">
        <x:f>IF($A125="","",Invoices!$T125)</x:f>
      </x:c>
      <x:c r="K125" s="52" t="str">
        <x:f>IF($A125="","",Invoices!$U125)</x:f>
      </x:c>
      <x:c r="L125" s="52" t="str">
        <x:f>IF($A125="","",IF($H125&lt;=0,"Closed",IF($K125="Current","Monitor",IF($K125="1-30","Follow up",IF($K125="31-60","Escalate",IF($K125="61-90","Urgent","Immediate action"))))))</x:f>
      </x:c>
    </x:row>
    <x:row r="126">
      <x:c r="A126" s="52" t="str">
        <x:f>IF(Invoices!$A126="","",Invoices!$A126)</x:f>
      </x:c>
      <x:c r="B126" s="52" t="str">
        <x:f>IF($A126="","",Invoices!$C126)</x:f>
      </x:c>
      <x:c r="C126" s="52" t="str">
        <x:f>IF($A126="","",Invoices!$D126)</x:f>
      </x:c>
      <x:c r="D126" s="66" t="str">
        <x:f>IF($A126="","",Invoices!$B126)</x:f>
      </x:c>
      <x:c r="E126" s="66" t="str">
        <x:f>IF($A126="","",Invoices!$R126)</x:f>
      </x:c>
      <x:c r="F126" s="60" t="str">
        <x:f>IF($A126="","",Invoices!$L126)</x:f>
      </x:c>
      <x:c r="G126" s="60" t="str">
        <x:f>IF($A126="","",Invoices!$G126)</x:f>
      </x:c>
      <x:c r="H126" s="60" t="str">
        <x:f>IF($A126="","",Invoices!$Q126)</x:f>
      </x:c>
      <x:c r="I126" s="52" t="str">
        <x:f>IF($A126="","",Invoices!$S126)</x:f>
      </x:c>
      <x:c r="J126" s="52" t="str">
        <x:f>IF($A126="","",Invoices!$T126)</x:f>
      </x:c>
      <x:c r="K126" s="52" t="str">
        <x:f>IF($A126="","",Invoices!$U126)</x:f>
      </x:c>
      <x:c r="L126" s="52" t="str">
        <x:f>IF($A126="","",IF($H126&lt;=0,"Closed",IF($K126="Current","Monitor",IF($K126="1-30","Follow up",IF($K126="31-60","Escalate",IF($K126="61-90","Urgent","Immediate action"))))))</x:f>
      </x:c>
    </x:row>
    <x:row r="127">
      <x:c r="A127" s="52" t="str">
        <x:f>IF(Invoices!$A127="","",Invoices!$A127)</x:f>
      </x:c>
      <x:c r="B127" s="52" t="str">
        <x:f>IF($A127="","",Invoices!$C127)</x:f>
      </x:c>
      <x:c r="C127" s="52" t="str">
        <x:f>IF($A127="","",Invoices!$D127)</x:f>
      </x:c>
      <x:c r="D127" s="66" t="str">
        <x:f>IF($A127="","",Invoices!$B127)</x:f>
      </x:c>
      <x:c r="E127" s="66" t="str">
        <x:f>IF($A127="","",Invoices!$R127)</x:f>
      </x:c>
      <x:c r="F127" s="60" t="str">
        <x:f>IF($A127="","",Invoices!$L127)</x:f>
      </x:c>
      <x:c r="G127" s="60" t="str">
        <x:f>IF($A127="","",Invoices!$G127)</x:f>
      </x:c>
      <x:c r="H127" s="60" t="str">
        <x:f>IF($A127="","",Invoices!$Q127)</x:f>
      </x:c>
      <x:c r="I127" s="52" t="str">
        <x:f>IF($A127="","",Invoices!$S127)</x:f>
      </x:c>
      <x:c r="J127" s="52" t="str">
        <x:f>IF($A127="","",Invoices!$T127)</x:f>
      </x:c>
      <x:c r="K127" s="52" t="str">
        <x:f>IF($A127="","",Invoices!$U127)</x:f>
      </x:c>
      <x:c r="L127" s="52" t="str">
        <x:f>IF($A127="","",IF($H127&lt;=0,"Closed",IF($K127="Current","Monitor",IF($K127="1-30","Follow up",IF($K127="31-60","Escalate",IF($K127="61-90","Urgent","Immediate action"))))))</x:f>
      </x:c>
    </x:row>
    <x:row r="128">
      <x:c r="A128" s="52" t="str">
        <x:f>IF(Invoices!$A128="","",Invoices!$A128)</x:f>
      </x:c>
      <x:c r="B128" s="52" t="str">
        <x:f>IF($A128="","",Invoices!$C128)</x:f>
      </x:c>
      <x:c r="C128" s="52" t="str">
        <x:f>IF($A128="","",Invoices!$D128)</x:f>
      </x:c>
      <x:c r="D128" s="66" t="str">
        <x:f>IF($A128="","",Invoices!$B128)</x:f>
      </x:c>
      <x:c r="E128" s="66" t="str">
        <x:f>IF($A128="","",Invoices!$R128)</x:f>
      </x:c>
      <x:c r="F128" s="60" t="str">
        <x:f>IF($A128="","",Invoices!$L128)</x:f>
      </x:c>
      <x:c r="G128" s="60" t="str">
        <x:f>IF($A128="","",Invoices!$G128)</x:f>
      </x:c>
      <x:c r="H128" s="60" t="str">
        <x:f>IF($A128="","",Invoices!$Q128)</x:f>
      </x:c>
      <x:c r="I128" s="52" t="str">
        <x:f>IF($A128="","",Invoices!$S128)</x:f>
      </x:c>
      <x:c r="J128" s="52" t="str">
        <x:f>IF($A128="","",Invoices!$T128)</x:f>
      </x:c>
      <x:c r="K128" s="52" t="str">
        <x:f>IF($A128="","",Invoices!$U128)</x:f>
      </x:c>
      <x:c r="L128" s="52" t="str">
        <x:f>IF($A128="","",IF($H128&lt;=0,"Closed",IF($K128="Current","Monitor",IF($K128="1-30","Follow up",IF($K128="31-60","Escalate",IF($K128="61-90","Urgent","Immediate action"))))))</x:f>
      </x:c>
    </x:row>
    <x:row r="129">
      <x:c r="A129" s="52" t="str">
        <x:f>IF(Invoices!$A129="","",Invoices!$A129)</x:f>
      </x:c>
      <x:c r="B129" s="52" t="str">
        <x:f>IF($A129="","",Invoices!$C129)</x:f>
      </x:c>
      <x:c r="C129" s="52" t="str">
        <x:f>IF($A129="","",Invoices!$D129)</x:f>
      </x:c>
      <x:c r="D129" s="66" t="str">
        <x:f>IF($A129="","",Invoices!$B129)</x:f>
      </x:c>
      <x:c r="E129" s="66" t="str">
        <x:f>IF($A129="","",Invoices!$R129)</x:f>
      </x:c>
      <x:c r="F129" s="60" t="str">
        <x:f>IF($A129="","",Invoices!$L129)</x:f>
      </x:c>
      <x:c r="G129" s="60" t="str">
        <x:f>IF($A129="","",Invoices!$G129)</x:f>
      </x:c>
      <x:c r="H129" s="60" t="str">
        <x:f>IF($A129="","",Invoices!$Q129)</x:f>
      </x:c>
      <x:c r="I129" s="52" t="str">
        <x:f>IF($A129="","",Invoices!$S129)</x:f>
      </x:c>
      <x:c r="J129" s="52" t="str">
        <x:f>IF($A129="","",Invoices!$T129)</x:f>
      </x:c>
      <x:c r="K129" s="52" t="str">
        <x:f>IF($A129="","",Invoices!$U129)</x:f>
      </x:c>
      <x:c r="L129" s="52" t="str">
        <x:f>IF($A129="","",IF($H129&lt;=0,"Closed",IF($K129="Current","Monitor",IF($K129="1-30","Follow up",IF($K129="31-60","Escalate",IF($K129="61-90","Urgent","Immediate action"))))))</x:f>
      </x:c>
    </x:row>
    <x:row r="130">
      <x:c r="A130" s="52" t="str">
        <x:f>IF(Invoices!$A130="","",Invoices!$A130)</x:f>
      </x:c>
      <x:c r="B130" s="52" t="str">
        <x:f>IF($A130="","",Invoices!$C130)</x:f>
      </x:c>
      <x:c r="C130" s="52" t="str">
        <x:f>IF($A130="","",Invoices!$D130)</x:f>
      </x:c>
      <x:c r="D130" s="66" t="str">
        <x:f>IF($A130="","",Invoices!$B130)</x:f>
      </x:c>
      <x:c r="E130" s="66" t="str">
        <x:f>IF($A130="","",Invoices!$R130)</x:f>
      </x:c>
      <x:c r="F130" s="60" t="str">
        <x:f>IF($A130="","",Invoices!$L130)</x:f>
      </x:c>
      <x:c r="G130" s="60" t="str">
        <x:f>IF($A130="","",Invoices!$G130)</x:f>
      </x:c>
      <x:c r="H130" s="60" t="str">
        <x:f>IF($A130="","",Invoices!$Q130)</x:f>
      </x:c>
      <x:c r="I130" s="52" t="str">
        <x:f>IF($A130="","",Invoices!$S130)</x:f>
      </x:c>
      <x:c r="J130" s="52" t="str">
        <x:f>IF($A130="","",Invoices!$T130)</x:f>
      </x:c>
      <x:c r="K130" s="52" t="str">
        <x:f>IF($A130="","",Invoices!$U130)</x:f>
      </x:c>
      <x:c r="L130" s="52" t="str">
        <x:f>IF($A130="","",IF($H130&lt;=0,"Closed",IF($K130="Current","Monitor",IF($K130="1-30","Follow up",IF($K130="31-60","Escalate",IF($K130="61-90","Urgent","Immediate action"))))))</x:f>
      </x:c>
    </x:row>
    <x:row r="131">
      <x:c r="A131" s="52" t="str">
        <x:f>IF(Invoices!$A131="","",Invoices!$A131)</x:f>
      </x:c>
      <x:c r="B131" s="52" t="str">
        <x:f>IF($A131="","",Invoices!$C131)</x:f>
      </x:c>
      <x:c r="C131" s="52" t="str">
        <x:f>IF($A131="","",Invoices!$D131)</x:f>
      </x:c>
      <x:c r="D131" s="66" t="str">
        <x:f>IF($A131="","",Invoices!$B131)</x:f>
      </x:c>
      <x:c r="E131" s="66" t="str">
        <x:f>IF($A131="","",Invoices!$R131)</x:f>
      </x:c>
      <x:c r="F131" s="60" t="str">
        <x:f>IF($A131="","",Invoices!$L131)</x:f>
      </x:c>
      <x:c r="G131" s="60" t="str">
        <x:f>IF($A131="","",Invoices!$G131)</x:f>
      </x:c>
      <x:c r="H131" s="60" t="str">
        <x:f>IF($A131="","",Invoices!$Q131)</x:f>
      </x:c>
      <x:c r="I131" s="52" t="str">
        <x:f>IF($A131="","",Invoices!$S131)</x:f>
      </x:c>
      <x:c r="J131" s="52" t="str">
        <x:f>IF($A131="","",Invoices!$T131)</x:f>
      </x:c>
      <x:c r="K131" s="52" t="str">
        <x:f>IF($A131="","",Invoices!$U131)</x:f>
      </x:c>
      <x:c r="L131" s="52" t="str">
        <x:f>IF($A131="","",IF($H131&lt;=0,"Closed",IF($K131="Current","Monitor",IF($K131="1-30","Follow up",IF($K131="31-60","Escalate",IF($K131="61-90","Urgent","Immediate action"))))))</x:f>
      </x:c>
    </x:row>
    <x:row r="132">
      <x:c r="A132" s="52" t="str">
        <x:f>IF(Invoices!$A132="","",Invoices!$A132)</x:f>
      </x:c>
      <x:c r="B132" s="52" t="str">
        <x:f>IF($A132="","",Invoices!$C132)</x:f>
      </x:c>
      <x:c r="C132" s="52" t="str">
        <x:f>IF($A132="","",Invoices!$D132)</x:f>
      </x:c>
      <x:c r="D132" s="66" t="str">
        <x:f>IF($A132="","",Invoices!$B132)</x:f>
      </x:c>
      <x:c r="E132" s="66" t="str">
        <x:f>IF($A132="","",Invoices!$R132)</x:f>
      </x:c>
      <x:c r="F132" s="60" t="str">
        <x:f>IF($A132="","",Invoices!$L132)</x:f>
      </x:c>
      <x:c r="G132" s="60" t="str">
        <x:f>IF($A132="","",Invoices!$G132)</x:f>
      </x:c>
      <x:c r="H132" s="60" t="str">
        <x:f>IF($A132="","",Invoices!$Q132)</x:f>
      </x:c>
      <x:c r="I132" s="52" t="str">
        <x:f>IF($A132="","",Invoices!$S132)</x:f>
      </x:c>
      <x:c r="J132" s="52" t="str">
        <x:f>IF($A132="","",Invoices!$T132)</x:f>
      </x:c>
      <x:c r="K132" s="52" t="str">
        <x:f>IF($A132="","",Invoices!$U132)</x:f>
      </x:c>
      <x:c r="L132" s="52" t="str">
        <x:f>IF($A132="","",IF($H132&lt;=0,"Closed",IF($K132="Current","Monitor",IF($K132="1-30","Follow up",IF($K132="31-60","Escalate",IF($K132="61-90","Urgent","Immediate action"))))))</x:f>
      </x:c>
    </x:row>
    <x:row r="133">
      <x:c r="A133" s="52" t="str">
        <x:f>IF(Invoices!$A133="","",Invoices!$A133)</x:f>
      </x:c>
      <x:c r="B133" s="52" t="str">
        <x:f>IF($A133="","",Invoices!$C133)</x:f>
      </x:c>
      <x:c r="C133" s="52" t="str">
        <x:f>IF($A133="","",Invoices!$D133)</x:f>
      </x:c>
      <x:c r="D133" s="66" t="str">
        <x:f>IF($A133="","",Invoices!$B133)</x:f>
      </x:c>
      <x:c r="E133" s="66" t="str">
        <x:f>IF($A133="","",Invoices!$R133)</x:f>
      </x:c>
      <x:c r="F133" s="60" t="str">
        <x:f>IF($A133="","",Invoices!$L133)</x:f>
      </x:c>
      <x:c r="G133" s="60" t="str">
        <x:f>IF($A133="","",Invoices!$G133)</x:f>
      </x:c>
      <x:c r="H133" s="60" t="str">
        <x:f>IF($A133="","",Invoices!$Q133)</x:f>
      </x:c>
      <x:c r="I133" s="52" t="str">
        <x:f>IF($A133="","",Invoices!$S133)</x:f>
      </x:c>
      <x:c r="J133" s="52" t="str">
        <x:f>IF($A133="","",Invoices!$T133)</x:f>
      </x:c>
      <x:c r="K133" s="52" t="str">
        <x:f>IF($A133="","",Invoices!$U133)</x:f>
      </x:c>
      <x:c r="L133" s="52" t="str">
        <x:f>IF($A133="","",IF($H133&lt;=0,"Closed",IF($K133="Current","Monitor",IF($K133="1-30","Follow up",IF($K133="31-60","Escalate",IF($K133="61-90","Urgent","Immediate action"))))))</x:f>
      </x:c>
    </x:row>
    <x:row r="134">
      <x:c r="A134" s="52" t="str">
        <x:f>IF(Invoices!$A134="","",Invoices!$A134)</x:f>
      </x:c>
      <x:c r="B134" s="52" t="str">
        <x:f>IF($A134="","",Invoices!$C134)</x:f>
      </x:c>
      <x:c r="C134" s="52" t="str">
        <x:f>IF($A134="","",Invoices!$D134)</x:f>
      </x:c>
      <x:c r="D134" s="66" t="str">
        <x:f>IF($A134="","",Invoices!$B134)</x:f>
      </x:c>
      <x:c r="E134" s="66" t="str">
        <x:f>IF($A134="","",Invoices!$R134)</x:f>
      </x:c>
      <x:c r="F134" s="60" t="str">
        <x:f>IF($A134="","",Invoices!$L134)</x:f>
      </x:c>
      <x:c r="G134" s="60" t="str">
        <x:f>IF($A134="","",Invoices!$G134)</x:f>
      </x:c>
      <x:c r="H134" s="60" t="str">
        <x:f>IF($A134="","",Invoices!$Q134)</x:f>
      </x:c>
      <x:c r="I134" s="52" t="str">
        <x:f>IF($A134="","",Invoices!$S134)</x:f>
      </x:c>
      <x:c r="J134" s="52" t="str">
        <x:f>IF($A134="","",Invoices!$T134)</x:f>
      </x:c>
      <x:c r="K134" s="52" t="str">
        <x:f>IF($A134="","",Invoices!$U134)</x:f>
      </x:c>
      <x:c r="L134" s="52" t="str">
        <x:f>IF($A134="","",IF($H134&lt;=0,"Closed",IF($K134="Current","Monitor",IF($K134="1-30","Follow up",IF($K134="31-60","Escalate",IF($K134="61-90","Urgent","Immediate action"))))))</x:f>
      </x:c>
    </x:row>
    <x:row r="135">
      <x:c r="A135" s="52" t="str">
        <x:f>IF(Invoices!$A135="","",Invoices!$A135)</x:f>
      </x:c>
      <x:c r="B135" s="52" t="str">
        <x:f>IF($A135="","",Invoices!$C135)</x:f>
      </x:c>
      <x:c r="C135" s="52" t="str">
        <x:f>IF($A135="","",Invoices!$D135)</x:f>
      </x:c>
      <x:c r="D135" s="66" t="str">
        <x:f>IF($A135="","",Invoices!$B135)</x:f>
      </x:c>
      <x:c r="E135" s="66" t="str">
        <x:f>IF($A135="","",Invoices!$R135)</x:f>
      </x:c>
      <x:c r="F135" s="60" t="str">
        <x:f>IF($A135="","",Invoices!$L135)</x:f>
      </x:c>
      <x:c r="G135" s="60" t="str">
        <x:f>IF($A135="","",Invoices!$G135)</x:f>
      </x:c>
      <x:c r="H135" s="60" t="str">
        <x:f>IF($A135="","",Invoices!$Q135)</x:f>
      </x:c>
      <x:c r="I135" s="52" t="str">
        <x:f>IF($A135="","",Invoices!$S135)</x:f>
      </x:c>
      <x:c r="J135" s="52" t="str">
        <x:f>IF($A135="","",Invoices!$T135)</x:f>
      </x:c>
      <x:c r="K135" s="52" t="str">
        <x:f>IF($A135="","",Invoices!$U135)</x:f>
      </x:c>
      <x:c r="L135" s="52" t="str">
        <x:f>IF($A135="","",IF($H135&lt;=0,"Closed",IF($K135="Current","Monitor",IF($K135="1-30","Follow up",IF($K135="31-60","Escalate",IF($K135="61-90","Urgent","Immediate action"))))))</x:f>
      </x:c>
    </x:row>
    <x:row r="136">
      <x:c r="A136" s="52" t="str">
        <x:f>IF(Invoices!$A136="","",Invoices!$A136)</x:f>
      </x:c>
      <x:c r="B136" s="52" t="str">
        <x:f>IF($A136="","",Invoices!$C136)</x:f>
      </x:c>
      <x:c r="C136" s="52" t="str">
        <x:f>IF($A136="","",Invoices!$D136)</x:f>
      </x:c>
      <x:c r="D136" s="66" t="str">
        <x:f>IF($A136="","",Invoices!$B136)</x:f>
      </x:c>
      <x:c r="E136" s="66" t="str">
        <x:f>IF($A136="","",Invoices!$R136)</x:f>
      </x:c>
      <x:c r="F136" s="60" t="str">
        <x:f>IF($A136="","",Invoices!$L136)</x:f>
      </x:c>
      <x:c r="G136" s="60" t="str">
        <x:f>IF($A136="","",Invoices!$G136)</x:f>
      </x:c>
      <x:c r="H136" s="60" t="str">
        <x:f>IF($A136="","",Invoices!$Q136)</x:f>
      </x:c>
      <x:c r="I136" s="52" t="str">
        <x:f>IF($A136="","",Invoices!$S136)</x:f>
      </x:c>
      <x:c r="J136" s="52" t="str">
        <x:f>IF($A136="","",Invoices!$T136)</x:f>
      </x:c>
      <x:c r="K136" s="52" t="str">
        <x:f>IF($A136="","",Invoices!$U136)</x:f>
      </x:c>
      <x:c r="L136" s="52" t="str">
        <x:f>IF($A136="","",IF($H136&lt;=0,"Closed",IF($K136="Current","Monitor",IF($K136="1-30","Follow up",IF($K136="31-60","Escalate",IF($K136="61-90","Urgent","Immediate action"))))))</x:f>
      </x:c>
    </x:row>
    <x:row r="137">
      <x:c r="A137" s="52" t="str">
        <x:f>IF(Invoices!$A137="","",Invoices!$A137)</x:f>
      </x:c>
      <x:c r="B137" s="52" t="str">
        <x:f>IF($A137="","",Invoices!$C137)</x:f>
      </x:c>
      <x:c r="C137" s="52" t="str">
        <x:f>IF($A137="","",Invoices!$D137)</x:f>
      </x:c>
      <x:c r="D137" s="66" t="str">
        <x:f>IF($A137="","",Invoices!$B137)</x:f>
      </x:c>
      <x:c r="E137" s="66" t="str">
        <x:f>IF($A137="","",Invoices!$R137)</x:f>
      </x:c>
      <x:c r="F137" s="60" t="str">
        <x:f>IF($A137="","",Invoices!$L137)</x:f>
      </x:c>
      <x:c r="G137" s="60" t="str">
        <x:f>IF($A137="","",Invoices!$G137)</x:f>
      </x:c>
      <x:c r="H137" s="60" t="str">
        <x:f>IF($A137="","",Invoices!$Q137)</x:f>
      </x:c>
      <x:c r="I137" s="52" t="str">
        <x:f>IF($A137="","",Invoices!$S137)</x:f>
      </x:c>
      <x:c r="J137" s="52" t="str">
        <x:f>IF($A137="","",Invoices!$T137)</x:f>
      </x:c>
      <x:c r="K137" s="52" t="str">
        <x:f>IF($A137="","",Invoices!$U137)</x:f>
      </x:c>
      <x:c r="L137" s="52" t="str">
        <x:f>IF($A137="","",IF($H137&lt;=0,"Closed",IF($K137="Current","Monitor",IF($K137="1-30","Follow up",IF($K137="31-60","Escalate",IF($K137="61-90","Urgent","Immediate action"))))))</x:f>
      </x:c>
    </x:row>
    <x:row r="138">
      <x:c r="A138" s="52" t="str">
        <x:f>IF(Invoices!$A138="","",Invoices!$A138)</x:f>
      </x:c>
      <x:c r="B138" s="52" t="str">
        <x:f>IF($A138="","",Invoices!$C138)</x:f>
      </x:c>
      <x:c r="C138" s="52" t="str">
        <x:f>IF($A138="","",Invoices!$D138)</x:f>
      </x:c>
      <x:c r="D138" s="66" t="str">
        <x:f>IF($A138="","",Invoices!$B138)</x:f>
      </x:c>
      <x:c r="E138" s="66" t="str">
        <x:f>IF($A138="","",Invoices!$R138)</x:f>
      </x:c>
      <x:c r="F138" s="60" t="str">
        <x:f>IF($A138="","",Invoices!$L138)</x:f>
      </x:c>
      <x:c r="G138" s="60" t="str">
        <x:f>IF($A138="","",Invoices!$G138)</x:f>
      </x:c>
      <x:c r="H138" s="60" t="str">
        <x:f>IF($A138="","",Invoices!$Q138)</x:f>
      </x:c>
      <x:c r="I138" s="52" t="str">
        <x:f>IF($A138="","",Invoices!$S138)</x:f>
      </x:c>
      <x:c r="J138" s="52" t="str">
        <x:f>IF($A138="","",Invoices!$T138)</x:f>
      </x:c>
      <x:c r="K138" s="52" t="str">
        <x:f>IF($A138="","",Invoices!$U138)</x:f>
      </x:c>
      <x:c r="L138" s="52" t="str">
        <x:f>IF($A138="","",IF($H138&lt;=0,"Closed",IF($K138="Current","Monitor",IF($K138="1-30","Follow up",IF($K138="31-60","Escalate",IF($K138="61-90","Urgent","Immediate action"))))))</x:f>
      </x:c>
    </x:row>
    <x:row r="139">
      <x:c r="A139" s="52" t="str">
        <x:f>IF(Invoices!$A139="","",Invoices!$A139)</x:f>
      </x:c>
      <x:c r="B139" s="52" t="str">
        <x:f>IF($A139="","",Invoices!$C139)</x:f>
      </x:c>
      <x:c r="C139" s="52" t="str">
        <x:f>IF($A139="","",Invoices!$D139)</x:f>
      </x:c>
      <x:c r="D139" s="66" t="str">
        <x:f>IF($A139="","",Invoices!$B139)</x:f>
      </x:c>
      <x:c r="E139" s="66" t="str">
        <x:f>IF($A139="","",Invoices!$R139)</x:f>
      </x:c>
      <x:c r="F139" s="60" t="str">
        <x:f>IF($A139="","",Invoices!$L139)</x:f>
      </x:c>
      <x:c r="G139" s="60" t="str">
        <x:f>IF($A139="","",Invoices!$G139)</x:f>
      </x:c>
      <x:c r="H139" s="60" t="str">
        <x:f>IF($A139="","",Invoices!$Q139)</x:f>
      </x:c>
      <x:c r="I139" s="52" t="str">
        <x:f>IF($A139="","",Invoices!$S139)</x:f>
      </x:c>
      <x:c r="J139" s="52" t="str">
        <x:f>IF($A139="","",Invoices!$T139)</x:f>
      </x:c>
      <x:c r="K139" s="52" t="str">
        <x:f>IF($A139="","",Invoices!$U139)</x:f>
      </x:c>
      <x:c r="L139" s="52" t="str">
        <x:f>IF($A139="","",IF($H139&lt;=0,"Closed",IF($K139="Current","Monitor",IF($K139="1-30","Follow up",IF($K139="31-60","Escalate",IF($K139="61-90","Urgent","Immediate action"))))))</x:f>
      </x:c>
    </x:row>
    <x:row r="140">
      <x:c r="A140" s="52" t="str">
        <x:f>IF(Invoices!$A140="","",Invoices!$A140)</x:f>
      </x:c>
      <x:c r="B140" s="52" t="str">
        <x:f>IF($A140="","",Invoices!$C140)</x:f>
      </x:c>
      <x:c r="C140" s="52" t="str">
        <x:f>IF($A140="","",Invoices!$D140)</x:f>
      </x:c>
      <x:c r="D140" s="66" t="str">
        <x:f>IF($A140="","",Invoices!$B140)</x:f>
      </x:c>
      <x:c r="E140" s="66" t="str">
        <x:f>IF($A140="","",Invoices!$R140)</x:f>
      </x:c>
      <x:c r="F140" s="60" t="str">
        <x:f>IF($A140="","",Invoices!$L140)</x:f>
      </x:c>
      <x:c r="G140" s="60" t="str">
        <x:f>IF($A140="","",Invoices!$G140)</x:f>
      </x:c>
      <x:c r="H140" s="60" t="str">
        <x:f>IF($A140="","",Invoices!$Q140)</x:f>
      </x:c>
      <x:c r="I140" s="52" t="str">
        <x:f>IF($A140="","",Invoices!$S140)</x:f>
      </x:c>
      <x:c r="J140" s="52" t="str">
        <x:f>IF($A140="","",Invoices!$T140)</x:f>
      </x:c>
      <x:c r="K140" s="52" t="str">
        <x:f>IF($A140="","",Invoices!$U140)</x:f>
      </x:c>
      <x:c r="L140" s="52" t="str">
        <x:f>IF($A140="","",IF($H140&lt;=0,"Closed",IF($K140="Current","Monitor",IF($K140="1-30","Follow up",IF($K140="31-60","Escalate",IF($K140="61-90","Urgent","Immediate action"))))))</x:f>
      </x:c>
    </x:row>
    <x:row r="141">
      <x:c r="A141" s="52" t="str">
        <x:f>IF(Invoices!$A141="","",Invoices!$A141)</x:f>
      </x:c>
      <x:c r="B141" s="52" t="str">
        <x:f>IF($A141="","",Invoices!$C141)</x:f>
      </x:c>
      <x:c r="C141" s="52" t="str">
        <x:f>IF($A141="","",Invoices!$D141)</x:f>
      </x:c>
      <x:c r="D141" s="66" t="str">
        <x:f>IF($A141="","",Invoices!$B141)</x:f>
      </x:c>
      <x:c r="E141" s="66" t="str">
        <x:f>IF($A141="","",Invoices!$R141)</x:f>
      </x:c>
      <x:c r="F141" s="60" t="str">
        <x:f>IF($A141="","",Invoices!$L141)</x:f>
      </x:c>
      <x:c r="G141" s="60" t="str">
        <x:f>IF($A141="","",Invoices!$G141)</x:f>
      </x:c>
      <x:c r="H141" s="60" t="str">
        <x:f>IF($A141="","",Invoices!$Q141)</x:f>
      </x:c>
      <x:c r="I141" s="52" t="str">
        <x:f>IF($A141="","",Invoices!$S141)</x:f>
      </x:c>
      <x:c r="J141" s="52" t="str">
        <x:f>IF($A141="","",Invoices!$T141)</x:f>
      </x:c>
      <x:c r="K141" s="52" t="str">
        <x:f>IF($A141="","",Invoices!$U141)</x:f>
      </x:c>
      <x:c r="L141" s="52" t="str">
        <x:f>IF($A141="","",IF($H141&lt;=0,"Closed",IF($K141="Current","Monitor",IF($K141="1-30","Follow up",IF($K141="31-60","Escalate",IF($K141="61-90","Urgent","Immediate action"))))))</x:f>
      </x:c>
    </x:row>
    <x:row r="142">
      <x:c r="A142" s="52" t="str">
        <x:f>IF(Invoices!$A142="","",Invoices!$A142)</x:f>
      </x:c>
      <x:c r="B142" s="52" t="str">
        <x:f>IF($A142="","",Invoices!$C142)</x:f>
      </x:c>
      <x:c r="C142" s="52" t="str">
        <x:f>IF($A142="","",Invoices!$D142)</x:f>
      </x:c>
      <x:c r="D142" s="66" t="str">
        <x:f>IF($A142="","",Invoices!$B142)</x:f>
      </x:c>
      <x:c r="E142" s="66" t="str">
        <x:f>IF($A142="","",Invoices!$R142)</x:f>
      </x:c>
      <x:c r="F142" s="60" t="str">
        <x:f>IF($A142="","",Invoices!$L142)</x:f>
      </x:c>
      <x:c r="G142" s="60" t="str">
        <x:f>IF($A142="","",Invoices!$G142)</x:f>
      </x:c>
      <x:c r="H142" s="60" t="str">
        <x:f>IF($A142="","",Invoices!$Q142)</x:f>
      </x:c>
      <x:c r="I142" s="52" t="str">
        <x:f>IF($A142="","",Invoices!$S142)</x:f>
      </x:c>
      <x:c r="J142" s="52" t="str">
        <x:f>IF($A142="","",Invoices!$T142)</x:f>
      </x:c>
      <x:c r="K142" s="52" t="str">
        <x:f>IF($A142="","",Invoices!$U142)</x:f>
      </x:c>
      <x:c r="L142" s="52" t="str">
        <x:f>IF($A142="","",IF($H142&lt;=0,"Closed",IF($K142="Current","Monitor",IF($K142="1-30","Follow up",IF($K142="31-60","Escalate",IF($K142="61-90","Urgent","Immediate action"))))))</x:f>
      </x:c>
    </x:row>
    <x:row r="143">
      <x:c r="A143" s="52" t="str">
        <x:f>IF(Invoices!$A143="","",Invoices!$A143)</x:f>
      </x:c>
      <x:c r="B143" s="52" t="str">
        <x:f>IF($A143="","",Invoices!$C143)</x:f>
      </x:c>
      <x:c r="C143" s="52" t="str">
        <x:f>IF($A143="","",Invoices!$D143)</x:f>
      </x:c>
      <x:c r="D143" s="66" t="str">
        <x:f>IF($A143="","",Invoices!$B143)</x:f>
      </x:c>
      <x:c r="E143" s="66" t="str">
        <x:f>IF($A143="","",Invoices!$R143)</x:f>
      </x:c>
      <x:c r="F143" s="60" t="str">
        <x:f>IF($A143="","",Invoices!$L143)</x:f>
      </x:c>
      <x:c r="G143" s="60" t="str">
        <x:f>IF($A143="","",Invoices!$G143)</x:f>
      </x:c>
      <x:c r="H143" s="60" t="str">
        <x:f>IF($A143="","",Invoices!$Q143)</x:f>
      </x:c>
      <x:c r="I143" s="52" t="str">
        <x:f>IF($A143="","",Invoices!$S143)</x:f>
      </x:c>
      <x:c r="J143" s="52" t="str">
        <x:f>IF($A143="","",Invoices!$T143)</x:f>
      </x:c>
      <x:c r="K143" s="52" t="str">
        <x:f>IF($A143="","",Invoices!$U143)</x:f>
      </x:c>
      <x:c r="L143" s="52" t="str">
        <x:f>IF($A143="","",IF($H143&lt;=0,"Closed",IF($K143="Current","Monitor",IF($K143="1-30","Follow up",IF($K143="31-60","Escalate",IF($K143="61-90","Urgent","Immediate action"))))))</x:f>
      </x:c>
    </x:row>
    <x:row r="144">
      <x:c r="A144" s="52" t="str">
        <x:f>IF(Invoices!$A144="","",Invoices!$A144)</x:f>
      </x:c>
      <x:c r="B144" s="52" t="str">
        <x:f>IF($A144="","",Invoices!$C144)</x:f>
      </x:c>
      <x:c r="C144" s="52" t="str">
        <x:f>IF($A144="","",Invoices!$D144)</x:f>
      </x:c>
      <x:c r="D144" s="66" t="str">
        <x:f>IF($A144="","",Invoices!$B144)</x:f>
      </x:c>
      <x:c r="E144" s="66" t="str">
        <x:f>IF($A144="","",Invoices!$R144)</x:f>
      </x:c>
      <x:c r="F144" s="60" t="str">
        <x:f>IF($A144="","",Invoices!$L144)</x:f>
      </x:c>
      <x:c r="G144" s="60" t="str">
        <x:f>IF($A144="","",Invoices!$G144)</x:f>
      </x:c>
      <x:c r="H144" s="60" t="str">
        <x:f>IF($A144="","",Invoices!$Q144)</x:f>
      </x:c>
      <x:c r="I144" s="52" t="str">
        <x:f>IF($A144="","",Invoices!$S144)</x:f>
      </x:c>
      <x:c r="J144" s="52" t="str">
        <x:f>IF($A144="","",Invoices!$T144)</x:f>
      </x:c>
      <x:c r="K144" s="52" t="str">
        <x:f>IF($A144="","",Invoices!$U144)</x:f>
      </x:c>
      <x:c r="L144" s="52" t="str">
        <x:f>IF($A144="","",IF($H144&lt;=0,"Closed",IF($K144="Current","Monitor",IF($K144="1-30","Follow up",IF($K144="31-60","Escalate",IF($K144="61-90","Urgent","Immediate action"))))))</x:f>
      </x:c>
    </x:row>
    <x:row r="145">
      <x:c r="A145" s="52" t="str">
        <x:f>IF(Invoices!$A145="","",Invoices!$A145)</x:f>
      </x:c>
      <x:c r="B145" s="52" t="str">
        <x:f>IF($A145="","",Invoices!$C145)</x:f>
      </x:c>
      <x:c r="C145" s="52" t="str">
        <x:f>IF($A145="","",Invoices!$D145)</x:f>
      </x:c>
      <x:c r="D145" s="66" t="str">
        <x:f>IF($A145="","",Invoices!$B145)</x:f>
      </x:c>
      <x:c r="E145" s="66" t="str">
        <x:f>IF($A145="","",Invoices!$R145)</x:f>
      </x:c>
      <x:c r="F145" s="60" t="str">
        <x:f>IF($A145="","",Invoices!$L145)</x:f>
      </x:c>
      <x:c r="G145" s="60" t="str">
        <x:f>IF($A145="","",Invoices!$G145)</x:f>
      </x:c>
      <x:c r="H145" s="60" t="str">
        <x:f>IF($A145="","",Invoices!$Q145)</x:f>
      </x:c>
      <x:c r="I145" s="52" t="str">
        <x:f>IF($A145="","",Invoices!$S145)</x:f>
      </x:c>
      <x:c r="J145" s="52" t="str">
        <x:f>IF($A145="","",Invoices!$T145)</x:f>
      </x:c>
      <x:c r="K145" s="52" t="str">
        <x:f>IF($A145="","",Invoices!$U145)</x:f>
      </x:c>
      <x:c r="L145" s="52" t="str">
        <x:f>IF($A145="","",IF($H145&lt;=0,"Closed",IF($K145="Current","Monitor",IF($K145="1-30","Follow up",IF($K145="31-60","Escalate",IF($K145="61-90","Urgent","Immediate action"))))))</x:f>
      </x:c>
    </x:row>
    <x:row r="146">
      <x:c r="A146" s="52" t="str">
        <x:f>IF(Invoices!$A146="","",Invoices!$A146)</x:f>
      </x:c>
      <x:c r="B146" s="52" t="str">
        <x:f>IF($A146="","",Invoices!$C146)</x:f>
      </x:c>
      <x:c r="C146" s="52" t="str">
        <x:f>IF($A146="","",Invoices!$D146)</x:f>
      </x:c>
      <x:c r="D146" s="66" t="str">
        <x:f>IF($A146="","",Invoices!$B146)</x:f>
      </x:c>
      <x:c r="E146" s="66" t="str">
        <x:f>IF($A146="","",Invoices!$R146)</x:f>
      </x:c>
      <x:c r="F146" s="60" t="str">
        <x:f>IF($A146="","",Invoices!$L146)</x:f>
      </x:c>
      <x:c r="G146" s="60" t="str">
        <x:f>IF($A146="","",Invoices!$G146)</x:f>
      </x:c>
      <x:c r="H146" s="60" t="str">
        <x:f>IF($A146="","",Invoices!$Q146)</x:f>
      </x:c>
      <x:c r="I146" s="52" t="str">
        <x:f>IF($A146="","",Invoices!$S146)</x:f>
      </x:c>
      <x:c r="J146" s="52" t="str">
        <x:f>IF($A146="","",Invoices!$T146)</x:f>
      </x:c>
      <x:c r="K146" s="52" t="str">
        <x:f>IF($A146="","",Invoices!$U146)</x:f>
      </x:c>
      <x:c r="L146" s="52" t="str">
        <x:f>IF($A146="","",IF($H146&lt;=0,"Closed",IF($K146="Current","Monitor",IF($K146="1-30","Follow up",IF($K146="31-60","Escalate",IF($K146="61-90","Urgent","Immediate action"))))))</x:f>
      </x:c>
    </x:row>
    <x:row r="147">
      <x:c r="A147" s="52" t="str">
        <x:f>IF(Invoices!$A147="","",Invoices!$A147)</x:f>
      </x:c>
      <x:c r="B147" s="52" t="str">
        <x:f>IF($A147="","",Invoices!$C147)</x:f>
      </x:c>
      <x:c r="C147" s="52" t="str">
        <x:f>IF($A147="","",Invoices!$D147)</x:f>
      </x:c>
      <x:c r="D147" s="66" t="str">
        <x:f>IF($A147="","",Invoices!$B147)</x:f>
      </x:c>
      <x:c r="E147" s="66" t="str">
        <x:f>IF($A147="","",Invoices!$R147)</x:f>
      </x:c>
      <x:c r="F147" s="60" t="str">
        <x:f>IF($A147="","",Invoices!$L147)</x:f>
      </x:c>
      <x:c r="G147" s="60" t="str">
        <x:f>IF($A147="","",Invoices!$G147)</x:f>
      </x:c>
      <x:c r="H147" s="60" t="str">
        <x:f>IF($A147="","",Invoices!$Q147)</x:f>
      </x:c>
      <x:c r="I147" s="52" t="str">
        <x:f>IF($A147="","",Invoices!$S147)</x:f>
      </x:c>
      <x:c r="J147" s="52" t="str">
        <x:f>IF($A147="","",Invoices!$T147)</x:f>
      </x:c>
      <x:c r="K147" s="52" t="str">
        <x:f>IF($A147="","",Invoices!$U147)</x:f>
      </x:c>
      <x:c r="L147" s="52" t="str">
        <x:f>IF($A147="","",IF($H147&lt;=0,"Closed",IF($K147="Current","Monitor",IF($K147="1-30","Follow up",IF($K147="31-60","Escalate",IF($K147="61-90","Urgent","Immediate action"))))))</x:f>
      </x:c>
    </x:row>
    <x:row r="148">
      <x:c r="A148" s="52" t="str">
        <x:f>IF(Invoices!$A148="","",Invoices!$A148)</x:f>
      </x:c>
      <x:c r="B148" s="52" t="str">
        <x:f>IF($A148="","",Invoices!$C148)</x:f>
      </x:c>
      <x:c r="C148" s="52" t="str">
        <x:f>IF($A148="","",Invoices!$D148)</x:f>
      </x:c>
      <x:c r="D148" s="66" t="str">
        <x:f>IF($A148="","",Invoices!$B148)</x:f>
      </x:c>
      <x:c r="E148" s="66" t="str">
        <x:f>IF($A148="","",Invoices!$R148)</x:f>
      </x:c>
      <x:c r="F148" s="60" t="str">
        <x:f>IF($A148="","",Invoices!$L148)</x:f>
      </x:c>
      <x:c r="G148" s="60" t="str">
        <x:f>IF($A148="","",Invoices!$G148)</x:f>
      </x:c>
      <x:c r="H148" s="60" t="str">
        <x:f>IF($A148="","",Invoices!$Q148)</x:f>
      </x:c>
      <x:c r="I148" s="52" t="str">
        <x:f>IF($A148="","",Invoices!$S148)</x:f>
      </x:c>
      <x:c r="J148" s="52" t="str">
        <x:f>IF($A148="","",Invoices!$T148)</x:f>
      </x:c>
      <x:c r="K148" s="52" t="str">
        <x:f>IF($A148="","",Invoices!$U148)</x:f>
      </x:c>
      <x:c r="L148" s="52" t="str">
        <x:f>IF($A148="","",IF($H148&lt;=0,"Closed",IF($K148="Current","Monitor",IF($K148="1-30","Follow up",IF($K148="31-60","Escalate",IF($K148="61-90","Urgent","Immediate action"))))))</x:f>
      </x:c>
    </x:row>
    <x:row r="149">
      <x:c r="A149" s="52" t="str">
        <x:f>IF(Invoices!$A149="","",Invoices!$A149)</x:f>
      </x:c>
      <x:c r="B149" s="52" t="str">
        <x:f>IF($A149="","",Invoices!$C149)</x:f>
      </x:c>
      <x:c r="C149" s="52" t="str">
        <x:f>IF($A149="","",Invoices!$D149)</x:f>
      </x:c>
      <x:c r="D149" s="66" t="str">
        <x:f>IF($A149="","",Invoices!$B149)</x:f>
      </x:c>
      <x:c r="E149" s="66" t="str">
        <x:f>IF($A149="","",Invoices!$R149)</x:f>
      </x:c>
      <x:c r="F149" s="60" t="str">
        <x:f>IF($A149="","",Invoices!$L149)</x:f>
      </x:c>
      <x:c r="G149" s="60" t="str">
        <x:f>IF($A149="","",Invoices!$G149)</x:f>
      </x:c>
      <x:c r="H149" s="60" t="str">
        <x:f>IF($A149="","",Invoices!$Q149)</x:f>
      </x:c>
      <x:c r="I149" s="52" t="str">
        <x:f>IF($A149="","",Invoices!$S149)</x:f>
      </x:c>
      <x:c r="J149" s="52" t="str">
        <x:f>IF($A149="","",Invoices!$T149)</x:f>
      </x:c>
      <x:c r="K149" s="52" t="str">
        <x:f>IF($A149="","",Invoices!$U149)</x:f>
      </x:c>
      <x:c r="L149" s="52" t="str">
        <x:f>IF($A149="","",IF($H149&lt;=0,"Closed",IF($K149="Current","Monitor",IF($K149="1-30","Follow up",IF($K149="31-60","Escalate",IF($K149="61-90","Urgent","Immediate action"))))))</x:f>
      </x:c>
    </x:row>
    <x:row r="150">
      <x:c r="A150" s="52" t="str">
        <x:f>IF(Invoices!$A150="","",Invoices!$A150)</x:f>
      </x:c>
      <x:c r="B150" s="52" t="str">
        <x:f>IF($A150="","",Invoices!$C150)</x:f>
      </x:c>
      <x:c r="C150" s="52" t="str">
        <x:f>IF($A150="","",Invoices!$D150)</x:f>
      </x:c>
      <x:c r="D150" s="66" t="str">
        <x:f>IF($A150="","",Invoices!$B150)</x:f>
      </x:c>
      <x:c r="E150" s="66" t="str">
        <x:f>IF($A150="","",Invoices!$R150)</x:f>
      </x:c>
      <x:c r="F150" s="60" t="str">
        <x:f>IF($A150="","",Invoices!$L150)</x:f>
      </x:c>
      <x:c r="G150" s="60" t="str">
        <x:f>IF($A150="","",Invoices!$G150)</x:f>
      </x:c>
      <x:c r="H150" s="60" t="str">
        <x:f>IF($A150="","",Invoices!$Q150)</x:f>
      </x:c>
      <x:c r="I150" s="52" t="str">
        <x:f>IF($A150="","",Invoices!$S150)</x:f>
      </x:c>
      <x:c r="J150" s="52" t="str">
        <x:f>IF($A150="","",Invoices!$T150)</x:f>
      </x:c>
      <x:c r="K150" s="52" t="str">
        <x:f>IF($A150="","",Invoices!$U150)</x:f>
      </x:c>
      <x:c r="L150" s="52" t="str">
        <x:f>IF($A150="","",IF($H150&lt;=0,"Closed",IF($K150="Current","Monitor",IF($K150="1-30","Follow up",IF($K150="31-60","Escalate",IF($K150="61-90","Urgent","Immediate action"))))))</x:f>
      </x:c>
    </x:row>
    <x:row r="151">
      <x:c r="A151" s="52" t="str">
        <x:f>IF(Invoices!$A151="","",Invoices!$A151)</x:f>
      </x:c>
      <x:c r="B151" s="52" t="str">
        <x:f>IF($A151="","",Invoices!$C151)</x:f>
      </x:c>
      <x:c r="C151" s="52" t="str">
        <x:f>IF($A151="","",Invoices!$D151)</x:f>
      </x:c>
      <x:c r="D151" s="66" t="str">
        <x:f>IF($A151="","",Invoices!$B151)</x:f>
      </x:c>
      <x:c r="E151" s="66" t="str">
        <x:f>IF($A151="","",Invoices!$R151)</x:f>
      </x:c>
      <x:c r="F151" s="60" t="str">
        <x:f>IF($A151="","",Invoices!$L151)</x:f>
      </x:c>
      <x:c r="G151" s="60" t="str">
        <x:f>IF($A151="","",Invoices!$G151)</x:f>
      </x:c>
      <x:c r="H151" s="60" t="str">
        <x:f>IF($A151="","",Invoices!$Q151)</x:f>
      </x:c>
      <x:c r="I151" s="52" t="str">
        <x:f>IF($A151="","",Invoices!$S151)</x:f>
      </x:c>
      <x:c r="J151" s="52" t="str">
        <x:f>IF($A151="","",Invoices!$T151)</x:f>
      </x:c>
      <x:c r="K151" s="52" t="str">
        <x:f>IF($A151="","",Invoices!$U151)</x:f>
      </x:c>
      <x:c r="L151" s="52" t="str">
        <x:f>IF($A151="","",IF($H151&lt;=0,"Closed",IF($K151="Current","Monitor",IF($K151="1-30","Follow up",IF($K151="31-60","Escalate",IF($K151="61-90","Urgent","Immediate action"))))))</x:f>
      </x:c>
    </x:row>
    <x:row r="152">
      <x:c r="A152" s="52" t="str">
        <x:f>IF(Invoices!$A152="","",Invoices!$A152)</x:f>
      </x:c>
      <x:c r="B152" s="52" t="str">
        <x:f>IF($A152="","",Invoices!$C152)</x:f>
      </x:c>
      <x:c r="C152" s="52" t="str">
        <x:f>IF($A152="","",Invoices!$D152)</x:f>
      </x:c>
      <x:c r="D152" s="66" t="str">
        <x:f>IF($A152="","",Invoices!$B152)</x:f>
      </x:c>
      <x:c r="E152" s="66" t="str">
        <x:f>IF($A152="","",Invoices!$R152)</x:f>
      </x:c>
      <x:c r="F152" s="60" t="str">
        <x:f>IF($A152="","",Invoices!$L152)</x:f>
      </x:c>
      <x:c r="G152" s="60" t="str">
        <x:f>IF($A152="","",Invoices!$G152)</x:f>
      </x:c>
      <x:c r="H152" s="60" t="str">
        <x:f>IF($A152="","",Invoices!$Q152)</x:f>
      </x:c>
      <x:c r="I152" s="52" t="str">
        <x:f>IF($A152="","",Invoices!$S152)</x:f>
      </x:c>
      <x:c r="J152" s="52" t="str">
        <x:f>IF($A152="","",Invoices!$T152)</x:f>
      </x:c>
      <x:c r="K152" s="52" t="str">
        <x:f>IF($A152="","",Invoices!$U152)</x:f>
      </x:c>
      <x:c r="L152" s="52" t="str">
        <x:f>IF($A152="","",IF($H152&lt;=0,"Closed",IF($K152="Current","Monitor",IF($K152="1-30","Follow up",IF($K152="31-60","Escalate",IF($K152="61-90","Urgent","Immediate action"))))))</x:f>
      </x:c>
    </x:row>
    <x:row r="153">
      <x:c r="A153" s="52" t="str">
        <x:f>IF(Invoices!$A153="","",Invoices!$A153)</x:f>
      </x:c>
      <x:c r="B153" s="52" t="str">
        <x:f>IF($A153="","",Invoices!$C153)</x:f>
      </x:c>
      <x:c r="C153" s="52" t="str">
        <x:f>IF($A153="","",Invoices!$D153)</x:f>
      </x:c>
      <x:c r="D153" s="66" t="str">
        <x:f>IF($A153="","",Invoices!$B153)</x:f>
      </x:c>
      <x:c r="E153" s="66" t="str">
        <x:f>IF($A153="","",Invoices!$R153)</x:f>
      </x:c>
      <x:c r="F153" s="60" t="str">
        <x:f>IF($A153="","",Invoices!$L153)</x:f>
      </x:c>
      <x:c r="G153" s="60" t="str">
        <x:f>IF($A153="","",Invoices!$G153)</x:f>
      </x:c>
      <x:c r="H153" s="60" t="str">
        <x:f>IF($A153="","",Invoices!$Q153)</x:f>
      </x:c>
      <x:c r="I153" s="52" t="str">
        <x:f>IF($A153="","",Invoices!$S153)</x:f>
      </x:c>
      <x:c r="J153" s="52" t="str">
        <x:f>IF($A153="","",Invoices!$T153)</x:f>
      </x:c>
      <x:c r="K153" s="52" t="str">
        <x:f>IF($A153="","",Invoices!$U153)</x:f>
      </x:c>
      <x:c r="L153" s="52" t="str">
        <x:f>IF($A153="","",IF($H153&lt;=0,"Closed",IF($K153="Current","Monitor",IF($K153="1-30","Follow up",IF($K153="31-60","Escalate",IF($K153="61-90","Urgent","Immediate action"))))))</x:f>
      </x:c>
    </x:row>
    <x:row r="154">
      <x:c r="A154" s="52" t="str">
        <x:f>IF(Invoices!$A154="","",Invoices!$A154)</x:f>
      </x:c>
      <x:c r="B154" s="52" t="str">
        <x:f>IF($A154="","",Invoices!$C154)</x:f>
      </x:c>
      <x:c r="C154" s="52" t="str">
        <x:f>IF($A154="","",Invoices!$D154)</x:f>
      </x:c>
      <x:c r="D154" s="66" t="str">
        <x:f>IF($A154="","",Invoices!$B154)</x:f>
      </x:c>
      <x:c r="E154" s="66" t="str">
        <x:f>IF($A154="","",Invoices!$R154)</x:f>
      </x:c>
      <x:c r="F154" s="60" t="str">
        <x:f>IF($A154="","",Invoices!$L154)</x:f>
      </x:c>
      <x:c r="G154" s="60" t="str">
        <x:f>IF($A154="","",Invoices!$G154)</x:f>
      </x:c>
      <x:c r="H154" s="60" t="str">
        <x:f>IF($A154="","",Invoices!$Q154)</x:f>
      </x:c>
      <x:c r="I154" s="52" t="str">
        <x:f>IF($A154="","",Invoices!$S154)</x:f>
      </x:c>
      <x:c r="J154" s="52" t="str">
        <x:f>IF($A154="","",Invoices!$T154)</x:f>
      </x:c>
      <x:c r="K154" s="52" t="str">
        <x:f>IF($A154="","",Invoices!$U154)</x:f>
      </x:c>
      <x:c r="L154" s="52" t="str">
        <x:f>IF($A154="","",IF($H154&lt;=0,"Closed",IF($K154="Current","Monitor",IF($K154="1-30","Follow up",IF($K154="31-60","Escalate",IF($K154="61-90","Urgent","Immediate action"))))))</x:f>
      </x:c>
    </x:row>
    <x:row r="155">
      <x:c r="A155" s="52" t="str">
        <x:f>IF(Invoices!$A155="","",Invoices!$A155)</x:f>
      </x:c>
      <x:c r="B155" s="52" t="str">
        <x:f>IF($A155="","",Invoices!$C155)</x:f>
      </x:c>
      <x:c r="C155" s="52" t="str">
        <x:f>IF($A155="","",Invoices!$D155)</x:f>
      </x:c>
      <x:c r="D155" s="66" t="str">
        <x:f>IF($A155="","",Invoices!$B155)</x:f>
      </x:c>
      <x:c r="E155" s="66" t="str">
        <x:f>IF($A155="","",Invoices!$R155)</x:f>
      </x:c>
      <x:c r="F155" s="60" t="str">
        <x:f>IF($A155="","",Invoices!$L155)</x:f>
      </x:c>
      <x:c r="G155" s="60" t="str">
        <x:f>IF($A155="","",Invoices!$G155)</x:f>
      </x:c>
      <x:c r="H155" s="60" t="str">
        <x:f>IF($A155="","",Invoices!$Q155)</x:f>
      </x:c>
      <x:c r="I155" s="52" t="str">
        <x:f>IF($A155="","",Invoices!$S155)</x:f>
      </x:c>
      <x:c r="J155" s="52" t="str">
        <x:f>IF($A155="","",Invoices!$T155)</x:f>
      </x:c>
      <x:c r="K155" s="52" t="str">
        <x:f>IF($A155="","",Invoices!$U155)</x:f>
      </x:c>
      <x:c r="L155" s="52" t="str">
        <x:f>IF($A155="","",IF($H155&lt;=0,"Closed",IF($K155="Current","Monitor",IF($K155="1-30","Follow up",IF($K155="31-60","Escalate",IF($K155="61-90","Urgent","Immediate action"))))))</x:f>
      </x:c>
    </x:row>
    <x:row r="156">
      <x:c r="A156" s="52" t="str">
        <x:f>IF(Invoices!$A156="","",Invoices!$A156)</x:f>
      </x:c>
      <x:c r="B156" s="52" t="str">
        <x:f>IF($A156="","",Invoices!$C156)</x:f>
      </x:c>
      <x:c r="C156" s="52" t="str">
        <x:f>IF($A156="","",Invoices!$D156)</x:f>
      </x:c>
      <x:c r="D156" s="66" t="str">
        <x:f>IF($A156="","",Invoices!$B156)</x:f>
      </x:c>
      <x:c r="E156" s="66" t="str">
        <x:f>IF($A156="","",Invoices!$R156)</x:f>
      </x:c>
      <x:c r="F156" s="60" t="str">
        <x:f>IF($A156="","",Invoices!$L156)</x:f>
      </x:c>
      <x:c r="G156" s="60" t="str">
        <x:f>IF($A156="","",Invoices!$G156)</x:f>
      </x:c>
      <x:c r="H156" s="60" t="str">
        <x:f>IF($A156="","",Invoices!$Q156)</x:f>
      </x:c>
      <x:c r="I156" s="52" t="str">
        <x:f>IF($A156="","",Invoices!$S156)</x:f>
      </x:c>
      <x:c r="J156" s="52" t="str">
        <x:f>IF($A156="","",Invoices!$T156)</x:f>
      </x:c>
      <x:c r="K156" s="52" t="str">
        <x:f>IF($A156="","",Invoices!$U156)</x:f>
      </x:c>
      <x:c r="L156" s="52" t="str">
        <x:f>IF($A156="","",IF($H156&lt;=0,"Closed",IF($K156="Current","Monitor",IF($K156="1-30","Follow up",IF($K156="31-60","Escalate",IF($K156="61-90","Urgent","Immediate action"))))))</x:f>
      </x:c>
    </x:row>
  </x:sheetData>
  <x:mergeCells>
    <x:mergeCell ref="A1:L1"/>
    <x:mergeCell ref="A2:L2"/>
  </x:mergeCells>
  <x:conditionalFormatting sqref="H7:H156">
    <x:cfRule type="expression" dxfId="5" priority="1">
      <x:formula>H7&gt;0</x:formula>
    </x:cfRule>
  </x:conditionalFormatting>
  <x:conditionalFormatting sqref="K7:K156">
    <x:cfRule type="expression" dxfId="6" priority="2">
      <x:formula>OR(K7="61-90",K7="90+")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138033f6444c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0" hidden="0" customWidth="1"/>
    <x:col min="8" max="8" width="3" hidden="0" customWidth="1"/>
    <x:col min="9" max="9" width="32" hidden="0" customWidth="1"/>
    <x:col min="10" max="10" width="15" hidden="0" customWidth="1"/>
    <x:col min="11" max="11" width="13" hidden="0" customWidth="1"/>
    <x:col min="12" max="12" width="10" hidden="0" customWidth="1"/>
    <x:col min="13" max="13" width="12" hidden="0" customWidth="1"/>
    <x:col min="14" max="14" width="13" hidden="0" customWidth="1"/>
  </x:cols>
  <x:sheetData>
    <x:row r="1" ht="30" customHeight="1">
      <x:c r="A1" s="4" t="str">
        <x:v>LAGOM NATURALS — REPORTS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10" t="str">
        <x:v>Date- and rep-filtered product/account performance. Reporting reads the ledger without creating another source of truth.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6" t="str">
        <x:v>REPORT FILTERS</x:v>
      </x:c>
      <x:c r="B4" s="16"/>
      <x:c r="C4" s="16"/>
      <x:c r="D4" s="16"/>
    </x:row>
    <x:row r="5">
      <x:c r="A5" s="93" t="str">
        <x:v>Start Date</x:v>
      </x:c>
      <x:c r="B5" s="56" t="n">
        <x:v>46023</x:v>
      </x:c>
    </x:row>
    <x:row r="6">
      <x:c r="A6" s="93" t="str">
        <x:v>End Date</x:v>
      </x:c>
      <x:c r="B6" s="56" t="n">
        <x:v>46387</x:v>
      </x:c>
    </x:row>
    <x:row r="7">
      <x:c r="A7" s="93" t="str">
        <x:v>Sales Rep</x:v>
      </x:c>
      <x:c r="B7" s="46" t="str">
        <x:v>All</x:v>
      </x:c>
    </x:row>
    <x:row r="10">
      <x:c r="A10" s="16" t="str">
        <x:v>PRODUCT PERFORMANCE</x:v>
      </x:c>
      <x:c r="B10" s="16"/>
      <x:c r="C10" s="16"/>
      <x:c r="D10" s="16"/>
      <x:c r="E10" s="16"/>
      <x:c r="F10" s="16"/>
      <x:c r="G10" s="16"/>
      <x:c r="I10" s="16" t="str">
        <x:v>ACCOUNT PERFORMANCE</x:v>
      </x:c>
      <x:c r="J10" s="16"/>
      <x:c r="K10" s="16"/>
      <x:c r="L10" s="16"/>
      <x:c r="M10" s="16"/>
      <x:c r="N10" s="16"/>
    </x:row>
    <x:row r="11">
      <x:c r="A11" s="22" t="str">
        <x:v>Product</x:v>
      </x:c>
      <x:c r="B11" s="22" t="str">
        <x:v>Line</x:v>
      </x:c>
      <x:c r="C11" s="22" t="str">
        <x:v>Cases</x:v>
      </x:c>
      <x:c r="D11" s="22" t="str">
        <x:v>Revenue</x:v>
      </x:c>
      <x:c r="E11" s="22" t="str">
        <x:v>COGS</x:v>
      </x:c>
      <x:c r="F11" s="22" t="str">
        <x:v>Gross Profit</x:v>
      </x:c>
      <x:c r="G11" s="22" t="str">
        <x:v>Margin</x:v>
      </x:c>
      <x:c r="I11" s="22" t="str">
        <x:v>Account</x:v>
      </x:c>
      <x:c r="J11" s="22" t="str">
        <x:v>City</x:v>
      </x:c>
      <x:c r="K11" s="22" t="str">
        <x:v>Revenue</x:v>
      </x:c>
      <x:c r="L11" s="22" t="str">
        <x:v>Cases</x:v>
      </x:c>
      <x:c r="M11" s="22" t="str">
        <x:v>Invoice Count</x:v>
      </x:c>
      <x:c r="N11" s="22" t="str">
        <x:v>Open AR</x:v>
      </x:c>
    </x:row>
    <x:row r="12">
      <x:c r="A12" s="30" t="str">
        <x:v>Lagom - 24K Lemonade</x:v>
      </x:c>
      <x:c r="B12" s="30" t="str">
        <x:v>Seltzer</x:v>
      </x:c>
      <x:c r="C12" s="98" t="n">
        <x:f>IF($B$7="All",SUMIFS(Depletion!$C$7:$C$306,Depletion!$B$7:$B$306,$A12,Depletion!$K$7:$K$306,"&gt;="&amp;$B$5,Depletion!$K$7:$K$306,"&lt;="&amp;$B$6),SUMIFS(Depletion!$C$7:$C$306,Depletion!$B$7:$B$306,$A12,Depletion!$K$7:$K$306,"&gt;="&amp;$B$5,Depletion!$K$7:$K$306,"&lt;="&amp;$B$6,Depletion!$M$7:$M$306,$B$7))</x:f>
        <x:v>2</x:v>
      </x:c>
      <x:c r="D12" s="36" t="n">
        <x:f>IF($B$7="All",SUMIFS(Depletion!$E$7:$E$306,Depletion!$B$7:$B$306,$A12,Depletion!$K$7:$K$306,"&gt;="&amp;$B$5,Depletion!$K$7:$K$306,"&lt;="&amp;$B$6),SUMIFS(Depletion!$E$7:$E$306,Depletion!$B$7:$B$306,$A12,Depletion!$K$7:$K$306,"&gt;="&amp;$B$5,Depletion!$K$7:$K$306,"&lt;="&amp;$B$6,Depletion!$M$7:$M$306,$B$7))</x:f>
        <x:v>145.98</x:v>
      </x:c>
      <x:c r="E12" s="36" t="n">
        <x:f>IF($B$7="All",SUMIFS(Depletion!$I$7:$I$306,Depletion!$B$7:$B$306,$A12,Depletion!$K$7:$K$306,"&gt;="&amp;$B$5,Depletion!$K$7:$K$306,"&lt;="&amp;$B$6),SUMIFS(Depletion!$I$7:$I$306,Depletion!$B$7:$B$306,$A12,Depletion!$K$7:$K$306,"&gt;="&amp;$B$5,Depletion!$K$7:$K$306,"&lt;="&amp;$B$6,Depletion!$M$7:$M$306,$B$7))</x:f>
        <x:v>144</x:v>
      </x:c>
      <x:c r="F12" s="36" t="n">
        <x:f>D12-E12</x:f>
        <x:v>1.9799999999999898</x:v>
      </x:c>
      <x:c r="G12" s="38" t="n">
        <x:f>IFERROR(F12/D12,0)</x:f>
        <x:v>0.013563501849568366</x:v>
      </x:c>
      <x:c r="I12" s="30" t="str">
        <x:f>IF(Setup!$J$7="","",Setup!$J$7)</x:f>
        <x:v>Wayzata Smoke Shop &amp; Vape</x:v>
      </x:c>
      <x:c r="J12" s="30" t="str">
        <x:f>IF($I12="","",Setup!$K$7)</x:f>
        <x:v>Wayzata</x:v>
      </x:c>
      <x:c r="K12" s="36" t="n">
        <x:f>IF($I12="","",IF($B$7="All",SUMIFS(Depletion!$E$7:$E$306,Depletion!$L$7:$L$306,$I12,Depletion!$K$7:$K$306,"&gt;="&amp;$B$5,Depletion!$K$7:$K$306,"&lt;="&amp;$B$6),SUMIFS(Depletion!$E$7:$E$306,Depletion!$L$7:$L$306,$I12,Depletion!$K$7:$K$306,"&gt;="&amp;$B$5,Depletion!$K$7:$K$306,"&lt;="&amp;$B$6,Depletion!$M$7:$M$306,$B$7)))</x:f>
        <x:v>291.96</x:v>
      </x:c>
      <x:c r="L12" s="98" t="n">
        <x:f>IF($I12="","",IF($B$7="All",SUMIFS(Depletion!$C$7:$C$306,Depletion!$L$7:$L$306,$I12,Depletion!$K$7:$K$306,"&gt;="&amp;$B$5,Depletion!$K$7:$K$306,"&lt;="&amp;$B$6),SUMIFS(Depletion!$C$7:$C$306,Depletion!$L$7:$L$306,$I12,Depletion!$K$7:$K$306,"&gt;="&amp;$B$5,Depletion!$K$7:$K$306,"&lt;="&amp;$B$6,Depletion!$M$7:$M$306,$B$7)))</x:f>
        <x:v>4</x:v>
      </x:c>
      <x:c r="M12" s="100" t="n">
        <x:f>IF($I12="","",IF($B$7="All",COUNTIFS(Invoices!$C$7:$C$156,$I12,Invoices!$B$7:$B$156,"&gt;="&amp;$B$5,Invoices!$B$7:$B$156,"&lt;="&amp;$B$6),COUNTIFS(Invoices!$C$7:$C$156,$I12,Invoices!$B$7:$B$156,"&gt;="&amp;$B$5,Invoices!$B$7:$B$156,"&lt;="&amp;$B$6,Invoices!$D$7:$D$156,$B$7)))</x:f>
        <x:v>1</x:v>
      </x:c>
      <x:c r="N12" s="36" t="n">
        <x:f>IF($I12="","",IF($B$7="All",SUMIFS(Invoices!$Q$7:$Q$156,Invoices!$C$7:$C$156,$I12),SUMIFS(Invoices!$Q$7:$Q$156,Invoices!$C$7:$C$156,$I12,Invoices!$D$7:$D$156,$B$7)))</x:f>
        <x:v>0</x:v>
      </x:c>
    </x:row>
    <x:row r="13">
      <x:c r="A13" s="30" t="str">
        <x:v>Lagom - Strawberry Lime Fusion</x:v>
      </x:c>
      <x:c r="B13" s="30" t="str">
        <x:v>Seltzer</x:v>
      </x:c>
      <x:c r="C13" s="98" t="n">
        <x:f>IF($B$7="All",SUMIFS(Depletion!$C$7:$C$306,Depletion!$B$7:$B$306,$A13,Depletion!$K$7:$K$306,"&gt;="&amp;$B$5,Depletion!$K$7:$K$306,"&lt;="&amp;$B$6),SUMIFS(Depletion!$C$7:$C$306,Depletion!$B$7:$B$306,$A13,Depletion!$K$7:$K$306,"&gt;="&amp;$B$5,Depletion!$K$7:$K$306,"&lt;="&amp;$B$6,Depletion!$M$7:$M$306,$B$7))</x:f>
        <x:v>2</x:v>
      </x:c>
      <x:c r="D13" s="36" t="n">
        <x:f>IF($B$7="All",SUMIFS(Depletion!$E$7:$E$306,Depletion!$B$7:$B$306,$A13,Depletion!$K$7:$K$306,"&gt;="&amp;$B$5,Depletion!$K$7:$K$306,"&lt;="&amp;$B$6),SUMIFS(Depletion!$E$7:$E$306,Depletion!$B$7:$B$306,$A13,Depletion!$K$7:$K$306,"&gt;="&amp;$B$5,Depletion!$K$7:$K$306,"&lt;="&amp;$B$6,Depletion!$M$7:$M$306,$B$7))</x:f>
        <x:v>145.98</x:v>
      </x:c>
      <x:c r="E13" s="36" t="n">
        <x:f>IF($B$7="All",SUMIFS(Depletion!$I$7:$I$306,Depletion!$B$7:$B$306,$A13,Depletion!$K$7:$K$306,"&gt;="&amp;$B$5,Depletion!$K$7:$K$306,"&lt;="&amp;$B$6),SUMIFS(Depletion!$I$7:$I$306,Depletion!$B$7:$B$306,$A13,Depletion!$K$7:$K$306,"&gt;="&amp;$B$5,Depletion!$K$7:$K$306,"&lt;="&amp;$B$6,Depletion!$M$7:$M$306,$B$7))</x:f>
        <x:v>144</x:v>
      </x:c>
      <x:c r="F13" s="36" t="n">
        <x:f>D13-E13</x:f>
        <x:v>1.9799999999999898</x:v>
      </x:c>
      <x:c r="G13" s="38" t="n">
        <x:f>IFERROR(F13/D13,0)</x:f>
        <x:v>0.013563501849568366</x:v>
      </x:c>
      <x:c r="I13" s="30" t="str">
        <x:f>IF(Setup!$J$8="","",Setup!$J$8)</x:f>
        <x:v>Long Lake Orono Smoke Shop</x:v>
      </x:c>
      <x:c r="J13" s="30" t="str">
        <x:f>IF($I13="","",Setup!$K$8)</x:f>
        <x:v>Long Lake</x:v>
      </x:c>
      <x:c r="K13" s="36" t="n">
        <x:f>IF($I13="","",IF($B$7="All",SUMIFS(Depletion!$E$7:$E$306,Depletion!$L$7:$L$306,$I13,Depletion!$K$7:$K$306,"&gt;="&amp;$B$5,Depletion!$K$7:$K$306,"&lt;="&amp;$B$6),SUMIFS(Depletion!$E$7:$E$306,Depletion!$L$7:$L$306,$I13,Depletion!$K$7:$K$306,"&gt;="&amp;$B$5,Depletion!$K$7:$K$306,"&lt;="&amp;$B$6,Depletion!$M$7:$M$306,$B$7)))</x:f>
        <x:v>291.96</x:v>
      </x:c>
      <x:c r="L13" s="98" t="n">
        <x:f>IF($I13="","",IF($B$7="All",SUMIFS(Depletion!$C$7:$C$306,Depletion!$L$7:$L$306,$I13,Depletion!$K$7:$K$306,"&gt;="&amp;$B$5,Depletion!$K$7:$K$306,"&lt;="&amp;$B$6),SUMIFS(Depletion!$C$7:$C$306,Depletion!$L$7:$L$306,$I13,Depletion!$K$7:$K$306,"&gt;="&amp;$B$5,Depletion!$K$7:$K$306,"&lt;="&amp;$B$6,Depletion!$M$7:$M$306,$B$7)))</x:f>
        <x:v>4</x:v>
      </x:c>
      <x:c r="M13" s="100" t="n">
        <x:f>IF($I13="","",IF($B$7="All",COUNTIFS(Invoices!$C$7:$C$156,$I13,Invoices!$B$7:$B$156,"&gt;="&amp;$B$5,Invoices!$B$7:$B$156,"&lt;="&amp;$B$6),COUNTIFS(Invoices!$C$7:$C$156,$I13,Invoices!$B$7:$B$156,"&gt;="&amp;$B$5,Invoices!$B$7:$B$156,"&lt;="&amp;$B$6,Invoices!$D$7:$D$156,$B$7)))</x:f>
        <x:v>1</x:v>
      </x:c>
      <x:c r="N13" s="36" t="n">
        <x:f>IF($I13="","",IF($B$7="All",SUMIFS(Invoices!$Q$7:$Q$156,Invoices!$C$7:$C$156,$I13),SUMIFS(Invoices!$Q$7:$Q$156,Invoices!$C$7:$C$156,$I13,Invoices!$D$7:$D$156,$B$7)))</x:f>
        <x:v>0</x:v>
      </x:c>
    </x:row>
    <x:row r="14">
      <x:c r="A14" s="30" t="str">
        <x:v>Lagom - Blackberry Breeze</x:v>
      </x:c>
      <x:c r="B14" s="30" t="str">
        <x:v>Seltzer</x:v>
      </x:c>
      <x:c r="C14" s="98" t="n">
        <x:f>IF($B$7="All",SUMIFS(Depletion!$C$7:$C$306,Depletion!$B$7:$B$306,$A14,Depletion!$K$7:$K$306,"&gt;="&amp;$B$5,Depletion!$K$7:$K$306,"&lt;="&amp;$B$6),SUMIFS(Depletion!$C$7:$C$306,Depletion!$B$7:$B$306,$A14,Depletion!$K$7:$K$306,"&gt;="&amp;$B$5,Depletion!$K$7:$K$306,"&lt;="&amp;$B$6,Depletion!$M$7:$M$306,$B$7))</x:f>
        <x:v>2</x:v>
      </x:c>
      <x:c r="D14" s="36" t="n">
        <x:f>IF($B$7="All",SUMIFS(Depletion!$E$7:$E$306,Depletion!$B$7:$B$306,$A14,Depletion!$K$7:$K$306,"&gt;="&amp;$B$5,Depletion!$K$7:$K$306,"&lt;="&amp;$B$6),SUMIFS(Depletion!$E$7:$E$306,Depletion!$B$7:$B$306,$A14,Depletion!$K$7:$K$306,"&gt;="&amp;$B$5,Depletion!$K$7:$K$306,"&lt;="&amp;$B$6,Depletion!$M$7:$M$306,$B$7))</x:f>
        <x:v>145.98</x:v>
      </x:c>
      <x:c r="E14" s="36" t="n">
        <x:f>IF($B$7="All",SUMIFS(Depletion!$I$7:$I$306,Depletion!$B$7:$B$306,$A14,Depletion!$K$7:$K$306,"&gt;="&amp;$B$5,Depletion!$K$7:$K$306,"&lt;="&amp;$B$6),SUMIFS(Depletion!$I$7:$I$306,Depletion!$B$7:$B$306,$A14,Depletion!$K$7:$K$306,"&gt;="&amp;$B$5,Depletion!$K$7:$K$306,"&lt;="&amp;$B$6,Depletion!$M$7:$M$306,$B$7))</x:f>
        <x:v>144</x:v>
      </x:c>
      <x:c r="F14" s="36" t="n">
        <x:f>D14-E14</x:f>
        <x:v>1.9799999999999898</x:v>
      </x:c>
      <x:c r="G14" s="38" t="n">
        <x:f>IFERROR(F14/D14,0)</x:f>
        <x:v>0.013563501849568366</x:v>
      </x:c>
      <x:c r="I14" s="30" t="str">
        <x:f>IF(Setup!$J$9="","",Setup!$J$9)</x:f>
      </x:c>
      <x:c r="J14" s="30" t="str">
        <x:f>IF($I14="","",Setup!$K$9)</x:f>
      </x:c>
      <x:c r="K14" s="36" t="str">
        <x:f>IF($I14="","",IF($B$7="All",SUMIFS(Depletion!$E$7:$E$306,Depletion!$L$7:$L$306,$I14,Depletion!$K$7:$K$306,"&gt;="&amp;$B$5,Depletion!$K$7:$K$306,"&lt;="&amp;$B$6),SUMIFS(Depletion!$E$7:$E$306,Depletion!$L$7:$L$306,$I14,Depletion!$K$7:$K$306,"&gt;="&amp;$B$5,Depletion!$K$7:$K$306,"&lt;="&amp;$B$6,Depletion!$M$7:$M$306,$B$7)))</x:f>
      </x:c>
      <x:c r="L14" s="98" t="str">
        <x:f>IF($I14="","",IF($B$7="All",SUMIFS(Depletion!$C$7:$C$306,Depletion!$L$7:$L$306,$I14,Depletion!$K$7:$K$306,"&gt;="&amp;$B$5,Depletion!$K$7:$K$306,"&lt;="&amp;$B$6),SUMIFS(Depletion!$C$7:$C$306,Depletion!$L$7:$L$306,$I14,Depletion!$K$7:$K$306,"&gt;="&amp;$B$5,Depletion!$K$7:$K$306,"&lt;="&amp;$B$6,Depletion!$M$7:$M$306,$B$7)))</x:f>
      </x:c>
      <x:c r="M14" s="100" t="str">
        <x:f>IF($I14="","",IF($B$7="All",COUNTIFS(Invoices!$C$7:$C$156,$I14,Invoices!$B$7:$B$156,"&gt;="&amp;$B$5,Invoices!$B$7:$B$156,"&lt;="&amp;$B$6),COUNTIFS(Invoices!$C$7:$C$156,$I14,Invoices!$B$7:$B$156,"&gt;="&amp;$B$5,Invoices!$B$7:$B$156,"&lt;="&amp;$B$6,Invoices!$D$7:$D$156,$B$7)))</x:f>
      </x:c>
      <x:c r="N14" s="36" t="str">
        <x:f>IF($I14="","",IF($B$7="All",SUMIFS(Invoices!$Q$7:$Q$156,Invoices!$C$7:$C$156,$I14),SUMIFS(Invoices!$Q$7:$Q$156,Invoices!$C$7:$C$156,$I14,Invoices!$D$7:$D$156,$B$7)))</x:f>
      </x:c>
    </x:row>
    <x:row r="15">
      <x:c r="A15" s="30" t="str">
        <x:v>Lagom - Watermelon Refresher</x:v>
      </x:c>
      <x:c r="B15" s="30" t="str">
        <x:v>Seltzer</x:v>
      </x:c>
      <x:c r="C15" s="98" t="n">
        <x:f>IF($B$7="All",SUMIFS(Depletion!$C$7:$C$306,Depletion!$B$7:$B$306,$A15,Depletion!$K$7:$K$306,"&gt;="&amp;$B$5,Depletion!$K$7:$K$306,"&lt;="&amp;$B$6),SUMIFS(Depletion!$C$7:$C$306,Depletion!$B$7:$B$306,$A15,Depletion!$K$7:$K$306,"&gt;="&amp;$B$5,Depletion!$K$7:$K$306,"&lt;="&amp;$B$6,Depletion!$M$7:$M$306,$B$7))</x:f>
        <x:v>2</x:v>
      </x:c>
      <x:c r="D15" s="36" t="n">
        <x:f>IF($B$7="All",SUMIFS(Depletion!$E$7:$E$306,Depletion!$B$7:$B$306,$A15,Depletion!$K$7:$K$306,"&gt;="&amp;$B$5,Depletion!$K$7:$K$306,"&lt;="&amp;$B$6),SUMIFS(Depletion!$E$7:$E$306,Depletion!$B$7:$B$306,$A15,Depletion!$K$7:$K$306,"&gt;="&amp;$B$5,Depletion!$K$7:$K$306,"&lt;="&amp;$B$6,Depletion!$M$7:$M$306,$B$7))</x:f>
        <x:v>145.98</x:v>
      </x:c>
      <x:c r="E15" s="36" t="n">
        <x:f>IF($B$7="All",SUMIFS(Depletion!$I$7:$I$306,Depletion!$B$7:$B$306,$A15,Depletion!$K$7:$K$306,"&gt;="&amp;$B$5,Depletion!$K$7:$K$306,"&lt;="&amp;$B$6),SUMIFS(Depletion!$I$7:$I$306,Depletion!$B$7:$B$306,$A15,Depletion!$K$7:$K$306,"&gt;="&amp;$B$5,Depletion!$K$7:$K$306,"&lt;="&amp;$B$6,Depletion!$M$7:$M$306,$B$7))</x:f>
        <x:v>144</x:v>
      </x:c>
      <x:c r="F15" s="36" t="n">
        <x:f>D15-E15</x:f>
        <x:v>1.9799999999999898</x:v>
      </x:c>
      <x:c r="G15" s="38" t="n">
        <x:f>IFERROR(F15/D15,0)</x:f>
        <x:v>0.013563501849568366</x:v>
      </x:c>
      <x:c r="I15" s="30" t="str">
        <x:f>IF(Setup!$J$10="","",Setup!$J$10)</x:f>
      </x:c>
      <x:c r="J15" s="30" t="str">
        <x:f>IF($I15="","",Setup!$K$10)</x:f>
      </x:c>
      <x:c r="K15" s="36" t="str">
        <x:f>IF($I15="","",IF($B$7="All",SUMIFS(Depletion!$E$7:$E$306,Depletion!$L$7:$L$306,$I15,Depletion!$K$7:$K$306,"&gt;="&amp;$B$5,Depletion!$K$7:$K$306,"&lt;="&amp;$B$6),SUMIFS(Depletion!$E$7:$E$306,Depletion!$L$7:$L$306,$I15,Depletion!$K$7:$K$306,"&gt;="&amp;$B$5,Depletion!$K$7:$K$306,"&lt;="&amp;$B$6,Depletion!$M$7:$M$306,$B$7)))</x:f>
      </x:c>
      <x:c r="L15" s="98" t="str">
        <x:f>IF($I15="","",IF($B$7="All",SUMIFS(Depletion!$C$7:$C$306,Depletion!$L$7:$L$306,$I15,Depletion!$K$7:$K$306,"&gt;="&amp;$B$5,Depletion!$K$7:$K$306,"&lt;="&amp;$B$6),SUMIFS(Depletion!$C$7:$C$306,Depletion!$L$7:$L$306,$I15,Depletion!$K$7:$K$306,"&gt;="&amp;$B$5,Depletion!$K$7:$K$306,"&lt;="&amp;$B$6,Depletion!$M$7:$M$306,$B$7)))</x:f>
      </x:c>
      <x:c r="M15" s="100" t="str">
        <x:f>IF($I15="","",IF($B$7="All",COUNTIFS(Invoices!$C$7:$C$156,$I15,Invoices!$B$7:$B$156,"&gt;="&amp;$B$5,Invoices!$B$7:$B$156,"&lt;="&amp;$B$6),COUNTIFS(Invoices!$C$7:$C$156,$I15,Invoices!$B$7:$B$156,"&gt;="&amp;$B$5,Invoices!$B$7:$B$156,"&lt;="&amp;$B$6,Invoices!$D$7:$D$156,$B$7)))</x:f>
      </x:c>
      <x:c r="N15" s="36" t="str">
        <x:f>IF($I15="","",IF($B$7="All",SUMIFS(Invoices!$Q$7:$Q$156,Invoices!$C$7:$C$156,$I15),SUMIFS(Invoices!$Q$7:$Q$156,Invoices!$C$7:$C$156,$I15,Invoices!$D$7:$D$156,$B$7)))</x:f>
      </x:c>
    </x:row>
    <x:row r="16">
      <x:c r="A16" s="30" t="str">
        <x:v>Lagom - Variety Pack</x:v>
      </x:c>
      <x:c r="B16" s="30" t="str">
        <x:v>Seltzer</x:v>
      </x:c>
      <x:c r="C16" s="98" t="n">
        <x:f>IF($B$7="All",SUMIFS(Depletion!$C$7:$C$306,Depletion!$B$7:$B$306,$A16,Depletion!$K$7:$K$306,"&gt;="&amp;$B$5,Depletion!$K$7:$K$306,"&lt;="&amp;$B$6),SUMIFS(Depletion!$C$7:$C$306,Depletion!$B$7:$B$306,$A16,Depletion!$K$7:$K$306,"&gt;="&amp;$B$5,Depletion!$K$7:$K$306,"&lt;="&amp;$B$6,Depletion!$M$7:$M$306,$B$7))</x:f>
        <x:v>0</x:v>
      </x:c>
      <x:c r="D16" s="36" t="n">
        <x:f>IF($B$7="All",SUMIFS(Depletion!$E$7:$E$306,Depletion!$B$7:$B$306,$A16,Depletion!$K$7:$K$306,"&gt;="&amp;$B$5,Depletion!$K$7:$K$306,"&lt;="&amp;$B$6),SUMIFS(Depletion!$E$7:$E$306,Depletion!$B$7:$B$306,$A16,Depletion!$K$7:$K$306,"&gt;="&amp;$B$5,Depletion!$K$7:$K$306,"&lt;="&amp;$B$6,Depletion!$M$7:$M$306,$B$7))</x:f>
        <x:v>0</x:v>
      </x:c>
      <x:c r="E16" s="36" t="n">
        <x:f>IF($B$7="All",SUMIFS(Depletion!$I$7:$I$306,Depletion!$B$7:$B$306,$A16,Depletion!$K$7:$K$306,"&gt;="&amp;$B$5,Depletion!$K$7:$K$306,"&lt;="&amp;$B$6),SUMIFS(Depletion!$I$7:$I$306,Depletion!$B$7:$B$306,$A16,Depletion!$K$7:$K$306,"&gt;="&amp;$B$5,Depletion!$K$7:$K$306,"&lt;="&amp;$B$6,Depletion!$M$7:$M$306,$B$7))</x:f>
        <x:v>0</x:v>
      </x:c>
      <x:c r="F16" s="36" t="n">
        <x:f>D16-E16</x:f>
        <x:v>0</x:v>
      </x:c>
      <x:c r="G16" s="38" t="n">
        <x:f>IFERROR(F16/D16,0)</x:f>
        <x:v>0</x:v>
      </x:c>
      <x:c r="I16" s="30" t="str">
        <x:f>IF(Setup!$J$11="","",Setup!$J$11)</x:f>
      </x:c>
      <x:c r="J16" s="30" t="str">
        <x:f>IF($I16="","",Setup!$K$11)</x:f>
      </x:c>
      <x:c r="K16" s="36" t="str">
        <x:f>IF($I16="","",IF($B$7="All",SUMIFS(Depletion!$E$7:$E$306,Depletion!$L$7:$L$306,$I16,Depletion!$K$7:$K$306,"&gt;="&amp;$B$5,Depletion!$K$7:$K$306,"&lt;="&amp;$B$6),SUMIFS(Depletion!$E$7:$E$306,Depletion!$L$7:$L$306,$I16,Depletion!$K$7:$K$306,"&gt;="&amp;$B$5,Depletion!$K$7:$K$306,"&lt;="&amp;$B$6,Depletion!$M$7:$M$306,$B$7)))</x:f>
      </x:c>
      <x:c r="L16" s="98" t="str">
        <x:f>IF($I16="","",IF($B$7="All",SUMIFS(Depletion!$C$7:$C$306,Depletion!$L$7:$L$306,$I16,Depletion!$K$7:$K$306,"&gt;="&amp;$B$5,Depletion!$K$7:$K$306,"&lt;="&amp;$B$6),SUMIFS(Depletion!$C$7:$C$306,Depletion!$L$7:$L$306,$I16,Depletion!$K$7:$K$306,"&gt;="&amp;$B$5,Depletion!$K$7:$K$306,"&lt;="&amp;$B$6,Depletion!$M$7:$M$306,$B$7)))</x:f>
      </x:c>
      <x:c r="M16" s="100" t="str">
        <x:f>IF($I16="","",IF($B$7="All",COUNTIFS(Invoices!$C$7:$C$156,$I16,Invoices!$B$7:$B$156,"&gt;="&amp;$B$5,Invoices!$B$7:$B$156,"&lt;="&amp;$B$6),COUNTIFS(Invoices!$C$7:$C$156,$I16,Invoices!$B$7:$B$156,"&gt;="&amp;$B$5,Invoices!$B$7:$B$156,"&lt;="&amp;$B$6,Invoices!$D$7:$D$156,$B$7)))</x:f>
      </x:c>
      <x:c r="N16" s="36" t="str">
        <x:f>IF($I16="","",IF($B$7="All",SUMIFS(Invoices!$Q$7:$Q$156,Invoices!$C$7:$C$156,$I16),SUMIFS(Invoices!$Q$7:$Q$156,Invoices!$C$7:$C$156,$I16,Invoices!$D$7:$D$156,$B$7)))</x:f>
      </x:c>
    </x:row>
    <x:row r="17">
      <x:c r="A17" s="30" t="str">
        <x:v>Midnight Drift - Blueberry Yum Yum</x:v>
      </x:c>
      <x:c r="B17" s="30" t="str">
        <x:v>Midnight Drift</x:v>
      </x:c>
      <x:c r="C17" s="98" t="n">
        <x:f>IF($B$7="All",SUMIFS(Depletion!$C$7:$C$306,Depletion!$B$7:$B$306,$A17,Depletion!$K$7:$K$306,"&gt;="&amp;$B$5,Depletion!$K$7:$K$306,"&lt;="&amp;$B$6),SUMIFS(Depletion!$C$7:$C$306,Depletion!$B$7:$B$306,$A17,Depletion!$K$7:$K$306,"&gt;="&amp;$B$5,Depletion!$K$7:$K$306,"&lt;="&amp;$B$6,Depletion!$M$7:$M$306,$B$7))</x:f>
        <x:v>0</x:v>
      </x:c>
      <x:c r="D17" s="36" t="n">
        <x:f>IF($B$7="All",SUMIFS(Depletion!$E$7:$E$306,Depletion!$B$7:$B$306,$A17,Depletion!$K$7:$K$306,"&gt;="&amp;$B$5,Depletion!$K$7:$K$306,"&lt;="&amp;$B$6),SUMIFS(Depletion!$E$7:$E$306,Depletion!$B$7:$B$306,$A17,Depletion!$K$7:$K$306,"&gt;="&amp;$B$5,Depletion!$K$7:$K$306,"&lt;="&amp;$B$6,Depletion!$M$7:$M$306,$B$7))</x:f>
        <x:v>0</x:v>
      </x:c>
      <x:c r="E17" s="36" t="n">
        <x:f>IF($B$7="All",SUMIFS(Depletion!$I$7:$I$306,Depletion!$B$7:$B$306,$A17,Depletion!$K$7:$K$306,"&gt;="&amp;$B$5,Depletion!$K$7:$K$306,"&lt;="&amp;$B$6),SUMIFS(Depletion!$I$7:$I$306,Depletion!$B$7:$B$306,$A17,Depletion!$K$7:$K$306,"&gt;="&amp;$B$5,Depletion!$K$7:$K$306,"&lt;="&amp;$B$6,Depletion!$M$7:$M$306,$B$7))</x:f>
        <x:v>0</x:v>
      </x:c>
      <x:c r="F17" s="36" t="n">
        <x:f>D17-E17</x:f>
        <x:v>0</x:v>
      </x:c>
      <x:c r="G17" s="38" t="n">
        <x:f>IFERROR(F17/D17,0)</x:f>
        <x:v>0</x:v>
      </x:c>
      <x:c r="I17" s="30" t="str">
        <x:f>IF(Setup!$J$12="","",Setup!$J$12)</x:f>
      </x:c>
      <x:c r="J17" s="30" t="str">
        <x:f>IF($I17="","",Setup!$K$12)</x:f>
      </x:c>
      <x:c r="K17" s="36" t="str">
        <x:f>IF($I17="","",IF($B$7="All",SUMIFS(Depletion!$E$7:$E$306,Depletion!$L$7:$L$306,$I17,Depletion!$K$7:$K$306,"&gt;="&amp;$B$5,Depletion!$K$7:$K$306,"&lt;="&amp;$B$6),SUMIFS(Depletion!$E$7:$E$306,Depletion!$L$7:$L$306,$I17,Depletion!$K$7:$K$306,"&gt;="&amp;$B$5,Depletion!$K$7:$K$306,"&lt;="&amp;$B$6,Depletion!$M$7:$M$306,$B$7)))</x:f>
      </x:c>
      <x:c r="L17" s="98" t="str">
        <x:f>IF($I17="","",IF($B$7="All",SUMIFS(Depletion!$C$7:$C$306,Depletion!$L$7:$L$306,$I17,Depletion!$K$7:$K$306,"&gt;="&amp;$B$5,Depletion!$K$7:$K$306,"&lt;="&amp;$B$6),SUMIFS(Depletion!$C$7:$C$306,Depletion!$L$7:$L$306,$I17,Depletion!$K$7:$K$306,"&gt;="&amp;$B$5,Depletion!$K$7:$K$306,"&lt;="&amp;$B$6,Depletion!$M$7:$M$306,$B$7)))</x:f>
      </x:c>
      <x:c r="M17" s="100" t="str">
        <x:f>IF($I17="","",IF($B$7="All",COUNTIFS(Invoices!$C$7:$C$156,$I17,Invoices!$B$7:$B$156,"&gt;="&amp;$B$5,Invoices!$B$7:$B$156,"&lt;="&amp;$B$6),COUNTIFS(Invoices!$C$7:$C$156,$I17,Invoices!$B$7:$B$156,"&gt;="&amp;$B$5,Invoices!$B$7:$B$156,"&lt;="&amp;$B$6,Invoices!$D$7:$D$156,$B$7)))</x:f>
      </x:c>
      <x:c r="N17" s="36" t="str">
        <x:f>IF($I17="","",IF($B$7="All",SUMIFS(Invoices!$Q$7:$Q$156,Invoices!$C$7:$C$156,$I17),SUMIFS(Invoices!$Q$7:$Q$156,Invoices!$C$7:$C$156,$I17,Invoices!$D$7:$D$156,$B$7)))</x:f>
      </x:c>
    </x:row>
    <x:row r="18">
      <x:c r="A18" s="30" t="str">
        <x:v>Midnight Drift - Strawberry</x:v>
      </x:c>
      <x:c r="B18" s="30" t="str">
        <x:v>Midnight Drift</x:v>
      </x:c>
      <x:c r="C18" s="98" t="n">
        <x:f>IF($B$7="All",SUMIFS(Depletion!$C$7:$C$306,Depletion!$B$7:$B$306,$A18,Depletion!$K$7:$K$306,"&gt;="&amp;$B$5,Depletion!$K$7:$K$306,"&lt;="&amp;$B$6),SUMIFS(Depletion!$C$7:$C$306,Depletion!$B$7:$B$306,$A18,Depletion!$K$7:$K$306,"&gt;="&amp;$B$5,Depletion!$K$7:$K$306,"&lt;="&amp;$B$6,Depletion!$M$7:$M$306,$B$7))</x:f>
        <x:v>0</x:v>
      </x:c>
      <x:c r="D18" s="36" t="n">
        <x:f>IF($B$7="All",SUMIFS(Depletion!$E$7:$E$306,Depletion!$B$7:$B$306,$A18,Depletion!$K$7:$K$306,"&gt;="&amp;$B$5,Depletion!$K$7:$K$306,"&lt;="&amp;$B$6),SUMIFS(Depletion!$E$7:$E$306,Depletion!$B$7:$B$306,$A18,Depletion!$K$7:$K$306,"&gt;="&amp;$B$5,Depletion!$K$7:$K$306,"&lt;="&amp;$B$6,Depletion!$M$7:$M$306,$B$7))</x:f>
        <x:v>0</x:v>
      </x:c>
      <x:c r="E18" s="36" t="n">
        <x:f>IF($B$7="All",SUMIFS(Depletion!$I$7:$I$306,Depletion!$B$7:$B$306,$A18,Depletion!$K$7:$K$306,"&gt;="&amp;$B$5,Depletion!$K$7:$K$306,"&lt;="&amp;$B$6),SUMIFS(Depletion!$I$7:$I$306,Depletion!$B$7:$B$306,$A18,Depletion!$K$7:$K$306,"&gt;="&amp;$B$5,Depletion!$K$7:$K$306,"&lt;="&amp;$B$6,Depletion!$M$7:$M$306,$B$7))</x:f>
        <x:v>0</x:v>
      </x:c>
      <x:c r="F18" s="36" t="n">
        <x:f>D18-E18</x:f>
        <x:v>0</x:v>
      </x:c>
      <x:c r="G18" s="38" t="n">
        <x:f>IFERROR(F18/D18,0)</x:f>
        <x:v>0</x:v>
      </x:c>
      <x:c r="I18" s="30" t="str">
        <x:f>IF(Setup!$J$13="","",Setup!$J$13)</x:f>
      </x:c>
      <x:c r="J18" s="30" t="str">
        <x:f>IF($I18="","",Setup!$K$13)</x:f>
      </x:c>
      <x:c r="K18" s="36" t="str">
        <x:f>IF($I18="","",IF($B$7="All",SUMIFS(Depletion!$E$7:$E$306,Depletion!$L$7:$L$306,$I18,Depletion!$K$7:$K$306,"&gt;="&amp;$B$5,Depletion!$K$7:$K$306,"&lt;="&amp;$B$6),SUMIFS(Depletion!$E$7:$E$306,Depletion!$L$7:$L$306,$I18,Depletion!$K$7:$K$306,"&gt;="&amp;$B$5,Depletion!$K$7:$K$306,"&lt;="&amp;$B$6,Depletion!$M$7:$M$306,$B$7)))</x:f>
      </x:c>
      <x:c r="L18" s="98" t="str">
        <x:f>IF($I18="","",IF($B$7="All",SUMIFS(Depletion!$C$7:$C$306,Depletion!$L$7:$L$306,$I18,Depletion!$K$7:$K$306,"&gt;="&amp;$B$5,Depletion!$K$7:$K$306,"&lt;="&amp;$B$6),SUMIFS(Depletion!$C$7:$C$306,Depletion!$L$7:$L$306,$I18,Depletion!$K$7:$K$306,"&gt;="&amp;$B$5,Depletion!$K$7:$K$306,"&lt;="&amp;$B$6,Depletion!$M$7:$M$306,$B$7)))</x:f>
      </x:c>
      <x:c r="M18" s="100" t="str">
        <x:f>IF($I18="","",IF($B$7="All",COUNTIFS(Invoices!$C$7:$C$156,$I18,Invoices!$B$7:$B$156,"&gt;="&amp;$B$5,Invoices!$B$7:$B$156,"&lt;="&amp;$B$6),COUNTIFS(Invoices!$C$7:$C$156,$I18,Invoices!$B$7:$B$156,"&gt;="&amp;$B$5,Invoices!$B$7:$B$156,"&lt;="&amp;$B$6,Invoices!$D$7:$D$156,$B$7)))</x:f>
      </x:c>
      <x:c r="N18" s="36" t="str">
        <x:f>IF($I18="","",IF($B$7="All",SUMIFS(Invoices!$Q$7:$Q$156,Invoices!$C$7:$C$156,$I18),SUMIFS(Invoices!$Q$7:$Q$156,Invoices!$C$7:$C$156,$I18,Invoices!$D$7:$D$156,$B$7)))</x:f>
      </x:c>
    </x:row>
    <x:row r="19">
      <x:c r="A19" s="30" t="str">
        <x:v>Midnight Drift - Pink Lemonade</x:v>
      </x:c>
      <x:c r="B19" s="30" t="str">
        <x:v>Midnight Drift</x:v>
      </x:c>
      <x:c r="C19" s="98" t="n">
        <x:f>IF($B$7="All",SUMIFS(Depletion!$C$7:$C$306,Depletion!$B$7:$B$306,$A19,Depletion!$K$7:$K$306,"&gt;="&amp;$B$5,Depletion!$K$7:$K$306,"&lt;="&amp;$B$6),SUMIFS(Depletion!$C$7:$C$306,Depletion!$B$7:$B$306,$A19,Depletion!$K$7:$K$306,"&gt;="&amp;$B$5,Depletion!$K$7:$K$306,"&lt;="&amp;$B$6,Depletion!$M$7:$M$306,$B$7))</x:f>
        <x:v>0</x:v>
      </x:c>
      <x:c r="D19" s="36" t="n">
        <x:f>IF($B$7="All",SUMIFS(Depletion!$E$7:$E$306,Depletion!$B$7:$B$306,$A19,Depletion!$K$7:$K$306,"&gt;="&amp;$B$5,Depletion!$K$7:$K$306,"&lt;="&amp;$B$6),SUMIFS(Depletion!$E$7:$E$306,Depletion!$B$7:$B$306,$A19,Depletion!$K$7:$K$306,"&gt;="&amp;$B$5,Depletion!$K$7:$K$306,"&lt;="&amp;$B$6,Depletion!$M$7:$M$306,$B$7))</x:f>
        <x:v>0</x:v>
      </x:c>
      <x:c r="E19" s="36" t="n">
        <x:f>IF($B$7="All",SUMIFS(Depletion!$I$7:$I$306,Depletion!$B$7:$B$306,$A19,Depletion!$K$7:$K$306,"&gt;="&amp;$B$5,Depletion!$K$7:$K$306,"&lt;="&amp;$B$6),SUMIFS(Depletion!$I$7:$I$306,Depletion!$B$7:$B$306,$A19,Depletion!$K$7:$K$306,"&gt;="&amp;$B$5,Depletion!$K$7:$K$306,"&lt;="&amp;$B$6,Depletion!$M$7:$M$306,$B$7))</x:f>
        <x:v>0</x:v>
      </x:c>
      <x:c r="F19" s="36" t="n">
        <x:f>D19-E19</x:f>
        <x:v>0</x:v>
      </x:c>
      <x:c r="G19" s="38" t="n">
        <x:f>IFERROR(F19/D19,0)</x:f>
        <x:v>0</x:v>
      </x:c>
      <x:c r="I19" s="30" t="str">
        <x:f>IF(Setup!$J$14="","",Setup!$J$14)</x:f>
      </x:c>
      <x:c r="J19" s="30" t="str">
        <x:f>IF($I19="","",Setup!$K$14)</x:f>
      </x:c>
      <x:c r="K19" s="36" t="str">
        <x:f>IF($I19="","",IF($B$7="All",SUMIFS(Depletion!$E$7:$E$306,Depletion!$L$7:$L$306,$I19,Depletion!$K$7:$K$306,"&gt;="&amp;$B$5,Depletion!$K$7:$K$306,"&lt;="&amp;$B$6),SUMIFS(Depletion!$E$7:$E$306,Depletion!$L$7:$L$306,$I19,Depletion!$K$7:$K$306,"&gt;="&amp;$B$5,Depletion!$K$7:$K$306,"&lt;="&amp;$B$6,Depletion!$M$7:$M$306,$B$7)))</x:f>
      </x:c>
      <x:c r="L19" s="98" t="str">
        <x:f>IF($I19="","",IF($B$7="All",SUMIFS(Depletion!$C$7:$C$306,Depletion!$L$7:$L$306,$I19,Depletion!$K$7:$K$306,"&gt;="&amp;$B$5,Depletion!$K$7:$K$306,"&lt;="&amp;$B$6),SUMIFS(Depletion!$C$7:$C$306,Depletion!$L$7:$L$306,$I19,Depletion!$K$7:$K$306,"&gt;="&amp;$B$5,Depletion!$K$7:$K$306,"&lt;="&amp;$B$6,Depletion!$M$7:$M$306,$B$7)))</x:f>
      </x:c>
      <x:c r="M19" s="100" t="str">
        <x:f>IF($I19="","",IF($B$7="All",COUNTIFS(Invoices!$C$7:$C$156,$I19,Invoices!$B$7:$B$156,"&gt;="&amp;$B$5,Invoices!$B$7:$B$156,"&lt;="&amp;$B$6),COUNTIFS(Invoices!$C$7:$C$156,$I19,Invoices!$B$7:$B$156,"&gt;="&amp;$B$5,Invoices!$B$7:$B$156,"&lt;="&amp;$B$6,Invoices!$D$7:$D$156,$B$7)))</x:f>
      </x:c>
      <x:c r="N19" s="36" t="str">
        <x:f>IF($I19="","",IF($B$7="All",SUMIFS(Invoices!$Q$7:$Q$156,Invoices!$C$7:$C$156,$I19),SUMIFS(Invoices!$Q$7:$Q$156,Invoices!$C$7:$C$156,$I19,Invoices!$D$7:$D$156,$B$7)))</x:f>
      </x:c>
    </x:row>
    <x:row r="20">
      <x:c r="A20" s="30" t="str">
        <x:v>Midnight Drift - Peach</x:v>
      </x:c>
      <x:c r="B20" s="30" t="str">
        <x:v>Midnight Drift</x:v>
      </x:c>
      <x:c r="C20" s="98" t="n">
        <x:f>IF($B$7="All",SUMIFS(Depletion!$C$7:$C$306,Depletion!$B$7:$B$306,$A20,Depletion!$K$7:$K$306,"&gt;="&amp;$B$5,Depletion!$K$7:$K$306,"&lt;="&amp;$B$6),SUMIFS(Depletion!$C$7:$C$306,Depletion!$B$7:$B$306,$A20,Depletion!$K$7:$K$306,"&gt;="&amp;$B$5,Depletion!$K$7:$K$306,"&lt;="&amp;$B$6,Depletion!$M$7:$M$306,$B$7))</x:f>
        <x:v>0</x:v>
      </x:c>
      <x:c r="D20" s="36" t="n">
        <x:f>IF($B$7="All",SUMIFS(Depletion!$E$7:$E$306,Depletion!$B$7:$B$306,$A20,Depletion!$K$7:$K$306,"&gt;="&amp;$B$5,Depletion!$K$7:$K$306,"&lt;="&amp;$B$6),SUMIFS(Depletion!$E$7:$E$306,Depletion!$B$7:$B$306,$A20,Depletion!$K$7:$K$306,"&gt;="&amp;$B$5,Depletion!$K$7:$K$306,"&lt;="&amp;$B$6,Depletion!$M$7:$M$306,$B$7))</x:f>
        <x:v>0</x:v>
      </x:c>
      <x:c r="E20" s="36" t="n">
        <x:f>IF($B$7="All",SUMIFS(Depletion!$I$7:$I$306,Depletion!$B$7:$B$306,$A20,Depletion!$K$7:$K$306,"&gt;="&amp;$B$5,Depletion!$K$7:$K$306,"&lt;="&amp;$B$6),SUMIFS(Depletion!$I$7:$I$306,Depletion!$B$7:$B$306,$A20,Depletion!$K$7:$K$306,"&gt;="&amp;$B$5,Depletion!$K$7:$K$306,"&lt;="&amp;$B$6,Depletion!$M$7:$M$306,$B$7))</x:f>
        <x:v>0</x:v>
      </x:c>
      <x:c r="F20" s="36" t="n">
        <x:f>D20-E20</x:f>
        <x:v>0</x:v>
      </x:c>
      <x:c r="G20" s="38" t="n">
        <x:f>IFERROR(F20/D20,0)</x:f>
        <x:v>0</x:v>
      </x:c>
      <x:c r="I20" s="30" t="str">
        <x:f>IF(Setup!$J$15="","",Setup!$J$15)</x:f>
      </x:c>
      <x:c r="J20" s="30" t="str">
        <x:f>IF($I20="","",Setup!$K$15)</x:f>
      </x:c>
      <x:c r="K20" s="36" t="str">
        <x:f>IF($I20="","",IF($B$7="All",SUMIFS(Depletion!$E$7:$E$306,Depletion!$L$7:$L$306,$I20,Depletion!$K$7:$K$306,"&gt;="&amp;$B$5,Depletion!$K$7:$K$306,"&lt;="&amp;$B$6),SUMIFS(Depletion!$E$7:$E$306,Depletion!$L$7:$L$306,$I20,Depletion!$K$7:$K$306,"&gt;="&amp;$B$5,Depletion!$K$7:$K$306,"&lt;="&amp;$B$6,Depletion!$M$7:$M$306,$B$7)))</x:f>
      </x:c>
      <x:c r="L20" s="98" t="str">
        <x:f>IF($I20="","",IF($B$7="All",SUMIFS(Depletion!$C$7:$C$306,Depletion!$L$7:$L$306,$I20,Depletion!$K$7:$K$306,"&gt;="&amp;$B$5,Depletion!$K$7:$K$306,"&lt;="&amp;$B$6),SUMIFS(Depletion!$C$7:$C$306,Depletion!$L$7:$L$306,$I20,Depletion!$K$7:$K$306,"&gt;="&amp;$B$5,Depletion!$K$7:$K$306,"&lt;="&amp;$B$6,Depletion!$M$7:$M$306,$B$7)))</x:f>
      </x:c>
      <x:c r="M20" s="100" t="str">
        <x:f>IF($I20="","",IF($B$7="All",COUNTIFS(Invoices!$C$7:$C$156,$I20,Invoices!$B$7:$B$156,"&gt;="&amp;$B$5,Invoices!$B$7:$B$156,"&lt;="&amp;$B$6),COUNTIFS(Invoices!$C$7:$C$156,$I20,Invoices!$B$7:$B$156,"&gt;="&amp;$B$5,Invoices!$B$7:$B$156,"&lt;="&amp;$B$6,Invoices!$D$7:$D$156,$B$7)))</x:f>
      </x:c>
      <x:c r="N20" s="36" t="str">
        <x:f>IF($I20="","",IF($B$7="All",SUMIFS(Invoices!$Q$7:$Q$156,Invoices!$C$7:$C$156,$I20),SUMIFS(Invoices!$Q$7:$Q$156,Invoices!$C$7:$C$156,$I20,Invoices!$D$7:$D$156,$B$7)))</x:f>
      </x:c>
    </x:row>
    <x:row r="21">
      <x:c r="A21" s="30" t="str">
        <x:v>Organic Line - Blue Razz</x:v>
      </x:c>
      <x:c r="B21" s="30" t="str">
        <x:v>Organic Line</x:v>
      </x:c>
      <x:c r="C21" s="98" t="n">
        <x:f>IF($B$7="All",SUMIFS(Depletion!$C$7:$C$306,Depletion!$B$7:$B$306,$A21,Depletion!$K$7:$K$306,"&gt;="&amp;$B$5,Depletion!$K$7:$K$306,"&lt;="&amp;$B$6),SUMIFS(Depletion!$C$7:$C$306,Depletion!$B$7:$B$306,$A21,Depletion!$K$7:$K$306,"&gt;="&amp;$B$5,Depletion!$K$7:$K$306,"&lt;="&amp;$B$6,Depletion!$M$7:$M$306,$B$7))</x:f>
        <x:v>0</x:v>
      </x:c>
      <x:c r="D21" s="36" t="n">
        <x:f>IF($B$7="All",SUMIFS(Depletion!$E$7:$E$306,Depletion!$B$7:$B$306,$A21,Depletion!$K$7:$K$306,"&gt;="&amp;$B$5,Depletion!$K$7:$K$306,"&lt;="&amp;$B$6),SUMIFS(Depletion!$E$7:$E$306,Depletion!$B$7:$B$306,$A21,Depletion!$K$7:$K$306,"&gt;="&amp;$B$5,Depletion!$K$7:$K$306,"&lt;="&amp;$B$6,Depletion!$M$7:$M$306,$B$7))</x:f>
        <x:v>0</x:v>
      </x:c>
      <x:c r="E21" s="36" t="n">
        <x:f>IF($B$7="All",SUMIFS(Depletion!$I$7:$I$306,Depletion!$B$7:$B$306,$A21,Depletion!$K$7:$K$306,"&gt;="&amp;$B$5,Depletion!$K$7:$K$306,"&lt;="&amp;$B$6),SUMIFS(Depletion!$I$7:$I$306,Depletion!$B$7:$B$306,$A21,Depletion!$K$7:$K$306,"&gt;="&amp;$B$5,Depletion!$K$7:$K$306,"&lt;="&amp;$B$6,Depletion!$M$7:$M$306,$B$7))</x:f>
        <x:v>0</x:v>
      </x:c>
      <x:c r="F21" s="36" t="n">
        <x:f>D21-E21</x:f>
        <x:v>0</x:v>
      </x:c>
      <x:c r="G21" s="38" t="n">
        <x:f>IFERROR(F21/D21,0)</x:f>
        <x:v>0</x:v>
      </x:c>
      <x:c r="I21" s="30" t="str">
        <x:f>IF(Setup!$J$16="","",Setup!$J$16)</x:f>
      </x:c>
      <x:c r="J21" s="30" t="str">
        <x:f>IF($I21="","",Setup!$K$16)</x:f>
      </x:c>
      <x:c r="K21" s="36" t="str">
        <x:f>IF($I21="","",IF($B$7="All",SUMIFS(Depletion!$E$7:$E$306,Depletion!$L$7:$L$306,$I21,Depletion!$K$7:$K$306,"&gt;="&amp;$B$5,Depletion!$K$7:$K$306,"&lt;="&amp;$B$6),SUMIFS(Depletion!$E$7:$E$306,Depletion!$L$7:$L$306,$I21,Depletion!$K$7:$K$306,"&gt;="&amp;$B$5,Depletion!$K$7:$K$306,"&lt;="&amp;$B$6,Depletion!$M$7:$M$306,$B$7)))</x:f>
      </x:c>
      <x:c r="L21" s="98" t="str">
        <x:f>IF($I21="","",IF($B$7="All",SUMIFS(Depletion!$C$7:$C$306,Depletion!$L$7:$L$306,$I21,Depletion!$K$7:$K$306,"&gt;="&amp;$B$5,Depletion!$K$7:$K$306,"&lt;="&amp;$B$6),SUMIFS(Depletion!$C$7:$C$306,Depletion!$L$7:$L$306,$I21,Depletion!$K$7:$K$306,"&gt;="&amp;$B$5,Depletion!$K$7:$K$306,"&lt;="&amp;$B$6,Depletion!$M$7:$M$306,$B$7)))</x:f>
      </x:c>
      <x:c r="M21" s="100" t="str">
        <x:f>IF($I21="","",IF($B$7="All",COUNTIFS(Invoices!$C$7:$C$156,$I21,Invoices!$B$7:$B$156,"&gt;="&amp;$B$5,Invoices!$B$7:$B$156,"&lt;="&amp;$B$6),COUNTIFS(Invoices!$C$7:$C$156,$I21,Invoices!$B$7:$B$156,"&gt;="&amp;$B$5,Invoices!$B$7:$B$156,"&lt;="&amp;$B$6,Invoices!$D$7:$D$156,$B$7)))</x:f>
      </x:c>
      <x:c r="N21" s="36" t="str">
        <x:f>IF($I21="","",IF($B$7="All",SUMIFS(Invoices!$Q$7:$Q$156,Invoices!$C$7:$C$156,$I21),SUMIFS(Invoices!$Q$7:$Q$156,Invoices!$C$7:$C$156,$I21,Invoices!$D$7:$D$156,$B$7)))</x:f>
      </x:c>
    </x:row>
    <x:row r="22">
      <x:c r="A22" s="30" t="str">
        <x:v>Organic Line - Berry Melon Bliss</x:v>
      </x:c>
      <x:c r="B22" s="30" t="str">
        <x:v>Organic Line</x:v>
      </x:c>
      <x:c r="C22" s="98" t="n">
        <x:f>IF($B$7="All",SUMIFS(Depletion!$C$7:$C$306,Depletion!$B$7:$B$306,$A22,Depletion!$K$7:$K$306,"&gt;="&amp;$B$5,Depletion!$K$7:$K$306,"&lt;="&amp;$B$6),SUMIFS(Depletion!$C$7:$C$306,Depletion!$B$7:$B$306,$A22,Depletion!$K$7:$K$306,"&gt;="&amp;$B$5,Depletion!$K$7:$K$306,"&lt;="&amp;$B$6,Depletion!$M$7:$M$306,$B$7))</x:f>
        <x:v>0</x:v>
      </x:c>
      <x:c r="D22" s="36" t="n">
        <x:f>IF($B$7="All",SUMIFS(Depletion!$E$7:$E$306,Depletion!$B$7:$B$306,$A22,Depletion!$K$7:$K$306,"&gt;="&amp;$B$5,Depletion!$K$7:$K$306,"&lt;="&amp;$B$6),SUMIFS(Depletion!$E$7:$E$306,Depletion!$B$7:$B$306,$A22,Depletion!$K$7:$K$306,"&gt;="&amp;$B$5,Depletion!$K$7:$K$306,"&lt;="&amp;$B$6,Depletion!$M$7:$M$306,$B$7))</x:f>
        <x:v>0</x:v>
      </x:c>
      <x:c r="E22" s="36" t="n">
        <x:f>IF($B$7="All",SUMIFS(Depletion!$I$7:$I$306,Depletion!$B$7:$B$306,$A22,Depletion!$K$7:$K$306,"&gt;="&amp;$B$5,Depletion!$K$7:$K$306,"&lt;="&amp;$B$6),SUMIFS(Depletion!$I$7:$I$306,Depletion!$B$7:$B$306,$A22,Depletion!$K$7:$K$306,"&gt;="&amp;$B$5,Depletion!$K$7:$K$306,"&lt;="&amp;$B$6,Depletion!$M$7:$M$306,$B$7))</x:f>
        <x:v>0</x:v>
      </x:c>
      <x:c r="F22" s="36" t="n">
        <x:f>D22-E22</x:f>
        <x:v>0</x:v>
      </x:c>
      <x:c r="G22" s="38" t="n">
        <x:f>IFERROR(F22/D22,0)</x:f>
        <x:v>0</x:v>
      </x:c>
      <x:c r="I22" s="30" t="str">
        <x:f>IF(Setup!$J$17="","",Setup!$J$17)</x:f>
      </x:c>
      <x:c r="J22" s="30" t="str">
        <x:f>IF($I22="","",Setup!$K$17)</x:f>
      </x:c>
      <x:c r="K22" s="36" t="str">
        <x:f>IF($I22="","",IF($B$7="All",SUMIFS(Depletion!$E$7:$E$306,Depletion!$L$7:$L$306,$I22,Depletion!$K$7:$K$306,"&gt;="&amp;$B$5,Depletion!$K$7:$K$306,"&lt;="&amp;$B$6),SUMIFS(Depletion!$E$7:$E$306,Depletion!$L$7:$L$306,$I22,Depletion!$K$7:$K$306,"&gt;="&amp;$B$5,Depletion!$K$7:$K$306,"&lt;="&amp;$B$6,Depletion!$M$7:$M$306,$B$7)))</x:f>
      </x:c>
      <x:c r="L22" s="98" t="str">
        <x:f>IF($I22="","",IF($B$7="All",SUMIFS(Depletion!$C$7:$C$306,Depletion!$L$7:$L$306,$I22,Depletion!$K$7:$K$306,"&gt;="&amp;$B$5,Depletion!$K$7:$K$306,"&lt;="&amp;$B$6),SUMIFS(Depletion!$C$7:$C$306,Depletion!$L$7:$L$306,$I22,Depletion!$K$7:$K$306,"&gt;="&amp;$B$5,Depletion!$K$7:$K$306,"&lt;="&amp;$B$6,Depletion!$M$7:$M$306,$B$7)))</x:f>
      </x:c>
      <x:c r="M22" s="100" t="str">
        <x:f>IF($I22="","",IF($B$7="All",COUNTIFS(Invoices!$C$7:$C$156,$I22,Invoices!$B$7:$B$156,"&gt;="&amp;$B$5,Invoices!$B$7:$B$156,"&lt;="&amp;$B$6),COUNTIFS(Invoices!$C$7:$C$156,$I22,Invoices!$B$7:$B$156,"&gt;="&amp;$B$5,Invoices!$B$7:$B$156,"&lt;="&amp;$B$6,Invoices!$D$7:$D$156,$B$7)))</x:f>
      </x:c>
      <x:c r="N22" s="36" t="str">
        <x:f>IF($I22="","",IF($B$7="All",SUMIFS(Invoices!$Q$7:$Q$156,Invoices!$C$7:$C$156,$I22),SUMIFS(Invoices!$Q$7:$Q$156,Invoices!$C$7:$C$156,$I22,Invoices!$D$7:$D$156,$B$7)))</x:f>
      </x:c>
    </x:row>
    <x:row r="23">
      <x:c r="A23" s="30" t="str">
        <x:v>Organic Line - Cherry Bliss</x:v>
      </x:c>
      <x:c r="B23" s="30" t="str">
        <x:v>Organic Line</x:v>
      </x:c>
      <x:c r="C23" s="98" t="n">
        <x:f>IF($B$7="All",SUMIFS(Depletion!$C$7:$C$306,Depletion!$B$7:$B$306,$A23,Depletion!$K$7:$K$306,"&gt;="&amp;$B$5,Depletion!$K$7:$K$306,"&lt;="&amp;$B$6),SUMIFS(Depletion!$C$7:$C$306,Depletion!$B$7:$B$306,$A23,Depletion!$K$7:$K$306,"&gt;="&amp;$B$5,Depletion!$K$7:$K$306,"&lt;="&amp;$B$6,Depletion!$M$7:$M$306,$B$7))</x:f>
        <x:v>0</x:v>
      </x:c>
      <x:c r="D23" s="36" t="n">
        <x:f>IF($B$7="All",SUMIFS(Depletion!$E$7:$E$306,Depletion!$B$7:$B$306,$A23,Depletion!$K$7:$K$306,"&gt;="&amp;$B$5,Depletion!$K$7:$K$306,"&lt;="&amp;$B$6),SUMIFS(Depletion!$E$7:$E$306,Depletion!$B$7:$B$306,$A23,Depletion!$K$7:$K$306,"&gt;="&amp;$B$5,Depletion!$K$7:$K$306,"&lt;="&amp;$B$6,Depletion!$M$7:$M$306,$B$7))</x:f>
        <x:v>0</x:v>
      </x:c>
      <x:c r="E23" s="36" t="n">
        <x:f>IF($B$7="All",SUMIFS(Depletion!$I$7:$I$306,Depletion!$B$7:$B$306,$A23,Depletion!$K$7:$K$306,"&gt;="&amp;$B$5,Depletion!$K$7:$K$306,"&lt;="&amp;$B$6),SUMIFS(Depletion!$I$7:$I$306,Depletion!$B$7:$B$306,$A23,Depletion!$K$7:$K$306,"&gt;="&amp;$B$5,Depletion!$K$7:$K$306,"&lt;="&amp;$B$6,Depletion!$M$7:$M$306,$B$7))</x:f>
        <x:v>0</x:v>
      </x:c>
      <x:c r="F23" s="36" t="n">
        <x:f>D23-E23</x:f>
        <x:v>0</x:v>
      </x:c>
      <x:c r="G23" s="38" t="n">
        <x:f>IFERROR(F23/D23,0)</x:f>
        <x:v>0</x:v>
      </x:c>
      <x:c r="I23" s="30" t="str">
        <x:f>IF(Setup!$J$18="","",Setup!$J$18)</x:f>
      </x:c>
      <x:c r="J23" s="30" t="str">
        <x:f>IF($I23="","",Setup!$K$18)</x:f>
      </x:c>
      <x:c r="K23" s="36" t="str">
        <x:f>IF($I23="","",IF($B$7="All",SUMIFS(Depletion!$E$7:$E$306,Depletion!$L$7:$L$306,$I23,Depletion!$K$7:$K$306,"&gt;="&amp;$B$5,Depletion!$K$7:$K$306,"&lt;="&amp;$B$6),SUMIFS(Depletion!$E$7:$E$306,Depletion!$L$7:$L$306,$I23,Depletion!$K$7:$K$306,"&gt;="&amp;$B$5,Depletion!$K$7:$K$306,"&lt;="&amp;$B$6,Depletion!$M$7:$M$306,$B$7)))</x:f>
      </x:c>
      <x:c r="L23" s="98" t="str">
        <x:f>IF($I23="","",IF($B$7="All",SUMIFS(Depletion!$C$7:$C$306,Depletion!$L$7:$L$306,$I23,Depletion!$K$7:$K$306,"&gt;="&amp;$B$5,Depletion!$K$7:$K$306,"&lt;="&amp;$B$6),SUMIFS(Depletion!$C$7:$C$306,Depletion!$L$7:$L$306,$I23,Depletion!$K$7:$K$306,"&gt;="&amp;$B$5,Depletion!$K$7:$K$306,"&lt;="&amp;$B$6,Depletion!$M$7:$M$306,$B$7)))</x:f>
      </x:c>
      <x:c r="M23" s="100" t="str">
        <x:f>IF($I23="","",IF($B$7="All",COUNTIFS(Invoices!$C$7:$C$156,$I23,Invoices!$B$7:$B$156,"&gt;="&amp;$B$5,Invoices!$B$7:$B$156,"&lt;="&amp;$B$6),COUNTIFS(Invoices!$C$7:$C$156,$I23,Invoices!$B$7:$B$156,"&gt;="&amp;$B$5,Invoices!$B$7:$B$156,"&lt;="&amp;$B$6,Invoices!$D$7:$D$156,$B$7)))</x:f>
      </x:c>
      <x:c r="N23" s="36" t="str">
        <x:f>IF($I23="","",IF($B$7="All",SUMIFS(Invoices!$Q$7:$Q$156,Invoices!$C$7:$C$156,$I23),SUMIFS(Invoices!$Q$7:$Q$156,Invoices!$C$7:$C$156,$I23,Invoices!$D$7:$D$156,$B$7)))</x:f>
      </x:c>
    </x:row>
    <x:row r="24">
      <x:c r="A24" s="30" t="str">
        <x:v>Organic Line - Push Pop</x:v>
      </x:c>
      <x:c r="B24" s="30" t="str">
        <x:v>Organic Line</x:v>
      </x:c>
      <x:c r="C24" s="98" t="n">
        <x:f>IF($B$7="All",SUMIFS(Depletion!$C$7:$C$306,Depletion!$B$7:$B$306,$A24,Depletion!$K$7:$K$306,"&gt;="&amp;$B$5,Depletion!$K$7:$K$306,"&lt;="&amp;$B$6),SUMIFS(Depletion!$C$7:$C$306,Depletion!$B$7:$B$306,$A24,Depletion!$K$7:$K$306,"&gt;="&amp;$B$5,Depletion!$K$7:$K$306,"&lt;="&amp;$B$6,Depletion!$M$7:$M$306,$B$7))</x:f>
        <x:v>0</x:v>
      </x:c>
      <x:c r="D24" s="36" t="n">
        <x:f>IF($B$7="All",SUMIFS(Depletion!$E$7:$E$306,Depletion!$B$7:$B$306,$A24,Depletion!$K$7:$K$306,"&gt;="&amp;$B$5,Depletion!$K$7:$K$306,"&lt;="&amp;$B$6),SUMIFS(Depletion!$E$7:$E$306,Depletion!$B$7:$B$306,$A24,Depletion!$K$7:$K$306,"&gt;="&amp;$B$5,Depletion!$K$7:$K$306,"&lt;="&amp;$B$6,Depletion!$M$7:$M$306,$B$7))</x:f>
        <x:v>0</x:v>
      </x:c>
      <x:c r="E24" s="36" t="n">
        <x:f>IF($B$7="All",SUMIFS(Depletion!$I$7:$I$306,Depletion!$B$7:$B$306,$A24,Depletion!$K$7:$K$306,"&gt;="&amp;$B$5,Depletion!$K$7:$K$306,"&lt;="&amp;$B$6),SUMIFS(Depletion!$I$7:$I$306,Depletion!$B$7:$B$306,$A24,Depletion!$K$7:$K$306,"&gt;="&amp;$B$5,Depletion!$K$7:$K$306,"&lt;="&amp;$B$6,Depletion!$M$7:$M$306,$B$7))</x:f>
        <x:v>0</x:v>
      </x:c>
      <x:c r="F24" s="36" t="n">
        <x:f>D24-E24</x:f>
        <x:v>0</x:v>
      </x:c>
      <x:c r="G24" s="38" t="n">
        <x:f>IFERROR(F24/D24,0)</x:f>
        <x:v>0</x:v>
      </x:c>
      <x:c r="I24" s="30" t="str">
        <x:f>IF(Setup!$J$19="","",Setup!$J$19)</x:f>
      </x:c>
      <x:c r="J24" s="30" t="str">
        <x:f>IF($I24="","",Setup!$K$19)</x:f>
      </x:c>
      <x:c r="K24" s="36" t="str">
        <x:f>IF($I24="","",IF($B$7="All",SUMIFS(Depletion!$E$7:$E$306,Depletion!$L$7:$L$306,$I24,Depletion!$K$7:$K$306,"&gt;="&amp;$B$5,Depletion!$K$7:$K$306,"&lt;="&amp;$B$6),SUMIFS(Depletion!$E$7:$E$306,Depletion!$L$7:$L$306,$I24,Depletion!$K$7:$K$306,"&gt;="&amp;$B$5,Depletion!$K$7:$K$306,"&lt;="&amp;$B$6,Depletion!$M$7:$M$306,$B$7)))</x:f>
      </x:c>
      <x:c r="L24" s="98" t="str">
        <x:f>IF($I24="","",IF($B$7="All",SUMIFS(Depletion!$C$7:$C$306,Depletion!$L$7:$L$306,$I24,Depletion!$K$7:$K$306,"&gt;="&amp;$B$5,Depletion!$K$7:$K$306,"&lt;="&amp;$B$6),SUMIFS(Depletion!$C$7:$C$306,Depletion!$L$7:$L$306,$I24,Depletion!$K$7:$K$306,"&gt;="&amp;$B$5,Depletion!$K$7:$K$306,"&lt;="&amp;$B$6,Depletion!$M$7:$M$306,$B$7)))</x:f>
      </x:c>
      <x:c r="M24" s="100" t="str">
        <x:f>IF($I24="","",IF($B$7="All",COUNTIFS(Invoices!$C$7:$C$156,$I24,Invoices!$B$7:$B$156,"&gt;="&amp;$B$5,Invoices!$B$7:$B$156,"&lt;="&amp;$B$6),COUNTIFS(Invoices!$C$7:$C$156,$I24,Invoices!$B$7:$B$156,"&gt;="&amp;$B$5,Invoices!$B$7:$B$156,"&lt;="&amp;$B$6,Invoices!$D$7:$D$156,$B$7)))</x:f>
      </x:c>
      <x:c r="N24" s="36" t="str">
        <x:f>IF($I24="","",IF($B$7="All",SUMIFS(Invoices!$Q$7:$Q$156,Invoices!$C$7:$C$156,$I24),SUMIFS(Invoices!$Q$7:$Q$156,Invoices!$C$7:$C$156,$I24,Invoices!$D$7:$D$156,$B$7)))</x:f>
      </x:c>
    </x:row>
    <x:row r="25">
      <x:c r="A25" s="30" t="str">
        <x:v>The Drip - Blueberry Yum Yum</x:v>
      </x:c>
      <x:c r="B25" s="30" t="str">
        <x:v>The Drip</x:v>
      </x:c>
      <x:c r="C25" s="98" t="n">
        <x:f>IF($B$7="All",SUMIFS(Depletion!$C$7:$C$306,Depletion!$B$7:$B$306,$A25,Depletion!$K$7:$K$306,"&gt;="&amp;$B$5,Depletion!$K$7:$K$306,"&lt;="&amp;$B$6),SUMIFS(Depletion!$C$7:$C$306,Depletion!$B$7:$B$306,$A25,Depletion!$K$7:$K$306,"&gt;="&amp;$B$5,Depletion!$K$7:$K$306,"&lt;="&amp;$B$6,Depletion!$M$7:$M$306,$B$7))</x:f>
        <x:v>0</x:v>
      </x:c>
      <x:c r="D25" s="36" t="n">
        <x:f>IF($B$7="All",SUMIFS(Depletion!$E$7:$E$306,Depletion!$B$7:$B$306,$A25,Depletion!$K$7:$K$306,"&gt;="&amp;$B$5,Depletion!$K$7:$K$306,"&lt;="&amp;$B$6),SUMIFS(Depletion!$E$7:$E$306,Depletion!$B$7:$B$306,$A25,Depletion!$K$7:$K$306,"&gt;="&amp;$B$5,Depletion!$K$7:$K$306,"&lt;="&amp;$B$6,Depletion!$M$7:$M$306,$B$7))</x:f>
        <x:v>0</x:v>
      </x:c>
      <x:c r="E25" s="36" t="n">
        <x:f>IF($B$7="All",SUMIFS(Depletion!$I$7:$I$306,Depletion!$B$7:$B$306,$A25,Depletion!$K$7:$K$306,"&gt;="&amp;$B$5,Depletion!$K$7:$K$306,"&lt;="&amp;$B$6),SUMIFS(Depletion!$I$7:$I$306,Depletion!$B$7:$B$306,$A25,Depletion!$K$7:$K$306,"&gt;="&amp;$B$5,Depletion!$K$7:$K$306,"&lt;="&amp;$B$6,Depletion!$M$7:$M$306,$B$7))</x:f>
        <x:v>0</x:v>
      </x:c>
      <x:c r="F25" s="36" t="n">
        <x:f>D25-E25</x:f>
        <x:v>0</x:v>
      </x:c>
      <x:c r="G25" s="38" t="n">
        <x:f>IFERROR(F25/D25,0)</x:f>
        <x:v>0</x:v>
      </x:c>
      <x:c r="I25" s="30" t="str">
        <x:f>IF(Setup!$J$20="","",Setup!$J$20)</x:f>
      </x:c>
      <x:c r="J25" s="30" t="str">
        <x:f>IF($I25="","",Setup!$K$20)</x:f>
      </x:c>
      <x:c r="K25" s="36" t="str">
        <x:f>IF($I25="","",IF($B$7="All",SUMIFS(Depletion!$E$7:$E$306,Depletion!$L$7:$L$306,$I25,Depletion!$K$7:$K$306,"&gt;="&amp;$B$5,Depletion!$K$7:$K$306,"&lt;="&amp;$B$6),SUMIFS(Depletion!$E$7:$E$306,Depletion!$L$7:$L$306,$I25,Depletion!$K$7:$K$306,"&gt;="&amp;$B$5,Depletion!$K$7:$K$306,"&lt;="&amp;$B$6,Depletion!$M$7:$M$306,$B$7)))</x:f>
      </x:c>
      <x:c r="L25" s="98" t="str">
        <x:f>IF($I25="","",IF($B$7="All",SUMIFS(Depletion!$C$7:$C$306,Depletion!$L$7:$L$306,$I25,Depletion!$K$7:$K$306,"&gt;="&amp;$B$5,Depletion!$K$7:$K$306,"&lt;="&amp;$B$6),SUMIFS(Depletion!$C$7:$C$306,Depletion!$L$7:$L$306,$I25,Depletion!$K$7:$K$306,"&gt;="&amp;$B$5,Depletion!$K$7:$K$306,"&lt;="&amp;$B$6,Depletion!$M$7:$M$306,$B$7)))</x:f>
      </x:c>
      <x:c r="M25" s="100" t="str">
        <x:f>IF($I25="","",IF($B$7="All",COUNTIFS(Invoices!$C$7:$C$156,$I25,Invoices!$B$7:$B$156,"&gt;="&amp;$B$5,Invoices!$B$7:$B$156,"&lt;="&amp;$B$6),COUNTIFS(Invoices!$C$7:$C$156,$I25,Invoices!$B$7:$B$156,"&gt;="&amp;$B$5,Invoices!$B$7:$B$156,"&lt;="&amp;$B$6,Invoices!$D$7:$D$156,$B$7)))</x:f>
      </x:c>
      <x:c r="N25" s="36" t="str">
        <x:f>IF($I25="","",IF($B$7="All",SUMIFS(Invoices!$Q$7:$Q$156,Invoices!$C$7:$C$156,$I25),SUMIFS(Invoices!$Q$7:$Q$156,Invoices!$C$7:$C$156,$I25,Invoices!$D$7:$D$156,$B$7)))</x:f>
      </x:c>
    </x:row>
    <x:row r="26">
      <x:c r="A26" s="30" t="str">
        <x:v>The Drip - Push Pop</x:v>
      </x:c>
      <x:c r="B26" s="30" t="str">
        <x:v>The Drip</x:v>
      </x:c>
      <x:c r="C26" s="98" t="n">
        <x:f>IF($B$7="All",SUMIFS(Depletion!$C$7:$C$306,Depletion!$B$7:$B$306,$A26,Depletion!$K$7:$K$306,"&gt;="&amp;$B$5,Depletion!$K$7:$K$306,"&lt;="&amp;$B$6),SUMIFS(Depletion!$C$7:$C$306,Depletion!$B$7:$B$306,$A26,Depletion!$K$7:$K$306,"&gt;="&amp;$B$5,Depletion!$K$7:$K$306,"&lt;="&amp;$B$6,Depletion!$M$7:$M$306,$B$7))</x:f>
        <x:v>0</x:v>
      </x:c>
      <x:c r="D26" s="36" t="n">
        <x:f>IF($B$7="All",SUMIFS(Depletion!$E$7:$E$306,Depletion!$B$7:$B$306,$A26,Depletion!$K$7:$K$306,"&gt;="&amp;$B$5,Depletion!$K$7:$K$306,"&lt;="&amp;$B$6),SUMIFS(Depletion!$E$7:$E$306,Depletion!$B$7:$B$306,$A26,Depletion!$K$7:$K$306,"&gt;="&amp;$B$5,Depletion!$K$7:$K$306,"&lt;="&amp;$B$6,Depletion!$M$7:$M$306,$B$7))</x:f>
        <x:v>0</x:v>
      </x:c>
      <x:c r="E26" s="36" t="n">
        <x:f>IF($B$7="All",SUMIFS(Depletion!$I$7:$I$306,Depletion!$B$7:$B$306,$A26,Depletion!$K$7:$K$306,"&gt;="&amp;$B$5,Depletion!$K$7:$K$306,"&lt;="&amp;$B$6),SUMIFS(Depletion!$I$7:$I$306,Depletion!$B$7:$B$306,$A26,Depletion!$K$7:$K$306,"&gt;="&amp;$B$5,Depletion!$K$7:$K$306,"&lt;="&amp;$B$6,Depletion!$M$7:$M$306,$B$7))</x:f>
        <x:v>0</x:v>
      </x:c>
      <x:c r="F26" s="36" t="n">
        <x:f>D26-E26</x:f>
        <x:v>0</x:v>
      </x:c>
      <x:c r="G26" s="38" t="n">
        <x:f>IFERROR(F26/D26,0)</x:f>
        <x:v>0</x:v>
      </x:c>
      <x:c r="I26" s="30" t="str">
        <x:f>IF(Setup!$J$21="","",Setup!$J$21)</x:f>
      </x:c>
      <x:c r="J26" s="30" t="str">
        <x:f>IF($I26="","",Setup!$K$21)</x:f>
      </x:c>
      <x:c r="K26" s="36" t="str">
        <x:f>IF($I26="","",IF($B$7="All",SUMIFS(Depletion!$E$7:$E$306,Depletion!$L$7:$L$306,$I26,Depletion!$K$7:$K$306,"&gt;="&amp;$B$5,Depletion!$K$7:$K$306,"&lt;="&amp;$B$6),SUMIFS(Depletion!$E$7:$E$306,Depletion!$L$7:$L$306,$I26,Depletion!$K$7:$K$306,"&gt;="&amp;$B$5,Depletion!$K$7:$K$306,"&lt;="&amp;$B$6,Depletion!$M$7:$M$306,$B$7)))</x:f>
      </x:c>
      <x:c r="L26" s="98" t="str">
        <x:f>IF($I26="","",IF($B$7="All",SUMIFS(Depletion!$C$7:$C$306,Depletion!$L$7:$L$306,$I26,Depletion!$K$7:$K$306,"&gt;="&amp;$B$5,Depletion!$K$7:$K$306,"&lt;="&amp;$B$6),SUMIFS(Depletion!$C$7:$C$306,Depletion!$L$7:$L$306,$I26,Depletion!$K$7:$K$306,"&gt;="&amp;$B$5,Depletion!$K$7:$K$306,"&lt;="&amp;$B$6,Depletion!$M$7:$M$306,$B$7)))</x:f>
      </x:c>
      <x:c r="M26" s="100" t="str">
        <x:f>IF($I26="","",IF($B$7="All",COUNTIFS(Invoices!$C$7:$C$156,$I26,Invoices!$B$7:$B$156,"&gt;="&amp;$B$5,Invoices!$B$7:$B$156,"&lt;="&amp;$B$6),COUNTIFS(Invoices!$C$7:$C$156,$I26,Invoices!$B$7:$B$156,"&gt;="&amp;$B$5,Invoices!$B$7:$B$156,"&lt;="&amp;$B$6,Invoices!$D$7:$D$156,$B$7)))</x:f>
      </x:c>
      <x:c r="N26" s="36" t="str">
        <x:f>IF($I26="","",IF($B$7="All",SUMIFS(Invoices!$Q$7:$Q$156,Invoices!$C$7:$C$156,$I26),SUMIFS(Invoices!$Q$7:$Q$156,Invoices!$C$7:$C$156,$I26,Invoices!$D$7:$D$156,$B$7)))</x:f>
      </x:c>
    </x:row>
    <x:row r="27">
      <x:c r="A27" s="30" t="str">
        <x:v>The Drip - Green Apple</x:v>
      </x:c>
      <x:c r="B27" s="30" t="str">
        <x:v>The Drip</x:v>
      </x:c>
      <x:c r="C27" s="98" t="n">
        <x:f>IF($B$7="All",SUMIFS(Depletion!$C$7:$C$306,Depletion!$B$7:$B$306,$A27,Depletion!$K$7:$K$306,"&gt;="&amp;$B$5,Depletion!$K$7:$K$306,"&lt;="&amp;$B$6),SUMIFS(Depletion!$C$7:$C$306,Depletion!$B$7:$B$306,$A27,Depletion!$K$7:$K$306,"&gt;="&amp;$B$5,Depletion!$K$7:$K$306,"&lt;="&amp;$B$6,Depletion!$M$7:$M$306,$B$7))</x:f>
        <x:v>0</x:v>
      </x:c>
      <x:c r="D27" s="36" t="n">
        <x:f>IF($B$7="All",SUMIFS(Depletion!$E$7:$E$306,Depletion!$B$7:$B$306,$A27,Depletion!$K$7:$K$306,"&gt;="&amp;$B$5,Depletion!$K$7:$K$306,"&lt;="&amp;$B$6),SUMIFS(Depletion!$E$7:$E$306,Depletion!$B$7:$B$306,$A27,Depletion!$K$7:$K$306,"&gt;="&amp;$B$5,Depletion!$K$7:$K$306,"&lt;="&amp;$B$6,Depletion!$M$7:$M$306,$B$7))</x:f>
        <x:v>0</x:v>
      </x:c>
      <x:c r="E27" s="36" t="n">
        <x:f>IF($B$7="All",SUMIFS(Depletion!$I$7:$I$306,Depletion!$B$7:$B$306,$A27,Depletion!$K$7:$K$306,"&gt;="&amp;$B$5,Depletion!$K$7:$K$306,"&lt;="&amp;$B$6),SUMIFS(Depletion!$I$7:$I$306,Depletion!$B$7:$B$306,$A27,Depletion!$K$7:$K$306,"&gt;="&amp;$B$5,Depletion!$K$7:$K$306,"&lt;="&amp;$B$6,Depletion!$M$7:$M$306,$B$7))</x:f>
        <x:v>0</x:v>
      </x:c>
      <x:c r="F27" s="36" t="n">
        <x:f>D27-E27</x:f>
        <x:v>0</x:v>
      </x:c>
      <x:c r="G27" s="38" t="n">
        <x:f>IFERROR(F27/D27,0)</x:f>
        <x:v>0</x:v>
      </x:c>
      <x:c r="I27" s="30" t="str">
        <x:f>IF(Setup!$J$22="","",Setup!$J$22)</x:f>
      </x:c>
      <x:c r="J27" s="30" t="str">
        <x:f>IF($I27="","",Setup!$K$22)</x:f>
      </x:c>
      <x:c r="K27" s="36" t="str">
        <x:f>IF($I27="","",IF($B$7="All",SUMIFS(Depletion!$E$7:$E$306,Depletion!$L$7:$L$306,$I27,Depletion!$K$7:$K$306,"&gt;="&amp;$B$5,Depletion!$K$7:$K$306,"&lt;="&amp;$B$6),SUMIFS(Depletion!$E$7:$E$306,Depletion!$L$7:$L$306,$I27,Depletion!$K$7:$K$306,"&gt;="&amp;$B$5,Depletion!$K$7:$K$306,"&lt;="&amp;$B$6,Depletion!$M$7:$M$306,$B$7)))</x:f>
      </x:c>
      <x:c r="L27" s="98" t="str">
        <x:f>IF($I27="","",IF($B$7="All",SUMIFS(Depletion!$C$7:$C$306,Depletion!$L$7:$L$306,$I27,Depletion!$K$7:$K$306,"&gt;="&amp;$B$5,Depletion!$K$7:$K$306,"&lt;="&amp;$B$6),SUMIFS(Depletion!$C$7:$C$306,Depletion!$L$7:$L$306,$I27,Depletion!$K$7:$K$306,"&gt;="&amp;$B$5,Depletion!$K$7:$K$306,"&lt;="&amp;$B$6,Depletion!$M$7:$M$306,$B$7)))</x:f>
      </x:c>
      <x:c r="M27" s="100" t="str">
        <x:f>IF($I27="","",IF($B$7="All",COUNTIFS(Invoices!$C$7:$C$156,$I27,Invoices!$B$7:$B$156,"&gt;="&amp;$B$5,Invoices!$B$7:$B$156,"&lt;="&amp;$B$6),COUNTIFS(Invoices!$C$7:$C$156,$I27,Invoices!$B$7:$B$156,"&gt;="&amp;$B$5,Invoices!$B$7:$B$156,"&lt;="&amp;$B$6,Invoices!$D$7:$D$156,$B$7)))</x:f>
      </x:c>
      <x:c r="N27" s="36" t="str">
        <x:f>IF($I27="","",IF($B$7="All",SUMIFS(Invoices!$Q$7:$Q$156,Invoices!$C$7:$C$156,$I27),SUMIFS(Invoices!$Q$7:$Q$156,Invoices!$C$7:$C$156,$I27,Invoices!$D$7:$D$156,$B$7)))</x:f>
      </x:c>
    </x:row>
    <x:row r="28">
      <x:c r="A28" s="30" t="str">
        <x:v>The Drip - Strawberry Banana</x:v>
      </x:c>
      <x:c r="B28" s="30" t="str">
        <x:v>The Drip</x:v>
      </x:c>
      <x:c r="C28" s="98" t="n">
        <x:f>IF($B$7="All",SUMIFS(Depletion!$C$7:$C$306,Depletion!$B$7:$B$306,$A28,Depletion!$K$7:$K$306,"&gt;="&amp;$B$5,Depletion!$K$7:$K$306,"&lt;="&amp;$B$6),SUMIFS(Depletion!$C$7:$C$306,Depletion!$B$7:$B$306,$A28,Depletion!$K$7:$K$306,"&gt;="&amp;$B$5,Depletion!$K$7:$K$306,"&lt;="&amp;$B$6,Depletion!$M$7:$M$306,$B$7))</x:f>
        <x:v>0</x:v>
      </x:c>
      <x:c r="D28" s="36" t="n">
        <x:f>IF($B$7="All",SUMIFS(Depletion!$E$7:$E$306,Depletion!$B$7:$B$306,$A28,Depletion!$K$7:$K$306,"&gt;="&amp;$B$5,Depletion!$K$7:$K$306,"&lt;="&amp;$B$6),SUMIFS(Depletion!$E$7:$E$306,Depletion!$B$7:$B$306,$A28,Depletion!$K$7:$K$306,"&gt;="&amp;$B$5,Depletion!$K$7:$K$306,"&lt;="&amp;$B$6,Depletion!$M$7:$M$306,$B$7))</x:f>
        <x:v>0</x:v>
      </x:c>
      <x:c r="E28" s="36" t="n">
        <x:f>IF($B$7="All",SUMIFS(Depletion!$I$7:$I$306,Depletion!$B$7:$B$306,$A28,Depletion!$K$7:$K$306,"&gt;="&amp;$B$5,Depletion!$K$7:$K$306,"&lt;="&amp;$B$6),SUMIFS(Depletion!$I$7:$I$306,Depletion!$B$7:$B$306,$A28,Depletion!$K$7:$K$306,"&gt;="&amp;$B$5,Depletion!$K$7:$K$306,"&lt;="&amp;$B$6,Depletion!$M$7:$M$306,$B$7))</x:f>
        <x:v>0</x:v>
      </x:c>
      <x:c r="F28" s="36" t="n">
        <x:f>D28-E28</x:f>
        <x:v>0</x:v>
      </x:c>
      <x:c r="G28" s="38" t="n">
        <x:f>IFERROR(F28/D28,0)</x:f>
        <x:v>0</x:v>
      </x:c>
      <x:c r="I28" s="30" t="str">
        <x:f>IF(Setup!$J$23="","",Setup!$J$23)</x:f>
      </x:c>
      <x:c r="J28" s="30" t="str">
        <x:f>IF($I28="","",Setup!$K$23)</x:f>
      </x:c>
      <x:c r="K28" s="36" t="str">
        <x:f>IF($I28="","",IF($B$7="All",SUMIFS(Depletion!$E$7:$E$306,Depletion!$L$7:$L$306,$I28,Depletion!$K$7:$K$306,"&gt;="&amp;$B$5,Depletion!$K$7:$K$306,"&lt;="&amp;$B$6),SUMIFS(Depletion!$E$7:$E$306,Depletion!$L$7:$L$306,$I28,Depletion!$K$7:$K$306,"&gt;="&amp;$B$5,Depletion!$K$7:$K$306,"&lt;="&amp;$B$6,Depletion!$M$7:$M$306,$B$7)))</x:f>
      </x:c>
      <x:c r="L28" s="98" t="str">
        <x:f>IF($I28="","",IF($B$7="All",SUMIFS(Depletion!$C$7:$C$306,Depletion!$L$7:$L$306,$I28,Depletion!$K$7:$K$306,"&gt;="&amp;$B$5,Depletion!$K$7:$K$306,"&lt;="&amp;$B$6),SUMIFS(Depletion!$C$7:$C$306,Depletion!$L$7:$L$306,$I28,Depletion!$K$7:$K$306,"&gt;="&amp;$B$5,Depletion!$K$7:$K$306,"&lt;="&amp;$B$6,Depletion!$M$7:$M$306,$B$7)))</x:f>
      </x:c>
      <x:c r="M28" s="100" t="str">
        <x:f>IF($I28="","",IF($B$7="All",COUNTIFS(Invoices!$C$7:$C$156,$I28,Invoices!$B$7:$B$156,"&gt;="&amp;$B$5,Invoices!$B$7:$B$156,"&lt;="&amp;$B$6),COUNTIFS(Invoices!$C$7:$C$156,$I28,Invoices!$B$7:$B$156,"&gt;="&amp;$B$5,Invoices!$B$7:$B$156,"&lt;="&amp;$B$6,Invoices!$D$7:$D$156,$B$7)))</x:f>
      </x:c>
      <x:c r="N28" s="36" t="str">
        <x:f>IF($I28="","",IF($B$7="All",SUMIFS(Invoices!$Q$7:$Q$156,Invoices!$C$7:$C$156,$I28),SUMIFS(Invoices!$Q$7:$Q$156,Invoices!$C$7:$C$156,$I28,Invoices!$D$7:$D$156,$B$7)))</x:f>
      </x:c>
    </x:row>
    <x:row r="29">
      <x:c r="I29" s="30" t="str">
        <x:f>IF(Setup!$J$24="","",Setup!$J$24)</x:f>
      </x:c>
      <x:c r="J29" s="30" t="str">
        <x:f>IF($I29="","",Setup!$K$24)</x:f>
      </x:c>
      <x:c r="K29" s="36" t="str">
        <x:f>IF($I29="","",IF($B$7="All",SUMIFS(Depletion!$E$7:$E$306,Depletion!$L$7:$L$306,$I29,Depletion!$K$7:$K$306,"&gt;="&amp;$B$5,Depletion!$K$7:$K$306,"&lt;="&amp;$B$6),SUMIFS(Depletion!$E$7:$E$306,Depletion!$L$7:$L$306,$I29,Depletion!$K$7:$K$306,"&gt;="&amp;$B$5,Depletion!$K$7:$K$306,"&lt;="&amp;$B$6,Depletion!$M$7:$M$306,$B$7)))</x:f>
      </x:c>
      <x:c r="L29" s="98" t="str">
        <x:f>IF($I29="","",IF($B$7="All",SUMIFS(Depletion!$C$7:$C$306,Depletion!$L$7:$L$306,$I29,Depletion!$K$7:$K$306,"&gt;="&amp;$B$5,Depletion!$K$7:$K$306,"&lt;="&amp;$B$6),SUMIFS(Depletion!$C$7:$C$306,Depletion!$L$7:$L$306,$I29,Depletion!$K$7:$K$306,"&gt;="&amp;$B$5,Depletion!$K$7:$K$306,"&lt;="&amp;$B$6,Depletion!$M$7:$M$306,$B$7)))</x:f>
      </x:c>
      <x:c r="M29" s="100" t="str">
        <x:f>IF($I29="","",IF($B$7="All",COUNTIFS(Invoices!$C$7:$C$156,$I29,Invoices!$B$7:$B$156,"&gt;="&amp;$B$5,Invoices!$B$7:$B$156,"&lt;="&amp;$B$6),COUNTIFS(Invoices!$C$7:$C$156,$I29,Invoices!$B$7:$B$156,"&gt;="&amp;$B$5,Invoices!$B$7:$B$156,"&lt;="&amp;$B$6,Invoices!$D$7:$D$156,$B$7)))</x:f>
      </x:c>
      <x:c r="N29" s="36" t="str">
        <x:f>IF($I29="","",IF($B$7="All",SUMIFS(Invoices!$Q$7:$Q$156,Invoices!$C$7:$C$156,$I29),SUMIFS(Invoices!$Q$7:$Q$156,Invoices!$C$7:$C$156,$I29,Invoices!$D$7:$D$156,$B$7)))</x:f>
      </x:c>
    </x:row>
    <x:row r="30">
      <x:c r="I30" s="30" t="str">
        <x:f>IF(Setup!$J$25="","",Setup!$J$25)</x:f>
      </x:c>
      <x:c r="J30" s="30" t="str">
        <x:f>IF($I30="","",Setup!$K$25)</x:f>
      </x:c>
      <x:c r="K30" s="36" t="str">
        <x:f>IF($I30="","",IF($B$7="All",SUMIFS(Depletion!$E$7:$E$306,Depletion!$L$7:$L$306,$I30,Depletion!$K$7:$K$306,"&gt;="&amp;$B$5,Depletion!$K$7:$K$306,"&lt;="&amp;$B$6),SUMIFS(Depletion!$E$7:$E$306,Depletion!$L$7:$L$306,$I30,Depletion!$K$7:$K$306,"&gt;="&amp;$B$5,Depletion!$K$7:$K$306,"&lt;="&amp;$B$6,Depletion!$M$7:$M$306,$B$7)))</x:f>
      </x:c>
      <x:c r="L30" s="98" t="str">
        <x:f>IF($I30="","",IF($B$7="All",SUMIFS(Depletion!$C$7:$C$306,Depletion!$L$7:$L$306,$I30,Depletion!$K$7:$K$306,"&gt;="&amp;$B$5,Depletion!$K$7:$K$306,"&lt;="&amp;$B$6),SUMIFS(Depletion!$C$7:$C$306,Depletion!$L$7:$L$306,$I30,Depletion!$K$7:$K$306,"&gt;="&amp;$B$5,Depletion!$K$7:$K$306,"&lt;="&amp;$B$6,Depletion!$M$7:$M$306,$B$7)))</x:f>
      </x:c>
      <x:c r="M30" s="100" t="str">
        <x:f>IF($I30="","",IF($B$7="All",COUNTIFS(Invoices!$C$7:$C$156,$I30,Invoices!$B$7:$B$156,"&gt;="&amp;$B$5,Invoices!$B$7:$B$156,"&lt;="&amp;$B$6),COUNTIFS(Invoices!$C$7:$C$156,$I30,Invoices!$B$7:$B$156,"&gt;="&amp;$B$5,Invoices!$B$7:$B$156,"&lt;="&amp;$B$6,Invoices!$D$7:$D$156,$B$7)))</x:f>
      </x:c>
      <x:c r="N30" s="36" t="str">
        <x:f>IF($I30="","",IF($B$7="All",SUMIFS(Invoices!$Q$7:$Q$156,Invoices!$C$7:$C$156,$I30),SUMIFS(Invoices!$Q$7:$Q$156,Invoices!$C$7:$C$156,$I30,Invoices!$D$7:$D$156,$B$7)))</x:f>
      </x:c>
    </x:row>
    <x:row r="31">
      <x:c r="I31" s="30" t="str">
        <x:f>IF(Setup!$J$26="","",Setup!$J$26)</x:f>
      </x:c>
      <x:c r="J31" s="30" t="str">
        <x:f>IF($I31="","",Setup!$K$26)</x:f>
      </x:c>
      <x:c r="K31" s="36" t="str">
        <x:f>IF($I31="","",IF($B$7="All",SUMIFS(Depletion!$E$7:$E$306,Depletion!$L$7:$L$306,$I31,Depletion!$K$7:$K$306,"&gt;="&amp;$B$5,Depletion!$K$7:$K$306,"&lt;="&amp;$B$6),SUMIFS(Depletion!$E$7:$E$306,Depletion!$L$7:$L$306,$I31,Depletion!$K$7:$K$306,"&gt;="&amp;$B$5,Depletion!$K$7:$K$306,"&lt;="&amp;$B$6,Depletion!$M$7:$M$306,$B$7)))</x:f>
      </x:c>
      <x:c r="L31" s="98" t="str">
        <x:f>IF($I31="","",IF($B$7="All",SUMIFS(Depletion!$C$7:$C$306,Depletion!$L$7:$L$306,$I31,Depletion!$K$7:$K$306,"&gt;="&amp;$B$5,Depletion!$K$7:$K$306,"&lt;="&amp;$B$6),SUMIFS(Depletion!$C$7:$C$306,Depletion!$L$7:$L$306,$I31,Depletion!$K$7:$K$306,"&gt;="&amp;$B$5,Depletion!$K$7:$K$306,"&lt;="&amp;$B$6,Depletion!$M$7:$M$306,$B$7)))</x:f>
      </x:c>
      <x:c r="M31" s="100" t="str">
        <x:f>IF($I31="","",IF($B$7="All",COUNTIFS(Invoices!$C$7:$C$156,$I31,Invoices!$B$7:$B$156,"&gt;="&amp;$B$5,Invoices!$B$7:$B$156,"&lt;="&amp;$B$6),COUNTIFS(Invoices!$C$7:$C$156,$I31,Invoices!$B$7:$B$156,"&gt;="&amp;$B$5,Invoices!$B$7:$B$156,"&lt;="&amp;$B$6,Invoices!$D$7:$D$156,$B$7)))</x:f>
      </x:c>
      <x:c r="N31" s="36" t="str">
        <x:f>IF($I31="","",IF($B$7="All",SUMIFS(Invoices!$Q$7:$Q$156,Invoices!$C$7:$C$156,$I31),SUMIFS(Invoices!$Q$7:$Q$156,Invoices!$C$7:$C$156,$I31,Invoices!$D$7:$D$156,$B$7)))</x:f>
      </x:c>
    </x:row>
    <x:row r="32">
      <x:c r="I32" s="30" t="str">
        <x:f>IF(Setup!$J$27="","",Setup!$J$27)</x:f>
      </x:c>
      <x:c r="J32" s="30" t="str">
        <x:f>IF($I32="","",Setup!$K$27)</x:f>
      </x:c>
      <x:c r="K32" s="36" t="str">
        <x:f>IF($I32="","",IF($B$7="All",SUMIFS(Depletion!$E$7:$E$306,Depletion!$L$7:$L$306,$I32,Depletion!$K$7:$K$306,"&gt;="&amp;$B$5,Depletion!$K$7:$K$306,"&lt;="&amp;$B$6),SUMIFS(Depletion!$E$7:$E$306,Depletion!$L$7:$L$306,$I32,Depletion!$K$7:$K$306,"&gt;="&amp;$B$5,Depletion!$K$7:$K$306,"&lt;="&amp;$B$6,Depletion!$M$7:$M$306,$B$7)))</x:f>
      </x:c>
      <x:c r="L32" s="98" t="str">
        <x:f>IF($I32="","",IF($B$7="All",SUMIFS(Depletion!$C$7:$C$306,Depletion!$L$7:$L$306,$I32,Depletion!$K$7:$K$306,"&gt;="&amp;$B$5,Depletion!$K$7:$K$306,"&lt;="&amp;$B$6),SUMIFS(Depletion!$C$7:$C$306,Depletion!$L$7:$L$306,$I32,Depletion!$K$7:$K$306,"&gt;="&amp;$B$5,Depletion!$K$7:$K$306,"&lt;="&amp;$B$6,Depletion!$M$7:$M$306,$B$7)))</x:f>
      </x:c>
      <x:c r="M32" s="100" t="str">
        <x:f>IF($I32="","",IF($B$7="All",COUNTIFS(Invoices!$C$7:$C$156,$I32,Invoices!$B$7:$B$156,"&gt;="&amp;$B$5,Invoices!$B$7:$B$156,"&lt;="&amp;$B$6),COUNTIFS(Invoices!$C$7:$C$156,$I32,Invoices!$B$7:$B$156,"&gt;="&amp;$B$5,Invoices!$B$7:$B$156,"&lt;="&amp;$B$6,Invoices!$D$7:$D$156,$B$7)))</x:f>
      </x:c>
      <x:c r="N32" s="36" t="str">
        <x:f>IF($I32="","",IF($B$7="All",SUMIFS(Invoices!$Q$7:$Q$156,Invoices!$C$7:$C$156,$I32),SUMIFS(Invoices!$Q$7:$Q$156,Invoices!$C$7:$C$156,$I32,Invoices!$D$7:$D$156,$B$7)))</x:f>
      </x:c>
    </x:row>
    <x:row r="33">
      <x:c r="I33" s="30" t="str">
        <x:f>IF(Setup!$J$28="","",Setup!$J$28)</x:f>
      </x:c>
      <x:c r="J33" s="30" t="str">
        <x:f>IF($I33="","",Setup!$K$28)</x:f>
      </x:c>
      <x:c r="K33" s="36" t="str">
        <x:f>IF($I33="","",IF($B$7="All",SUMIFS(Depletion!$E$7:$E$306,Depletion!$L$7:$L$306,$I33,Depletion!$K$7:$K$306,"&gt;="&amp;$B$5,Depletion!$K$7:$K$306,"&lt;="&amp;$B$6),SUMIFS(Depletion!$E$7:$E$306,Depletion!$L$7:$L$306,$I33,Depletion!$K$7:$K$306,"&gt;="&amp;$B$5,Depletion!$K$7:$K$306,"&lt;="&amp;$B$6,Depletion!$M$7:$M$306,$B$7)))</x:f>
      </x:c>
      <x:c r="L33" s="98" t="str">
        <x:f>IF($I33="","",IF($B$7="All",SUMIFS(Depletion!$C$7:$C$306,Depletion!$L$7:$L$306,$I33,Depletion!$K$7:$K$306,"&gt;="&amp;$B$5,Depletion!$K$7:$K$306,"&lt;="&amp;$B$6),SUMIFS(Depletion!$C$7:$C$306,Depletion!$L$7:$L$306,$I33,Depletion!$K$7:$K$306,"&gt;="&amp;$B$5,Depletion!$K$7:$K$306,"&lt;="&amp;$B$6,Depletion!$M$7:$M$306,$B$7)))</x:f>
      </x:c>
      <x:c r="M33" s="100" t="str">
        <x:f>IF($I33="","",IF($B$7="All",COUNTIFS(Invoices!$C$7:$C$156,$I33,Invoices!$B$7:$B$156,"&gt;="&amp;$B$5,Invoices!$B$7:$B$156,"&lt;="&amp;$B$6),COUNTIFS(Invoices!$C$7:$C$156,$I33,Invoices!$B$7:$B$156,"&gt;="&amp;$B$5,Invoices!$B$7:$B$156,"&lt;="&amp;$B$6,Invoices!$D$7:$D$156,$B$7)))</x:f>
      </x:c>
      <x:c r="N33" s="36" t="str">
        <x:f>IF($I33="","",IF($B$7="All",SUMIFS(Invoices!$Q$7:$Q$156,Invoices!$C$7:$C$156,$I33),SUMIFS(Invoices!$Q$7:$Q$156,Invoices!$C$7:$C$156,$I33,Invoices!$D$7:$D$156,$B$7)))</x:f>
      </x:c>
    </x:row>
    <x:row r="34">
      <x:c r="I34" s="30" t="str">
        <x:f>IF(Setup!$J$29="","",Setup!$J$29)</x:f>
      </x:c>
      <x:c r="J34" s="30" t="str">
        <x:f>IF($I34="","",Setup!$K$29)</x:f>
      </x:c>
      <x:c r="K34" s="36" t="str">
        <x:f>IF($I34="","",IF($B$7="All",SUMIFS(Depletion!$E$7:$E$306,Depletion!$L$7:$L$306,$I34,Depletion!$K$7:$K$306,"&gt;="&amp;$B$5,Depletion!$K$7:$K$306,"&lt;="&amp;$B$6),SUMIFS(Depletion!$E$7:$E$306,Depletion!$L$7:$L$306,$I34,Depletion!$K$7:$K$306,"&gt;="&amp;$B$5,Depletion!$K$7:$K$306,"&lt;="&amp;$B$6,Depletion!$M$7:$M$306,$B$7)))</x:f>
      </x:c>
      <x:c r="L34" s="98" t="str">
        <x:f>IF($I34="","",IF($B$7="All",SUMIFS(Depletion!$C$7:$C$306,Depletion!$L$7:$L$306,$I34,Depletion!$K$7:$K$306,"&gt;="&amp;$B$5,Depletion!$K$7:$K$306,"&lt;="&amp;$B$6),SUMIFS(Depletion!$C$7:$C$306,Depletion!$L$7:$L$306,$I34,Depletion!$K$7:$K$306,"&gt;="&amp;$B$5,Depletion!$K$7:$K$306,"&lt;="&amp;$B$6,Depletion!$M$7:$M$306,$B$7)))</x:f>
      </x:c>
      <x:c r="M34" s="100" t="str">
        <x:f>IF($I34="","",IF($B$7="All",COUNTIFS(Invoices!$C$7:$C$156,$I34,Invoices!$B$7:$B$156,"&gt;="&amp;$B$5,Invoices!$B$7:$B$156,"&lt;="&amp;$B$6),COUNTIFS(Invoices!$C$7:$C$156,$I34,Invoices!$B$7:$B$156,"&gt;="&amp;$B$5,Invoices!$B$7:$B$156,"&lt;="&amp;$B$6,Invoices!$D$7:$D$156,$B$7)))</x:f>
      </x:c>
      <x:c r="N34" s="36" t="str">
        <x:f>IF($I34="","",IF($B$7="All",SUMIFS(Invoices!$Q$7:$Q$156,Invoices!$C$7:$C$156,$I34),SUMIFS(Invoices!$Q$7:$Q$156,Invoices!$C$7:$C$156,$I34,Invoices!$D$7:$D$156,$B$7)))</x:f>
      </x:c>
    </x:row>
    <x:row r="35">
      <x:c r="I35" s="30" t="str">
        <x:f>IF(Setup!$J$30="","",Setup!$J$30)</x:f>
      </x:c>
      <x:c r="J35" s="30" t="str">
        <x:f>IF($I35="","",Setup!$K$30)</x:f>
      </x:c>
      <x:c r="K35" s="36" t="str">
        <x:f>IF($I35="","",IF($B$7="All",SUMIFS(Depletion!$E$7:$E$306,Depletion!$L$7:$L$306,$I35,Depletion!$K$7:$K$306,"&gt;="&amp;$B$5,Depletion!$K$7:$K$306,"&lt;="&amp;$B$6),SUMIFS(Depletion!$E$7:$E$306,Depletion!$L$7:$L$306,$I35,Depletion!$K$7:$K$306,"&gt;="&amp;$B$5,Depletion!$K$7:$K$306,"&lt;="&amp;$B$6,Depletion!$M$7:$M$306,$B$7)))</x:f>
      </x:c>
      <x:c r="L35" s="98" t="str">
        <x:f>IF($I35="","",IF($B$7="All",SUMIFS(Depletion!$C$7:$C$306,Depletion!$L$7:$L$306,$I35,Depletion!$K$7:$K$306,"&gt;="&amp;$B$5,Depletion!$K$7:$K$306,"&lt;="&amp;$B$6),SUMIFS(Depletion!$C$7:$C$306,Depletion!$L$7:$L$306,$I35,Depletion!$K$7:$K$306,"&gt;="&amp;$B$5,Depletion!$K$7:$K$306,"&lt;="&amp;$B$6,Depletion!$M$7:$M$306,$B$7)))</x:f>
      </x:c>
      <x:c r="M35" s="100" t="str">
        <x:f>IF($I35="","",IF($B$7="All",COUNTIFS(Invoices!$C$7:$C$156,$I35,Invoices!$B$7:$B$156,"&gt;="&amp;$B$5,Invoices!$B$7:$B$156,"&lt;="&amp;$B$6),COUNTIFS(Invoices!$C$7:$C$156,$I35,Invoices!$B$7:$B$156,"&gt;="&amp;$B$5,Invoices!$B$7:$B$156,"&lt;="&amp;$B$6,Invoices!$D$7:$D$156,$B$7)))</x:f>
      </x:c>
      <x:c r="N35" s="36" t="str">
        <x:f>IF($I35="","",IF($B$7="All",SUMIFS(Invoices!$Q$7:$Q$156,Invoices!$C$7:$C$156,$I35),SUMIFS(Invoices!$Q$7:$Q$156,Invoices!$C$7:$C$156,$I35,Invoices!$D$7:$D$156,$B$7)))</x:f>
      </x:c>
    </x:row>
    <x:row r="36">
      <x:c r="I36" s="30" t="str">
        <x:f>IF(Setup!$J$31="","",Setup!$J$31)</x:f>
      </x:c>
      <x:c r="J36" s="30" t="str">
        <x:f>IF($I36="","",Setup!$K$31)</x:f>
      </x:c>
      <x:c r="K36" s="36" t="str">
        <x:f>IF($I36="","",IF($B$7="All",SUMIFS(Depletion!$E$7:$E$306,Depletion!$L$7:$L$306,$I36,Depletion!$K$7:$K$306,"&gt;="&amp;$B$5,Depletion!$K$7:$K$306,"&lt;="&amp;$B$6),SUMIFS(Depletion!$E$7:$E$306,Depletion!$L$7:$L$306,$I36,Depletion!$K$7:$K$306,"&gt;="&amp;$B$5,Depletion!$K$7:$K$306,"&lt;="&amp;$B$6,Depletion!$M$7:$M$306,$B$7)))</x:f>
      </x:c>
      <x:c r="L36" s="98" t="str">
        <x:f>IF($I36="","",IF($B$7="All",SUMIFS(Depletion!$C$7:$C$306,Depletion!$L$7:$L$306,$I36,Depletion!$K$7:$K$306,"&gt;="&amp;$B$5,Depletion!$K$7:$K$306,"&lt;="&amp;$B$6),SUMIFS(Depletion!$C$7:$C$306,Depletion!$L$7:$L$306,$I36,Depletion!$K$7:$K$306,"&gt;="&amp;$B$5,Depletion!$K$7:$K$306,"&lt;="&amp;$B$6,Depletion!$M$7:$M$306,$B$7)))</x:f>
      </x:c>
      <x:c r="M36" s="100" t="str">
        <x:f>IF($I36="","",IF($B$7="All",COUNTIFS(Invoices!$C$7:$C$156,$I36,Invoices!$B$7:$B$156,"&gt;="&amp;$B$5,Invoices!$B$7:$B$156,"&lt;="&amp;$B$6),COUNTIFS(Invoices!$C$7:$C$156,$I36,Invoices!$B$7:$B$156,"&gt;="&amp;$B$5,Invoices!$B$7:$B$156,"&lt;="&amp;$B$6,Invoices!$D$7:$D$156,$B$7)))</x:f>
      </x:c>
      <x:c r="N36" s="36" t="str">
        <x:f>IF($I36="","",IF($B$7="All",SUMIFS(Invoices!$Q$7:$Q$156,Invoices!$C$7:$C$156,$I36),SUMIFS(Invoices!$Q$7:$Q$156,Invoices!$C$7:$C$156,$I36,Invoices!$D$7:$D$156,$B$7)))</x:f>
      </x:c>
    </x:row>
    <x:row r="37">
      <x:c r="I37" s="30" t="str">
        <x:f>IF(Setup!$J$32="","",Setup!$J$32)</x:f>
      </x:c>
      <x:c r="J37" s="30" t="str">
        <x:f>IF($I37="","",Setup!$K$32)</x:f>
      </x:c>
      <x:c r="K37" s="36" t="str">
        <x:f>IF($I37="","",IF($B$7="All",SUMIFS(Depletion!$E$7:$E$306,Depletion!$L$7:$L$306,$I37,Depletion!$K$7:$K$306,"&gt;="&amp;$B$5,Depletion!$K$7:$K$306,"&lt;="&amp;$B$6),SUMIFS(Depletion!$E$7:$E$306,Depletion!$L$7:$L$306,$I37,Depletion!$K$7:$K$306,"&gt;="&amp;$B$5,Depletion!$K$7:$K$306,"&lt;="&amp;$B$6,Depletion!$M$7:$M$306,$B$7)))</x:f>
      </x:c>
      <x:c r="L37" s="98" t="str">
        <x:f>IF($I37="","",IF($B$7="All",SUMIFS(Depletion!$C$7:$C$306,Depletion!$L$7:$L$306,$I37,Depletion!$K$7:$K$306,"&gt;="&amp;$B$5,Depletion!$K$7:$K$306,"&lt;="&amp;$B$6),SUMIFS(Depletion!$C$7:$C$306,Depletion!$L$7:$L$306,$I37,Depletion!$K$7:$K$306,"&gt;="&amp;$B$5,Depletion!$K$7:$K$306,"&lt;="&amp;$B$6,Depletion!$M$7:$M$306,$B$7)))</x:f>
      </x:c>
      <x:c r="M37" s="100" t="str">
        <x:f>IF($I37="","",IF($B$7="All",COUNTIFS(Invoices!$C$7:$C$156,$I37,Invoices!$B$7:$B$156,"&gt;="&amp;$B$5,Invoices!$B$7:$B$156,"&lt;="&amp;$B$6),COUNTIFS(Invoices!$C$7:$C$156,$I37,Invoices!$B$7:$B$156,"&gt;="&amp;$B$5,Invoices!$B$7:$B$156,"&lt;="&amp;$B$6,Invoices!$D$7:$D$156,$B$7)))</x:f>
      </x:c>
      <x:c r="N37" s="36" t="str">
        <x:f>IF($I37="","",IF($B$7="All",SUMIFS(Invoices!$Q$7:$Q$156,Invoices!$C$7:$C$156,$I37),SUMIFS(Invoices!$Q$7:$Q$156,Invoices!$C$7:$C$156,$I37,Invoices!$D$7:$D$156,$B$7)))</x:f>
      </x:c>
    </x:row>
    <x:row r="38">
      <x:c r="I38" s="30" t="str">
        <x:f>IF(Setup!$J$33="","",Setup!$J$33)</x:f>
      </x:c>
      <x:c r="J38" s="30" t="str">
        <x:f>IF($I38="","",Setup!$K$33)</x:f>
      </x:c>
      <x:c r="K38" s="36" t="str">
        <x:f>IF($I38="","",IF($B$7="All",SUMIFS(Depletion!$E$7:$E$306,Depletion!$L$7:$L$306,$I38,Depletion!$K$7:$K$306,"&gt;="&amp;$B$5,Depletion!$K$7:$K$306,"&lt;="&amp;$B$6),SUMIFS(Depletion!$E$7:$E$306,Depletion!$L$7:$L$306,$I38,Depletion!$K$7:$K$306,"&gt;="&amp;$B$5,Depletion!$K$7:$K$306,"&lt;="&amp;$B$6,Depletion!$M$7:$M$306,$B$7)))</x:f>
      </x:c>
      <x:c r="L38" s="98" t="str">
        <x:f>IF($I38="","",IF($B$7="All",SUMIFS(Depletion!$C$7:$C$306,Depletion!$L$7:$L$306,$I38,Depletion!$K$7:$K$306,"&gt;="&amp;$B$5,Depletion!$K$7:$K$306,"&lt;="&amp;$B$6),SUMIFS(Depletion!$C$7:$C$306,Depletion!$L$7:$L$306,$I38,Depletion!$K$7:$K$306,"&gt;="&amp;$B$5,Depletion!$K$7:$K$306,"&lt;="&amp;$B$6,Depletion!$M$7:$M$306,$B$7)))</x:f>
      </x:c>
      <x:c r="M38" s="100" t="str">
        <x:f>IF($I38="","",IF($B$7="All",COUNTIFS(Invoices!$C$7:$C$156,$I38,Invoices!$B$7:$B$156,"&gt;="&amp;$B$5,Invoices!$B$7:$B$156,"&lt;="&amp;$B$6),COUNTIFS(Invoices!$C$7:$C$156,$I38,Invoices!$B$7:$B$156,"&gt;="&amp;$B$5,Invoices!$B$7:$B$156,"&lt;="&amp;$B$6,Invoices!$D$7:$D$156,$B$7)))</x:f>
      </x:c>
      <x:c r="N38" s="36" t="str">
        <x:f>IF($I38="","",IF($B$7="All",SUMIFS(Invoices!$Q$7:$Q$156,Invoices!$C$7:$C$156,$I38),SUMIFS(Invoices!$Q$7:$Q$156,Invoices!$C$7:$C$156,$I38,Invoices!$D$7:$D$156,$B$7)))</x:f>
      </x:c>
    </x:row>
    <x:row r="39">
      <x:c r="I39" s="30" t="str">
        <x:f>IF(Setup!$J$34="","",Setup!$J$34)</x:f>
      </x:c>
      <x:c r="J39" s="30" t="str">
        <x:f>IF($I39="","",Setup!$K$34)</x:f>
      </x:c>
      <x:c r="K39" s="36" t="str">
        <x:f>IF($I39="","",IF($B$7="All",SUMIFS(Depletion!$E$7:$E$306,Depletion!$L$7:$L$306,$I39,Depletion!$K$7:$K$306,"&gt;="&amp;$B$5,Depletion!$K$7:$K$306,"&lt;="&amp;$B$6),SUMIFS(Depletion!$E$7:$E$306,Depletion!$L$7:$L$306,$I39,Depletion!$K$7:$K$306,"&gt;="&amp;$B$5,Depletion!$K$7:$K$306,"&lt;="&amp;$B$6,Depletion!$M$7:$M$306,$B$7)))</x:f>
      </x:c>
      <x:c r="L39" s="98" t="str">
        <x:f>IF($I39="","",IF($B$7="All",SUMIFS(Depletion!$C$7:$C$306,Depletion!$L$7:$L$306,$I39,Depletion!$K$7:$K$306,"&gt;="&amp;$B$5,Depletion!$K$7:$K$306,"&lt;="&amp;$B$6),SUMIFS(Depletion!$C$7:$C$306,Depletion!$L$7:$L$306,$I39,Depletion!$K$7:$K$306,"&gt;="&amp;$B$5,Depletion!$K$7:$K$306,"&lt;="&amp;$B$6,Depletion!$M$7:$M$306,$B$7)))</x:f>
      </x:c>
      <x:c r="M39" s="100" t="str">
        <x:f>IF($I39="","",IF($B$7="All",COUNTIFS(Invoices!$C$7:$C$156,$I39,Invoices!$B$7:$B$156,"&gt;="&amp;$B$5,Invoices!$B$7:$B$156,"&lt;="&amp;$B$6),COUNTIFS(Invoices!$C$7:$C$156,$I39,Invoices!$B$7:$B$156,"&gt;="&amp;$B$5,Invoices!$B$7:$B$156,"&lt;="&amp;$B$6,Invoices!$D$7:$D$156,$B$7)))</x:f>
      </x:c>
      <x:c r="N39" s="36" t="str">
        <x:f>IF($I39="","",IF($B$7="All",SUMIFS(Invoices!$Q$7:$Q$156,Invoices!$C$7:$C$156,$I39),SUMIFS(Invoices!$Q$7:$Q$156,Invoices!$C$7:$C$156,$I39,Invoices!$D$7:$D$156,$B$7)))</x:f>
      </x:c>
    </x:row>
    <x:row r="40">
      <x:c r="I40" s="30" t="str">
        <x:f>IF(Setup!$J$35="","",Setup!$J$35)</x:f>
      </x:c>
      <x:c r="J40" s="30" t="str">
        <x:f>IF($I40="","",Setup!$K$35)</x:f>
      </x:c>
      <x:c r="K40" s="36" t="str">
        <x:f>IF($I40="","",IF($B$7="All",SUMIFS(Depletion!$E$7:$E$306,Depletion!$L$7:$L$306,$I40,Depletion!$K$7:$K$306,"&gt;="&amp;$B$5,Depletion!$K$7:$K$306,"&lt;="&amp;$B$6),SUMIFS(Depletion!$E$7:$E$306,Depletion!$L$7:$L$306,$I40,Depletion!$K$7:$K$306,"&gt;="&amp;$B$5,Depletion!$K$7:$K$306,"&lt;="&amp;$B$6,Depletion!$M$7:$M$306,$B$7)))</x:f>
      </x:c>
      <x:c r="L40" s="98" t="str">
        <x:f>IF($I40="","",IF($B$7="All",SUMIFS(Depletion!$C$7:$C$306,Depletion!$L$7:$L$306,$I40,Depletion!$K$7:$K$306,"&gt;="&amp;$B$5,Depletion!$K$7:$K$306,"&lt;="&amp;$B$6),SUMIFS(Depletion!$C$7:$C$306,Depletion!$L$7:$L$306,$I40,Depletion!$K$7:$K$306,"&gt;="&amp;$B$5,Depletion!$K$7:$K$306,"&lt;="&amp;$B$6,Depletion!$M$7:$M$306,$B$7)))</x:f>
      </x:c>
      <x:c r="M40" s="100" t="str">
        <x:f>IF($I40="","",IF($B$7="All",COUNTIFS(Invoices!$C$7:$C$156,$I40,Invoices!$B$7:$B$156,"&gt;="&amp;$B$5,Invoices!$B$7:$B$156,"&lt;="&amp;$B$6),COUNTIFS(Invoices!$C$7:$C$156,$I40,Invoices!$B$7:$B$156,"&gt;="&amp;$B$5,Invoices!$B$7:$B$156,"&lt;="&amp;$B$6,Invoices!$D$7:$D$156,$B$7)))</x:f>
      </x:c>
      <x:c r="N40" s="36" t="str">
        <x:f>IF($I40="","",IF($B$7="All",SUMIFS(Invoices!$Q$7:$Q$156,Invoices!$C$7:$C$156,$I40),SUMIFS(Invoices!$Q$7:$Q$156,Invoices!$C$7:$C$156,$I40,Invoices!$D$7:$D$156,$B$7)))</x:f>
      </x:c>
    </x:row>
    <x:row r="41">
      <x:c r="I41" s="30" t="str">
        <x:f>IF(Setup!$J$36="","",Setup!$J$36)</x:f>
      </x:c>
      <x:c r="J41" s="30" t="str">
        <x:f>IF($I41="","",Setup!$K$36)</x:f>
      </x:c>
      <x:c r="K41" s="36" t="str">
        <x:f>IF($I41="","",IF($B$7="All",SUMIFS(Depletion!$E$7:$E$306,Depletion!$L$7:$L$306,$I41,Depletion!$K$7:$K$306,"&gt;="&amp;$B$5,Depletion!$K$7:$K$306,"&lt;="&amp;$B$6),SUMIFS(Depletion!$E$7:$E$306,Depletion!$L$7:$L$306,$I41,Depletion!$K$7:$K$306,"&gt;="&amp;$B$5,Depletion!$K$7:$K$306,"&lt;="&amp;$B$6,Depletion!$M$7:$M$306,$B$7)))</x:f>
      </x:c>
      <x:c r="L41" s="98" t="str">
        <x:f>IF($I41="","",IF($B$7="All",SUMIFS(Depletion!$C$7:$C$306,Depletion!$L$7:$L$306,$I41,Depletion!$K$7:$K$306,"&gt;="&amp;$B$5,Depletion!$K$7:$K$306,"&lt;="&amp;$B$6),SUMIFS(Depletion!$C$7:$C$306,Depletion!$L$7:$L$306,$I41,Depletion!$K$7:$K$306,"&gt;="&amp;$B$5,Depletion!$K$7:$K$306,"&lt;="&amp;$B$6,Depletion!$M$7:$M$306,$B$7)))</x:f>
      </x:c>
      <x:c r="M41" s="100" t="str">
        <x:f>IF($I41="","",IF($B$7="All",COUNTIFS(Invoices!$C$7:$C$156,$I41,Invoices!$B$7:$B$156,"&gt;="&amp;$B$5,Invoices!$B$7:$B$156,"&lt;="&amp;$B$6),COUNTIFS(Invoices!$C$7:$C$156,$I41,Invoices!$B$7:$B$156,"&gt;="&amp;$B$5,Invoices!$B$7:$B$156,"&lt;="&amp;$B$6,Invoices!$D$7:$D$156,$B$7)))</x:f>
      </x:c>
      <x:c r="N41" s="36" t="str">
        <x:f>IF($I41="","",IF($B$7="All",SUMIFS(Invoices!$Q$7:$Q$156,Invoices!$C$7:$C$156,$I41),SUMIFS(Invoices!$Q$7:$Q$156,Invoices!$C$7:$C$156,$I41,Invoices!$D$7:$D$156,$B$7)))</x:f>
      </x:c>
    </x:row>
    <x:row r="42">
      <x:c r="I42" s="30" t="str">
        <x:f>IF(Setup!$J$37="","",Setup!$J$37)</x:f>
      </x:c>
      <x:c r="J42" s="30" t="str">
        <x:f>IF($I42="","",Setup!$K$37)</x:f>
      </x:c>
      <x:c r="K42" s="36" t="str">
        <x:f>IF($I42="","",IF($B$7="All",SUMIFS(Depletion!$E$7:$E$306,Depletion!$L$7:$L$306,$I42,Depletion!$K$7:$K$306,"&gt;="&amp;$B$5,Depletion!$K$7:$K$306,"&lt;="&amp;$B$6),SUMIFS(Depletion!$E$7:$E$306,Depletion!$L$7:$L$306,$I42,Depletion!$K$7:$K$306,"&gt;="&amp;$B$5,Depletion!$K$7:$K$306,"&lt;="&amp;$B$6,Depletion!$M$7:$M$306,$B$7)))</x:f>
      </x:c>
      <x:c r="L42" s="98" t="str">
        <x:f>IF($I42="","",IF($B$7="All",SUMIFS(Depletion!$C$7:$C$306,Depletion!$L$7:$L$306,$I42,Depletion!$K$7:$K$306,"&gt;="&amp;$B$5,Depletion!$K$7:$K$306,"&lt;="&amp;$B$6),SUMIFS(Depletion!$C$7:$C$306,Depletion!$L$7:$L$306,$I42,Depletion!$K$7:$K$306,"&gt;="&amp;$B$5,Depletion!$K$7:$K$306,"&lt;="&amp;$B$6,Depletion!$M$7:$M$306,$B$7)))</x:f>
      </x:c>
      <x:c r="M42" s="100" t="str">
        <x:f>IF($I42="","",IF($B$7="All",COUNTIFS(Invoices!$C$7:$C$156,$I42,Invoices!$B$7:$B$156,"&gt;="&amp;$B$5,Invoices!$B$7:$B$156,"&lt;="&amp;$B$6),COUNTIFS(Invoices!$C$7:$C$156,$I42,Invoices!$B$7:$B$156,"&gt;="&amp;$B$5,Invoices!$B$7:$B$156,"&lt;="&amp;$B$6,Invoices!$D$7:$D$156,$B$7)))</x:f>
      </x:c>
      <x:c r="N42" s="36" t="str">
        <x:f>IF($I42="","",IF($B$7="All",SUMIFS(Invoices!$Q$7:$Q$156,Invoices!$C$7:$C$156,$I42),SUMIFS(Invoices!$Q$7:$Q$156,Invoices!$C$7:$C$156,$I42,Invoices!$D$7:$D$156,$B$7)))</x:f>
      </x:c>
    </x:row>
    <x:row r="43">
      <x:c r="I43" s="30" t="str">
        <x:f>IF(Setup!$J$38="","",Setup!$J$38)</x:f>
      </x:c>
      <x:c r="J43" s="30" t="str">
        <x:f>IF($I43="","",Setup!$K$38)</x:f>
      </x:c>
      <x:c r="K43" s="36" t="str">
        <x:f>IF($I43="","",IF($B$7="All",SUMIFS(Depletion!$E$7:$E$306,Depletion!$L$7:$L$306,$I43,Depletion!$K$7:$K$306,"&gt;="&amp;$B$5,Depletion!$K$7:$K$306,"&lt;="&amp;$B$6),SUMIFS(Depletion!$E$7:$E$306,Depletion!$L$7:$L$306,$I43,Depletion!$K$7:$K$306,"&gt;="&amp;$B$5,Depletion!$K$7:$K$306,"&lt;="&amp;$B$6,Depletion!$M$7:$M$306,$B$7)))</x:f>
      </x:c>
      <x:c r="L43" s="98" t="str">
        <x:f>IF($I43="","",IF($B$7="All",SUMIFS(Depletion!$C$7:$C$306,Depletion!$L$7:$L$306,$I43,Depletion!$K$7:$K$306,"&gt;="&amp;$B$5,Depletion!$K$7:$K$306,"&lt;="&amp;$B$6),SUMIFS(Depletion!$C$7:$C$306,Depletion!$L$7:$L$306,$I43,Depletion!$K$7:$K$306,"&gt;="&amp;$B$5,Depletion!$K$7:$K$306,"&lt;="&amp;$B$6,Depletion!$M$7:$M$306,$B$7)))</x:f>
      </x:c>
      <x:c r="M43" s="100" t="str">
        <x:f>IF($I43="","",IF($B$7="All",COUNTIFS(Invoices!$C$7:$C$156,$I43,Invoices!$B$7:$B$156,"&gt;="&amp;$B$5,Invoices!$B$7:$B$156,"&lt;="&amp;$B$6),COUNTIFS(Invoices!$C$7:$C$156,$I43,Invoices!$B$7:$B$156,"&gt;="&amp;$B$5,Invoices!$B$7:$B$156,"&lt;="&amp;$B$6,Invoices!$D$7:$D$156,$B$7)))</x:f>
      </x:c>
      <x:c r="N43" s="36" t="str">
        <x:f>IF($I43="","",IF($B$7="All",SUMIFS(Invoices!$Q$7:$Q$156,Invoices!$C$7:$C$156,$I43),SUMIFS(Invoices!$Q$7:$Q$156,Invoices!$C$7:$C$156,$I43,Invoices!$D$7:$D$156,$B$7)))</x:f>
      </x:c>
    </x:row>
    <x:row r="44">
      <x:c r="I44" s="30" t="str">
        <x:f>IF(Setup!$J$39="","",Setup!$J$39)</x:f>
      </x:c>
      <x:c r="J44" s="30" t="str">
        <x:f>IF($I44="","",Setup!$K$39)</x:f>
      </x:c>
      <x:c r="K44" s="36" t="str">
        <x:f>IF($I44="","",IF($B$7="All",SUMIFS(Depletion!$E$7:$E$306,Depletion!$L$7:$L$306,$I44,Depletion!$K$7:$K$306,"&gt;="&amp;$B$5,Depletion!$K$7:$K$306,"&lt;="&amp;$B$6),SUMIFS(Depletion!$E$7:$E$306,Depletion!$L$7:$L$306,$I44,Depletion!$K$7:$K$306,"&gt;="&amp;$B$5,Depletion!$K$7:$K$306,"&lt;="&amp;$B$6,Depletion!$M$7:$M$306,$B$7)))</x:f>
      </x:c>
      <x:c r="L44" s="98" t="str">
        <x:f>IF($I44="","",IF($B$7="All",SUMIFS(Depletion!$C$7:$C$306,Depletion!$L$7:$L$306,$I44,Depletion!$K$7:$K$306,"&gt;="&amp;$B$5,Depletion!$K$7:$K$306,"&lt;="&amp;$B$6),SUMIFS(Depletion!$C$7:$C$306,Depletion!$L$7:$L$306,$I44,Depletion!$K$7:$K$306,"&gt;="&amp;$B$5,Depletion!$K$7:$K$306,"&lt;="&amp;$B$6,Depletion!$M$7:$M$306,$B$7)))</x:f>
      </x:c>
      <x:c r="M44" s="100" t="str">
        <x:f>IF($I44="","",IF($B$7="All",COUNTIFS(Invoices!$C$7:$C$156,$I44,Invoices!$B$7:$B$156,"&gt;="&amp;$B$5,Invoices!$B$7:$B$156,"&lt;="&amp;$B$6),COUNTIFS(Invoices!$C$7:$C$156,$I44,Invoices!$B$7:$B$156,"&gt;="&amp;$B$5,Invoices!$B$7:$B$156,"&lt;="&amp;$B$6,Invoices!$D$7:$D$156,$B$7)))</x:f>
      </x:c>
      <x:c r="N44" s="36" t="str">
        <x:f>IF($I44="","",IF($B$7="All",SUMIFS(Invoices!$Q$7:$Q$156,Invoices!$C$7:$C$156,$I44),SUMIFS(Invoices!$Q$7:$Q$156,Invoices!$C$7:$C$156,$I44,Invoices!$D$7:$D$156,$B$7)))</x:f>
      </x:c>
    </x:row>
    <x:row r="45">
      <x:c r="I45" s="30" t="str">
        <x:f>IF(Setup!$J$40="","",Setup!$J$40)</x:f>
      </x:c>
      <x:c r="J45" s="30" t="str">
        <x:f>IF($I45="","",Setup!$K$40)</x:f>
      </x:c>
      <x:c r="K45" s="36" t="str">
        <x:f>IF($I45="","",IF($B$7="All",SUMIFS(Depletion!$E$7:$E$306,Depletion!$L$7:$L$306,$I45,Depletion!$K$7:$K$306,"&gt;="&amp;$B$5,Depletion!$K$7:$K$306,"&lt;="&amp;$B$6),SUMIFS(Depletion!$E$7:$E$306,Depletion!$L$7:$L$306,$I45,Depletion!$K$7:$K$306,"&gt;="&amp;$B$5,Depletion!$K$7:$K$306,"&lt;="&amp;$B$6,Depletion!$M$7:$M$306,$B$7)))</x:f>
      </x:c>
      <x:c r="L45" s="98" t="str">
        <x:f>IF($I45="","",IF($B$7="All",SUMIFS(Depletion!$C$7:$C$306,Depletion!$L$7:$L$306,$I45,Depletion!$K$7:$K$306,"&gt;="&amp;$B$5,Depletion!$K$7:$K$306,"&lt;="&amp;$B$6),SUMIFS(Depletion!$C$7:$C$306,Depletion!$L$7:$L$306,$I45,Depletion!$K$7:$K$306,"&gt;="&amp;$B$5,Depletion!$K$7:$K$306,"&lt;="&amp;$B$6,Depletion!$M$7:$M$306,$B$7)))</x:f>
      </x:c>
      <x:c r="M45" s="100" t="str">
        <x:f>IF($I45="","",IF($B$7="All",COUNTIFS(Invoices!$C$7:$C$156,$I45,Invoices!$B$7:$B$156,"&gt;="&amp;$B$5,Invoices!$B$7:$B$156,"&lt;="&amp;$B$6),COUNTIFS(Invoices!$C$7:$C$156,$I45,Invoices!$B$7:$B$156,"&gt;="&amp;$B$5,Invoices!$B$7:$B$156,"&lt;="&amp;$B$6,Invoices!$D$7:$D$156,$B$7)))</x:f>
      </x:c>
      <x:c r="N45" s="36" t="str">
        <x:f>IF($I45="","",IF($B$7="All",SUMIFS(Invoices!$Q$7:$Q$156,Invoices!$C$7:$C$156,$I45),SUMIFS(Invoices!$Q$7:$Q$156,Invoices!$C$7:$C$156,$I45,Invoices!$D$7:$D$156,$B$7)))</x:f>
      </x:c>
    </x:row>
    <x:row r="46">
      <x:c r="I46" s="30" t="str">
        <x:f>IF(Setup!$J$41="","",Setup!$J$41)</x:f>
      </x:c>
      <x:c r="J46" s="30" t="str">
        <x:f>IF($I46="","",Setup!$K$41)</x:f>
      </x:c>
      <x:c r="K46" s="36" t="str">
        <x:f>IF($I46="","",IF($B$7="All",SUMIFS(Depletion!$E$7:$E$306,Depletion!$L$7:$L$306,$I46,Depletion!$K$7:$K$306,"&gt;="&amp;$B$5,Depletion!$K$7:$K$306,"&lt;="&amp;$B$6),SUMIFS(Depletion!$E$7:$E$306,Depletion!$L$7:$L$306,$I46,Depletion!$K$7:$K$306,"&gt;="&amp;$B$5,Depletion!$K$7:$K$306,"&lt;="&amp;$B$6,Depletion!$M$7:$M$306,$B$7)))</x:f>
      </x:c>
      <x:c r="L46" s="98" t="str">
        <x:f>IF($I46="","",IF($B$7="All",SUMIFS(Depletion!$C$7:$C$306,Depletion!$L$7:$L$306,$I46,Depletion!$K$7:$K$306,"&gt;="&amp;$B$5,Depletion!$K$7:$K$306,"&lt;="&amp;$B$6),SUMIFS(Depletion!$C$7:$C$306,Depletion!$L$7:$L$306,$I46,Depletion!$K$7:$K$306,"&gt;="&amp;$B$5,Depletion!$K$7:$K$306,"&lt;="&amp;$B$6,Depletion!$M$7:$M$306,$B$7)))</x:f>
      </x:c>
      <x:c r="M46" s="100" t="str">
        <x:f>IF($I46="","",IF($B$7="All",COUNTIFS(Invoices!$C$7:$C$156,$I46,Invoices!$B$7:$B$156,"&gt;="&amp;$B$5,Invoices!$B$7:$B$156,"&lt;="&amp;$B$6),COUNTIFS(Invoices!$C$7:$C$156,$I46,Invoices!$B$7:$B$156,"&gt;="&amp;$B$5,Invoices!$B$7:$B$156,"&lt;="&amp;$B$6,Invoices!$D$7:$D$156,$B$7)))</x:f>
      </x:c>
      <x:c r="N46" s="36" t="str">
        <x:f>IF($I46="","",IF($B$7="All",SUMIFS(Invoices!$Q$7:$Q$156,Invoices!$C$7:$C$156,$I46),SUMIFS(Invoices!$Q$7:$Q$156,Invoices!$C$7:$C$156,$I46,Invoices!$D$7:$D$156,$B$7)))</x:f>
      </x:c>
    </x:row>
    <x:row r="47">
      <x:c r="I47" s="30" t="str">
        <x:f>IF(Setup!$J$42="","",Setup!$J$42)</x:f>
      </x:c>
      <x:c r="J47" s="30" t="str">
        <x:f>IF($I47="","",Setup!$K$42)</x:f>
      </x:c>
      <x:c r="K47" s="36" t="str">
        <x:f>IF($I47="","",IF($B$7="All",SUMIFS(Depletion!$E$7:$E$306,Depletion!$L$7:$L$306,$I47,Depletion!$K$7:$K$306,"&gt;="&amp;$B$5,Depletion!$K$7:$K$306,"&lt;="&amp;$B$6),SUMIFS(Depletion!$E$7:$E$306,Depletion!$L$7:$L$306,$I47,Depletion!$K$7:$K$306,"&gt;="&amp;$B$5,Depletion!$K$7:$K$306,"&lt;="&amp;$B$6,Depletion!$M$7:$M$306,$B$7)))</x:f>
      </x:c>
      <x:c r="L47" s="98" t="str">
        <x:f>IF($I47="","",IF($B$7="All",SUMIFS(Depletion!$C$7:$C$306,Depletion!$L$7:$L$306,$I47,Depletion!$K$7:$K$306,"&gt;="&amp;$B$5,Depletion!$K$7:$K$306,"&lt;="&amp;$B$6),SUMIFS(Depletion!$C$7:$C$306,Depletion!$L$7:$L$306,$I47,Depletion!$K$7:$K$306,"&gt;="&amp;$B$5,Depletion!$K$7:$K$306,"&lt;="&amp;$B$6,Depletion!$M$7:$M$306,$B$7)))</x:f>
      </x:c>
      <x:c r="M47" s="100" t="str">
        <x:f>IF($I47="","",IF($B$7="All",COUNTIFS(Invoices!$C$7:$C$156,$I47,Invoices!$B$7:$B$156,"&gt;="&amp;$B$5,Invoices!$B$7:$B$156,"&lt;="&amp;$B$6),COUNTIFS(Invoices!$C$7:$C$156,$I47,Invoices!$B$7:$B$156,"&gt;="&amp;$B$5,Invoices!$B$7:$B$156,"&lt;="&amp;$B$6,Invoices!$D$7:$D$156,$B$7)))</x:f>
      </x:c>
      <x:c r="N47" s="36" t="str">
        <x:f>IF($I47="","",IF($B$7="All",SUMIFS(Invoices!$Q$7:$Q$156,Invoices!$C$7:$C$156,$I47),SUMIFS(Invoices!$Q$7:$Q$156,Invoices!$C$7:$C$156,$I47,Invoices!$D$7:$D$156,$B$7)))</x:f>
      </x:c>
    </x:row>
    <x:row r="48">
      <x:c r="I48" s="30" t="str">
        <x:f>IF(Setup!$J$43="","",Setup!$J$43)</x:f>
      </x:c>
      <x:c r="J48" s="30" t="str">
        <x:f>IF($I48="","",Setup!$K$43)</x:f>
      </x:c>
      <x:c r="K48" s="36" t="str">
        <x:f>IF($I48="","",IF($B$7="All",SUMIFS(Depletion!$E$7:$E$306,Depletion!$L$7:$L$306,$I48,Depletion!$K$7:$K$306,"&gt;="&amp;$B$5,Depletion!$K$7:$K$306,"&lt;="&amp;$B$6),SUMIFS(Depletion!$E$7:$E$306,Depletion!$L$7:$L$306,$I48,Depletion!$K$7:$K$306,"&gt;="&amp;$B$5,Depletion!$K$7:$K$306,"&lt;="&amp;$B$6,Depletion!$M$7:$M$306,$B$7)))</x:f>
      </x:c>
      <x:c r="L48" s="98" t="str">
        <x:f>IF($I48="","",IF($B$7="All",SUMIFS(Depletion!$C$7:$C$306,Depletion!$L$7:$L$306,$I48,Depletion!$K$7:$K$306,"&gt;="&amp;$B$5,Depletion!$K$7:$K$306,"&lt;="&amp;$B$6),SUMIFS(Depletion!$C$7:$C$306,Depletion!$L$7:$L$306,$I48,Depletion!$K$7:$K$306,"&gt;="&amp;$B$5,Depletion!$K$7:$K$306,"&lt;="&amp;$B$6,Depletion!$M$7:$M$306,$B$7)))</x:f>
      </x:c>
      <x:c r="M48" s="100" t="str">
        <x:f>IF($I48="","",IF($B$7="All",COUNTIFS(Invoices!$C$7:$C$156,$I48,Invoices!$B$7:$B$156,"&gt;="&amp;$B$5,Invoices!$B$7:$B$156,"&lt;="&amp;$B$6),COUNTIFS(Invoices!$C$7:$C$156,$I48,Invoices!$B$7:$B$156,"&gt;="&amp;$B$5,Invoices!$B$7:$B$156,"&lt;="&amp;$B$6,Invoices!$D$7:$D$156,$B$7)))</x:f>
      </x:c>
      <x:c r="N48" s="36" t="str">
        <x:f>IF($I48="","",IF($B$7="All",SUMIFS(Invoices!$Q$7:$Q$156,Invoices!$C$7:$C$156,$I48),SUMIFS(Invoices!$Q$7:$Q$156,Invoices!$C$7:$C$156,$I48,Invoices!$D$7:$D$156,$B$7)))</x:f>
      </x:c>
    </x:row>
    <x:row r="49">
      <x:c r="I49" s="30" t="str">
        <x:f>IF(Setup!$J$44="","",Setup!$J$44)</x:f>
      </x:c>
      <x:c r="J49" s="30" t="str">
        <x:f>IF($I49="","",Setup!$K$44)</x:f>
      </x:c>
      <x:c r="K49" s="36" t="str">
        <x:f>IF($I49="","",IF($B$7="All",SUMIFS(Depletion!$E$7:$E$306,Depletion!$L$7:$L$306,$I49,Depletion!$K$7:$K$306,"&gt;="&amp;$B$5,Depletion!$K$7:$K$306,"&lt;="&amp;$B$6),SUMIFS(Depletion!$E$7:$E$306,Depletion!$L$7:$L$306,$I49,Depletion!$K$7:$K$306,"&gt;="&amp;$B$5,Depletion!$K$7:$K$306,"&lt;="&amp;$B$6,Depletion!$M$7:$M$306,$B$7)))</x:f>
      </x:c>
      <x:c r="L49" s="98" t="str">
        <x:f>IF($I49="","",IF($B$7="All",SUMIFS(Depletion!$C$7:$C$306,Depletion!$L$7:$L$306,$I49,Depletion!$K$7:$K$306,"&gt;="&amp;$B$5,Depletion!$K$7:$K$306,"&lt;="&amp;$B$6),SUMIFS(Depletion!$C$7:$C$306,Depletion!$L$7:$L$306,$I49,Depletion!$K$7:$K$306,"&gt;="&amp;$B$5,Depletion!$K$7:$K$306,"&lt;="&amp;$B$6,Depletion!$M$7:$M$306,$B$7)))</x:f>
      </x:c>
      <x:c r="M49" s="100" t="str">
        <x:f>IF($I49="","",IF($B$7="All",COUNTIFS(Invoices!$C$7:$C$156,$I49,Invoices!$B$7:$B$156,"&gt;="&amp;$B$5,Invoices!$B$7:$B$156,"&lt;="&amp;$B$6),COUNTIFS(Invoices!$C$7:$C$156,$I49,Invoices!$B$7:$B$156,"&gt;="&amp;$B$5,Invoices!$B$7:$B$156,"&lt;="&amp;$B$6,Invoices!$D$7:$D$156,$B$7)))</x:f>
      </x:c>
      <x:c r="N49" s="36" t="str">
        <x:f>IF($I49="","",IF($B$7="All",SUMIFS(Invoices!$Q$7:$Q$156,Invoices!$C$7:$C$156,$I49),SUMIFS(Invoices!$Q$7:$Q$156,Invoices!$C$7:$C$156,$I49,Invoices!$D$7:$D$156,$B$7)))</x:f>
      </x:c>
    </x:row>
    <x:row r="50">
      <x:c r="I50" s="30" t="str">
        <x:f>IF(Setup!$J$45="","",Setup!$J$45)</x:f>
      </x:c>
      <x:c r="J50" s="30" t="str">
        <x:f>IF($I50="","",Setup!$K$45)</x:f>
      </x:c>
      <x:c r="K50" s="36" t="str">
        <x:f>IF($I50="","",IF($B$7="All",SUMIFS(Depletion!$E$7:$E$306,Depletion!$L$7:$L$306,$I50,Depletion!$K$7:$K$306,"&gt;="&amp;$B$5,Depletion!$K$7:$K$306,"&lt;="&amp;$B$6),SUMIFS(Depletion!$E$7:$E$306,Depletion!$L$7:$L$306,$I50,Depletion!$K$7:$K$306,"&gt;="&amp;$B$5,Depletion!$K$7:$K$306,"&lt;="&amp;$B$6,Depletion!$M$7:$M$306,$B$7)))</x:f>
      </x:c>
      <x:c r="L50" s="98" t="str">
        <x:f>IF($I50="","",IF($B$7="All",SUMIFS(Depletion!$C$7:$C$306,Depletion!$L$7:$L$306,$I50,Depletion!$K$7:$K$306,"&gt;="&amp;$B$5,Depletion!$K$7:$K$306,"&lt;="&amp;$B$6),SUMIFS(Depletion!$C$7:$C$306,Depletion!$L$7:$L$306,$I50,Depletion!$K$7:$K$306,"&gt;="&amp;$B$5,Depletion!$K$7:$K$306,"&lt;="&amp;$B$6,Depletion!$M$7:$M$306,$B$7)))</x:f>
      </x:c>
      <x:c r="M50" s="100" t="str">
        <x:f>IF($I50="","",IF($B$7="All",COUNTIFS(Invoices!$C$7:$C$156,$I50,Invoices!$B$7:$B$156,"&gt;="&amp;$B$5,Invoices!$B$7:$B$156,"&lt;="&amp;$B$6),COUNTIFS(Invoices!$C$7:$C$156,$I50,Invoices!$B$7:$B$156,"&gt;="&amp;$B$5,Invoices!$B$7:$B$156,"&lt;="&amp;$B$6,Invoices!$D$7:$D$156,$B$7)))</x:f>
      </x:c>
      <x:c r="N50" s="36" t="str">
        <x:f>IF($I50="","",IF($B$7="All",SUMIFS(Invoices!$Q$7:$Q$156,Invoices!$C$7:$C$156,$I50),SUMIFS(Invoices!$Q$7:$Q$156,Invoices!$C$7:$C$156,$I50,Invoices!$D$7:$D$156,$B$7)))</x:f>
      </x:c>
    </x:row>
    <x:row r="51">
      <x:c r="I51" s="30" t="str">
        <x:f>IF(Setup!$J$46="","",Setup!$J$46)</x:f>
      </x:c>
      <x:c r="J51" s="30" t="str">
        <x:f>IF($I51="","",Setup!$K$46)</x:f>
      </x:c>
      <x:c r="K51" s="36" t="str">
        <x:f>IF($I51="","",IF($B$7="All",SUMIFS(Depletion!$E$7:$E$306,Depletion!$L$7:$L$306,$I51,Depletion!$K$7:$K$306,"&gt;="&amp;$B$5,Depletion!$K$7:$K$306,"&lt;="&amp;$B$6),SUMIFS(Depletion!$E$7:$E$306,Depletion!$L$7:$L$306,$I51,Depletion!$K$7:$K$306,"&gt;="&amp;$B$5,Depletion!$K$7:$K$306,"&lt;="&amp;$B$6,Depletion!$M$7:$M$306,$B$7)))</x:f>
      </x:c>
      <x:c r="L51" s="98" t="str">
        <x:f>IF($I51="","",IF($B$7="All",SUMIFS(Depletion!$C$7:$C$306,Depletion!$L$7:$L$306,$I51,Depletion!$K$7:$K$306,"&gt;="&amp;$B$5,Depletion!$K$7:$K$306,"&lt;="&amp;$B$6),SUMIFS(Depletion!$C$7:$C$306,Depletion!$L$7:$L$306,$I51,Depletion!$K$7:$K$306,"&gt;="&amp;$B$5,Depletion!$K$7:$K$306,"&lt;="&amp;$B$6,Depletion!$M$7:$M$306,$B$7)))</x:f>
      </x:c>
      <x:c r="M51" s="100" t="str">
        <x:f>IF($I51="","",IF($B$7="All",COUNTIFS(Invoices!$C$7:$C$156,$I51,Invoices!$B$7:$B$156,"&gt;="&amp;$B$5,Invoices!$B$7:$B$156,"&lt;="&amp;$B$6),COUNTIFS(Invoices!$C$7:$C$156,$I51,Invoices!$B$7:$B$156,"&gt;="&amp;$B$5,Invoices!$B$7:$B$156,"&lt;="&amp;$B$6,Invoices!$D$7:$D$156,$B$7)))</x:f>
      </x:c>
      <x:c r="N51" s="36" t="str">
        <x:f>IF($I51="","",IF($B$7="All",SUMIFS(Invoices!$Q$7:$Q$156,Invoices!$C$7:$C$156,$I51),SUMIFS(Invoices!$Q$7:$Q$156,Invoices!$C$7:$C$156,$I51,Invoices!$D$7:$D$156,$B$7)))</x:f>
      </x:c>
    </x:row>
    <x:row r="52">
      <x:c r="I52" s="30" t="str">
        <x:f>IF(Setup!$J$47="","",Setup!$J$47)</x:f>
      </x:c>
      <x:c r="J52" s="30" t="str">
        <x:f>IF($I52="","",Setup!$K$47)</x:f>
      </x:c>
      <x:c r="K52" s="36" t="str">
        <x:f>IF($I52="","",IF($B$7="All",SUMIFS(Depletion!$E$7:$E$306,Depletion!$L$7:$L$306,$I52,Depletion!$K$7:$K$306,"&gt;="&amp;$B$5,Depletion!$K$7:$K$306,"&lt;="&amp;$B$6),SUMIFS(Depletion!$E$7:$E$306,Depletion!$L$7:$L$306,$I52,Depletion!$K$7:$K$306,"&gt;="&amp;$B$5,Depletion!$K$7:$K$306,"&lt;="&amp;$B$6,Depletion!$M$7:$M$306,$B$7)))</x:f>
      </x:c>
      <x:c r="L52" s="98" t="str">
        <x:f>IF($I52="","",IF($B$7="All",SUMIFS(Depletion!$C$7:$C$306,Depletion!$L$7:$L$306,$I52,Depletion!$K$7:$K$306,"&gt;="&amp;$B$5,Depletion!$K$7:$K$306,"&lt;="&amp;$B$6),SUMIFS(Depletion!$C$7:$C$306,Depletion!$L$7:$L$306,$I52,Depletion!$K$7:$K$306,"&gt;="&amp;$B$5,Depletion!$K$7:$K$306,"&lt;="&amp;$B$6,Depletion!$M$7:$M$306,$B$7)))</x:f>
      </x:c>
      <x:c r="M52" s="100" t="str">
        <x:f>IF($I52="","",IF($B$7="All",COUNTIFS(Invoices!$C$7:$C$156,$I52,Invoices!$B$7:$B$156,"&gt;="&amp;$B$5,Invoices!$B$7:$B$156,"&lt;="&amp;$B$6),COUNTIFS(Invoices!$C$7:$C$156,$I52,Invoices!$B$7:$B$156,"&gt;="&amp;$B$5,Invoices!$B$7:$B$156,"&lt;="&amp;$B$6,Invoices!$D$7:$D$156,$B$7)))</x:f>
      </x:c>
      <x:c r="N52" s="36" t="str">
        <x:f>IF($I52="","",IF($B$7="All",SUMIFS(Invoices!$Q$7:$Q$156,Invoices!$C$7:$C$156,$I52),SUMIFS(Invoices!$Q$7:$Q$156,Invoices!$C$7:$C$156,$I52,Invoices!$D$7:$D$156,$B$7)))</x:f>
      </x:c>
    </x:row>
    <x:row r="53">
      <x:c r="I53" s="30" t="str">
        <x:f>IF(Setup!$J$48="","",Setup!$J$48)</x:f>
      </x:c>
      <x:c r="J53" s="30" t="str">
        <x:f>IF($I53="","",Setup!$K$48)</x:f>
      </x:c>
      <x:c r="K53" s="36" t="str">
        <x:f>IF($I53="","",IF($B$7="All",SUMIFS(Depletion!$E$7:$E$306,Depletion!$L$7:$L$306,$I53,Depletion!$K$7:$K$306,"&gt;="&amp;$B$5,Depletion!$K$7:$K$306,"&lt;="&amp;$B$6),SUMIFS(Depletion!$E$7:$E$306,Depletion!$L$7:$L$306,$I53,Depletion!$K$7:$K$306,"&gt;="&amp;$B$5,Depletion!$K$7:$K$306,"&lt;="&amp;$B$6,Depletion!$M$7:$M$306,$B$7)))</x:f>
      </x:c>
      <x:c r="L53" s="98" t="str">
        <x:f>IF($I53="","",IF($B$7="All",SUMIFS(Depletion!$C$7:$C$306,Depletion!$L$7:$L$306,$I53,Depletion!$K$7:$K$306,"&gt;="&amp;$B$5,Depletion!$K$7:$K$306,"&lt;="&amp;$B$6),SUMIFS(Depletion!$C$7:$C$306,Depletion!$L$7:$L$306,$I53,Depletion!$K$7:$K$306,"&gt;="&amp;$B$5,Depletion!$K$7:$K$306,"&lt;="&amp;$B$6,Depletion!$M$7:$M$306,$B$7)))</x:f>
      </x:c>
      <x:c r="M53" s="100" t="str">
        <x:f>IF($I53="","",IF($B$7="All",COUNTIFS(Invoices!$C$7:$C$156,$I53,Invoices!$B$7:$B$156,"&gt;="&amp;$B$5,Invoices!$B$7:$B$156,"&lt;="&amp;$B$6),COUNTIFS(Invoices!$C$7:$C$156,$I53,Invoices!$B$7:$B$156,"&gt;="&amp;$B$5,Invoices!$B$7:$B$156,"&lt;="&amp;$B$6,Invoices!$D$7:$D$156,$B$7)))</x:f>
      </x:c>
      <x:c r="N53" s="36" t="str">
        <x:f>IF($I53="","",IF($B$7="All",SUMIFS(Invoices!$Q$7:$Q$156,Invoices!$C$7:$C$156,$I53),SUMIFS(Invoices!$Q$7:$Q$156,Invoices!$C$7:$C$156,$I53,Invoices!$D$7:$D$156,$B$7)))</x:f>
      </x:c>
    </x:row>
    <x:row r="54">
      <x:c r="I54" s="30" t="str">
        <x:f>IF(Setup!$J$49="","",Setup!$J$49)</x:f>
      </x:c>
      <x:c r="J54" s="30" t="str">
        <x:f>IF($I54="","",Setup!$K$49)</x:f>
      </x:c>
      <x:c r="K54" s="36" t="str">
        <x:f>IF($I54="","",IF($B$7="All",SUMIFS(Depletion!$E$7:$E$306,Depletion!$L$7:$L$306,$I54,Depletion!$K$7:$K$306,"&gt;="&amp;$B$5,Depletion!$K$7:$K$306,"&lt;="&amp;$B$6),SUMIFS(Depletion!$E$7:$E$306,Depletion!$L$7:$L$306,$I54,Depletion!$K$7:$K$306,"&gt;="&amp;$B$5,Depletion!$K$7:$K$306,"&lt;="&amp;$B$6,Depletion!$M$7:$M$306,$B$7)))</x:f>
      </x:c>
      <x:c r="L54" s="98" t="str">
        <x:f>IF($I54="","",IF($B$7="All",SUMIFS(Depletion!$C$7:$C$306,Depletion!$L$7:$L$306,$I54,Depletion!$K$7:$K$306,"&gt;="&amp;$B$5,Depletion!$K$7:$K$306,"&lt;="&amp;$B$6),SUMIFS(Depletion!$C$7:$C$306,Depletion!$L$7:$L$306,$I54,Depletion!$K$7:$K$306,"&gt;="&amp;$B$5,Depletion!$K$7:$K$306,"&lt;="&amp;$B$6,Depletion!$M$7:$M$306,$B$7)))</x:f>
      </x:c>
      <x:c r="M54" s="100" t="str">
        <x:f>IF($I54="","",IF($B$7="All",COUNTIFS(Invoices!$C$7:$C$156,$I54,Invoices!$B$7:$B$156,"&gt;="&amp;$B$5,Invoices!$B$7:$B$156,"&lt;="&amp;$B$6),COUNTIFS(Invoices!$C$7:$C$156,$I54,Invoices!$B$7:$B$156,"&gt;="&amp;$B$5,Invoices!$B$7:$B$156,"&lt;="&amp;$B$6,Invoices!$D$7:$D$156,$B$7)))</x:f>
      </x:c>
      <x:c r="N54" s="36" t="str">
        <x:f>IF($I54="","",IF($B$7="All",SUMIFS(Invoices!$Q$7:$Q$156,Invoices!$C$7:$C$156,$I54),SUMIFS(Invoices!$Q$7:$Q$156,Invoices!$C$7:$C$156,$I54,Invoices!$D$7:$D$156,$B$7)))</x:f>
      </x:c>
    </x:row>
    <x:row r="55">
      <x:c r="I55" s="30" t="str">
        <x:f>IF(Setup!$J$50="","",Setup!$J$50)</x:f>
      </x:c>
      <x:c r="J55" s="30" t="str">
        <x:f>IF($I55="","",Setup!$K$50)</x:f>
      </x:c>
      <x:c r="K55" s="36" t="str">
        <x:f>IF($I55="","",IF($B$7="All",SUMIFS(Depletion!$E$7:$E$306,Depletion!$L$7:$L$306,$I55,Depletion!$K$7:$K$306,"&gt;="&amp;$B$5,Depletion!$K$7:$K$306,"&lt;="&amp;$B$6),SUMIFS(Depletion!$E$7:$E$306,Depletion!$L$7:$L$306,$I55,Depletion!$K$7:$K$306,"&gt;="&amp;$B$5,Depletion!$K$7:$K$306,"&lt;="&amp;$B$6,Depletion!$M$7:$M$306,$B$7)))</x:f>
      </x:c>
      <x:c r="L55" s="98" t="str">
        <x:f>IF($I55="","",IF($B$7="All",SUMIFS(Depletion!$C$7:$C$306,Depletion!$L$7:$L$306,$I55,Depletion!$K$7:$K$306,"&gt;="&amp;$B$5,Depletion!$K$7:$K$306,"&lt;="&amp;$B$6),SUMIFS(Depletion!$C$7:$C$306,Depletion!$L$7:$L$306,$I55,Depletion!$K$7:$K$306,"&gt;="&amp;$B$5,Depletion!$K$7:$K$306,"&lt;="&amp;$B$6,Depletion!$M$7:$M$306,$B$7)))</x:f>
      </x:c>
      <x:c r="M55" s="100" t="str">
        <x:f>IF($I55="","",IF($B$7="All",COUNTIFS(Invoices!$C$7:$C$156,$I55,Invoices!$B$7:$B$156,"&gt;="&amp;$B$5,Invoices!$B$7:$B$156,"&lt;="&amp;$B$6),COUNTIFS(Invoices!$C$7:$C$156,$I55,Invoices!$B$7:$B$156,"&gt;="&amp;$B$5,Invoices!$B$7:$B$156,"&lt;="&amp;$B$6,Invoices!$D$7:$D$156,$B$7)))</x:f>
      </x:c>
      <x:c r="N55" s="36" t="str">
        <x:f>IF($I55="","",IF($B$7="All",SUMIFS(Invoices!$Q$7:$Q$156,Invoices!$C$7:$C$156,$I55),SUMIFS(Invoices!$Q$7:$Q$156,Invoices!$C$7:$C$156,$I55,Invoices!$D$7:$D$156,$B$7)))</x:f>
      </x:c>
    </x:row>
    <x:row r="56">
      <x:c r="I56" s="30" t="str">
        <x:f>IF(Setup!$J$51="","",Setup!$J$51)</x:f>
      </x:c>
      <x:c r="J56" s="30" t="str">
        <x:f>IF($I56="","",Setup!$K$51)</x:f>
      </x:c>
      <x:c r="K56" s="36" t="str">
        <x:f>IF($I56="","",IF($B$7="All",SUMIFS(Depletion!$E$7:$E$306,Depletion!$L$7:$L$306,$I56,Depletion!$K$7:$K$306,"&gt;="&amp;$B$5,Depletion!$K$7:$K$306,"&lt;="&amp;$B$6),SUMIFS(Depletion!$E$7:$E$306,Depletion!$L$7:$L$306,$I56,Depletion!$K$7:$K$306,"&gt;="&amp;$B$5,Depletion!$K$7:$K$306,"&lt;="&amp;$B$6,Depletion!$M$7:$M$306,$B$7)))</x:f>
      </x:c>
      <x:c r="L56" s="98" t="str">
        <x:f>IF($I56="","",IF($B$7="All",SUMIFS(Depletion!$C$7:$C$306,Depletion!$L$7:$L$306,$I56,Depletion!$K$7:$K$306,"&gt;="&amp;$B$5,Depletion!$K$7:$K$306,"&lt;="&amp;$B$6),SUMIFS(Depletion!$C$7:$C$306,Depletion!$L$7:$L$306,$I56,Depletion!$K$7:$K$306,"&gt;="&amp;$B$5,Depletion!$K$7:$K$306,"&lt;="&amp;$B$6,Depletion!$M$7:$M$306,$B$7)))</x:f>
      </x:c>
      <x:c r="M56" s="100" t="str">
        <x:f>IF($I56="","",IF($B$7="All",COUNTIFS(Invoices!$C$7:$C$156,$I56,Invoices!$B$7:$B$156,"&gt;="&amp;$B$5,Invoices!$B$7:$B$156,"&lt;="&amp;$B$6),COUNTIFS(Invoices!$C$7:$C$156,$I56,Invoices!$B$7:$B$156,"&gt;="&amp;$B$5,Invoices!$B$7:$B$156,"&lt;="&amp;$B$6,Invoices!$D$7:$D$156,$B$7)))</x:f>
      </x:c>
      <x:c r="N56" s="36" t="str">
        <x:f>IF($I56="","",IF($B$7="All",SUMIFS(Invoices!$Q$7:$Q$156,Invoices!$C$7:$C$156,$I56),SUMIFS(Invoices!$Q$7:$Q$156,Invoices!$C$7:$C$156,$I56,Invoices!$D$7:$D$156,$B$7)))</x:f>
      </x:c>
    </x:row>
    <x:row r="57">
      <x:c r="I57" s="30" t="str">
        <x:f>IF(Setup!$J$52="","",Setup!$J$52)</x:f>
      </x:c>
      <x:c r="J57" s="30" t="str">
        <x:f>IF($I57="","",Setup!$K$52)</x:f>
      </x:c>
      <x:c r="K57" s="36" t="str">
        <x:f>IF($I57="","",IF($B$7="All",SUMIFS(Depletion!$E$7:$E$306,Depletion!$L$7:$L$306,$I57,Depletion!$K$7:$K$306,"&gt;="&amp;$B$5,Depletion!$K$7:$K$306,"&lt;="&amp;$B$6),SUMIFS(Depletion!$E$7:$E$306,Depletion!$L$7:$L$306,$I57,Depletion!$K$7:$K$306,"&gt;="&amp;$B$5,Depletion!$K$7:$K$306,"&lt;="&amp;$B$6,Depletion!$M$7:$M$306,$B$7)))</x:f>
      </x:c>
      <x:c r="L57" s="98" t="str">
        <x:f>IF($I57="","",IF($B$7="All",SUMIFS(Depletion!$C$7:$C$306,Depletion!$L$7:$L$306,$I57,Depletion!$K$7:$K$306,"&gt;="&amp;$B$5,Depletion!$K$7:$K$306,"&lt;="&amp;$B$6),SUMIFS(Depletion!$C$7:$C$306,Depletion!$L$7:$L$306,$I57,Depletion!$K$7:$K$306,"&gt;="&amp;$B$5,Depletion!$K$7:$K$306,"&lt;="&amp;$B$6,Depletion!$M$7:$M$306,$B$7)))</x:f>
      </x:c>
      <x:c r="M57" s="100" t="str">
        <x:f>IF($I57="","",IF($B$7="All",COUNTIFS(Invoices!$C$7:$C$156,$I57,Invoices!$B$7:$B$156,"&gt;="&amp;$B$5,Invoices!$B$7:$B$156,"&lt;="&amp;$B$6),COUNTIFS(Invoices!$C$7:$C$156,$I57,Invoices!$B$7:$B$156,"&gt;="&amp;$B$5,Invoices!$B$7:$B$156,"&lt;="&amp;$B$6,Invoices!$D$7:$D$156,$B$7)))</x:f>
      </x:c>
      <x:c r="N57" s="36" t="str">
        <x:f>IF($I57="","",IF($B$7="All",SUMIFS(Invoices!$Q$7:$Q$156,Invoices!$C$7:$C$156,$I57),SUMIFS(Invoices!$Q$7:$Q$156,Invoices!$C$7:$C$156,$I57,Invoices!$D$7:$D$156,$B$7)))</x:f>
      </x:c>
    </x:row>
    <x:row r="58">
      <x:c r="I58" s="30" t="str">
        <x:f>IF(Setup!$J$53="","",Setup!$J$53)</x:f>
      </x:c>
      <x:c r="J58" s="30" t="str">
        <x:f>IF($I58="","",Setup!$K$53)</x:f>
      </x:c>
      <x:c r="K58" s="36" t="str">
        <x:f>IF($I58="","",IF($B$7="All",SUMIFS(Depletion!$E$7:$E$306,Depletion!$L$7:$L$306,$I58,Depletion!$K$7:$K$306,"&gt;="&amp;$B$5,Depletion!$K$7:$K$306,"&lt;="&amp;$B$6),SUMIFS(Depletion!$E$7:$E$306,Depletion!$L$7:$L$306,$I58,Depletion!$K$7:$K$306,"&gt;="&amp;$B$5,Depletion!$K$7:$K$306,"&lt;="&amp;$B$6,Depletion!$M$7:$M$306,$B$7)))</x:f>
      </x:c>
      <x:c r="L58" s="98" t="str">
        <x:f>IF($I58="","",IF($B$7="All",SUMIFS(Depletion!$C$7:$C$306,Depletion!$L$7:$L$306,$I58,Depletion!$K$7:$K$306,"&gt;="&amp;$B$5,Depletion!$K$7:$K$306,"&lt;="&amp;$B$6),SUMIFS(Depletion!$C$7:$C$306,Depletion!$L$7:$L$306,$I58,Depletion!$K$7:$K$306,"&gt;="&amp;$B$5,Depletion!$K$7:$K$306,"&lt;="&amp;$B$6,Depletion!$M$7:$M$306,$B$7)))</x:f>
      </x:c>
      <x:c r="M58" s="100" t="str">
        <x:f>IF($I58="","",IF($B$7="All",COUNTIFS(Invoices!$C$7:$C$156,$I58,Invoices!$B$7:$B$156,"&gt;="&amp;$B$5,Invoices!$B$7:$B$156,"&lt;="&amp;$B$6),COUNTIFS(Invoices!$C$7:$C$156,$I58,Invoices!$B$7:$B$156,"&gt;="&amp;$B$5,Invoices!$B$7:$B$156,"&lt;="&amp;$B$6,Invoices!$D$7:$D$156,$B$7)))</x:f>
      </x:c>
      <x:c r="N58" s="36" t="str">
        <x:f>IF($I58="","",IF($B$7="All",SUMIFS(Invoices!$Q$7:$Q$156,Invoices!$C$7:$C$156,$I58),SUMIFS(Invoices!$Q$7:$Q$156,Invoices!$C$7:$C$156,$I58,Invoices!$D$7:$D$156,$B$7)))</x:f>
      </x:c>
    </x:row>
    <x:row r="59">
      <x:c r="I59" s="30" t="str">
        <x:f>IF(Setup!$J$54="","",Setup!$J$54)</x:f>
      </x:c>
      <x:c r="J59" s="30" t="str">
        <x:f>IF($I59="","",Setup!$K$54)</x:f>
      </x:c>
      <x:c r="K59" s="36" t="str">
        <x:f>IF($I59="","",IF($B$7="All",SUMIFS(Depletion!$E$7:$E$306,Depletion!$L$7:$L$306,$I59,Depletion!$K$7:$K$306,"&gt;="&amp;$B$5,Depletion!$K$7:$K$306,"&lt;="&amp;$B$6),SUMIFS(Depletion!$E$7:$E$306,Depletion!$L$7:$L$306,$I59,Depletion!$K$7:$K$306,"&gt;="&amp;$B$5,Depletion!$K$7:$K$306,"&lt;="&amp;$B$6,Depletion!$M$7:$M$306,$B$7)))</x:f>
      </x:c>
      <x:c r="L59" s="98" t="str">
        <x:f>IF($I59="","",IF($B$7="All",SUMIFS(Depletion!$C$7:$C$306,Depletion!$L$7:$L$306,$I59,Depletion!$K$7:$K$306,"&gt;="&amp;$B$5,Depletion!$K$7:$K$306,"&lt;="&amp;$B$6),SUMIFS(Depletion!$C$7:$C$306,Depletion!$L$7:$L$306,$I59,Depletion!$K$7:$K$306,"&gt;="&amp;$B$5,Depletion!$K$7:$K$306,"&lt;="&amp;$B$6,Depletion!$M$7:$M$306,$B$7)))</x:f>
      </x:c>
      <x:c r="M59" s="100" t="str">
        <x:f>IF($I59="","",IF($B$7="All",COUNTIFS(Invoices!$C$7:$C$156,$I59,Invoices!$B$7:$B$156,"&gt;="&amp;$B$5,Invoices!$B$7:$B$156,"&lt;="&amp;$B$6),COUNTIFS(Invoices!$C$7:$C$156,$I59,Invoices!$B$7:$B$156,"&gt;="&amp;$B$5,Invoices!$B$7:$B$156,"&lt;="&amp;$B$6,Invoices!$D$7:$D$156,$B$7)))</x:f>
      </x:c>
      <x:c r="N59" s="36" t="str">
        <x:f>IF($I59="","",IF($B$7="All",SUMIFS(Invoices!$Q$7:$Q$156,Invoices!$C$7:$C$156,$I59),SUMIFS(Invoices!$Q$7:$Q$156,Invoices!$C$7:$C$156,$I59,Invoices!$D$7:$D$156,$B$7)))</x:f>
      </x:c>
    </x:row>
    <x:row r="60">
      <x:c r="I60" s="30" t="str">
        <x:f>IF(Setup!$J$55="","",Setup!$J$55)</x:f>
      </x:c>
      <x:c r="J60" s="30" t="str">
        <x:f>IF($I60="","",Setup!$K$55)</x:f>
      </x:c>
      <x:c r="K60" s="36" t="str">
        <x:f>IF($I60="","",IF($B$7="All",SUMIFS(Depletion!$E$7:$E$306,Depletion!$L$7:$L$306,$I60,Depletion!$K$7:$K$306,"&gt;="&amp;$B$5,Depletion!$K$7:$K$306,"&lt;="&amp;$B$6),SUMIFS(Depletion!$E$7:$E$306,Depletion!$L$7:$L$306,$I60,Depletion!$K$7:$K$306,"&gt;="&amp;$B$5,Depletion!$K$7:$K$306,"&lt;="&amp;$B$6,Depletion!$M$7:$M$306,$B$7)))</x:f>
      </x:c>
      <x:c r="L60" s="98" t="str">
        <x:f>IF($I60="","",IF($B$7="All",SUMIFS(Depletion!$C$7:$C$306,Depletion!$L$7:$L$306,$I60,Depletion!$K$7:$K$306,"&gt;="&amp;$B$5,Depletion!$K$7:$K$306,"&lt;="&amp;$B$6),SUMIFS(Depletion!$C$7:$C$306,Depletion!$L$7:$L$306,$I60,Depletion!$K$7:$K$306,"&gt;="&amp;$B$5,Depletion!$K$7:$K$306,"&lt;="&amp;$B$6,Depletion!$M$7:$M$306,$B$7)))</x:f>
      </x:c>
      <x:c r="M60" s="100" t="str">
        <x:f>IF($I60="","",IF($B$7="All",COUNTIFS(Invoices!$C$7:$C$156,$I60,Invoices!$B$7:$B$156,"&gt;="&amp;$B$5,Invoices!$B$7:$B$156,"&lt;="&amp;$B$6),COUNTIFS(Invoices!$C$7:$C$156,$I60,Invoices!$B$7:$B$156,"&gt;="&amp;$B$5,Invoices!$B$7:$B$156,"&lt;="&amp;$B$6,Invoices!$D$7:$D$156,$B$7)))</x:f>
      </x:c>
      <x:c r="N60" s="36" t="str">
        <x:f>IF($I60="","",IF($B$7="All",SUMIFS(Invoices!$Q$7:$Q$156,Invoices!$C$7:$C$156,$I60),SUMIFS(Invoices!$Q$7:$Q$156,Invoices!$C$7:$C$156,$I60,Invoices!$D$7:$D$156,$B$7)))</x:f>
      </x:c>
    </x:row>
    <x:row r="61">
      <x:c r="I61" s="30" t="str">
        <x:f>IF(Setup!$J$56="","",Setup!$J$56)</x:f>
      </x:c>
      <x:c r="J61" s="30" t="str">
        <x:f>IF($I61="","",Setup!$K$56)</x:f>
      </x:c>
      <x:c r="K61" s="36" t="str">
        <x:f>IF($I61="","",IF($B$7="All",SUMIFS(Depletion!$E$7:$E$306,Depletion!$L$7:$L$306,$I61,Depletion!$K$7:$K$306,"&gt;="&amp;$B$5,Depletion!$K$7:$K$306,"&lt;="&amp;$B$6),SUMIFS(Depletion!$E$7:$E$306,Depletion!$L$7:$L$306,$I61,Depletion!$K$7:$K$306,"&gt;="&amp;$B$5,Depletion!$K$7:$K$306,"&lt;="&amp;$B$6,Depletion!$M$7:$M$306,$B$7)))</x:f>
      </x:c>
      <x:c r="L61" s="98" t="str">
        <x:f>IF($I61="","",IF($B$7="All",SUMIFS(Depletion!$C$7:$C$306,Depletion!$L$7:$L$306,$I61,Depletion!$K$7:$K$306,"&gt;="&amp;$B$5,Depletion!$K$7:$K$306,"&lt;="&amp;$B$6),SUMIFS(Depletion!$C$7:$C$306,Depletion!$L$7:$L$306,$I61,Depletion!$K$7:$K$306,"&gt;="&amp;$B$5,Depletion!$K$7:$K$306,"&lt;="&amp;$B$6,Depletion!$M$7:$M$306,$B$7)))</x:f>
      </x:c>
      <x:c r="M61" s="100" t="str">
        <x:f>IF($I61="","",IF($B$7="All",COUNTIFS(Invoices!$C$7:$C$156,$I61,Invoices!$B$7:$B$156,"&gt;="&amp;$B$5,Invoices!$B$7:$B$156,"&lt;="&amp;$B$6),COUNTIFS(Invoices!$C$7:$C$156,$I61,Invoices!$B$7:$B$156,"&gt;="&amp;$B$5,Invoices!$B$7:$B$156,"&lt;="&amp;$B$6,Invoices!$D$7:$D$156,$B$7)))</x:f>
      </x:c>
      <x:c r="N61" s="36" t="str">
        <x:f>IF($I61="","",IF($B$7="All",SUMIFS(Invoices!$Q$7:$Q$156,Invoices!$C$7:$C$156,$I61),SUMIFS(Invoices!$Q$7:$Q$156,Invoices!$C$7:$C$156,$I61,Invoices!$D$7:$D$156,$B$7)))</x:f>
      </x:c>
    </x:row>
  </x:sheetData>
  <x:mergeCells>
    <x:mergeCell ref="A1:N1"/>
    <x:mergeCell ref="A2:N2"/>
    <x:mergeCell ref="A4:D4"/>
    <x:mergeCell ref="A10:G10"/>
    <x:mergeCell ref="I10:N10"/>
  </x:mergeCells>
  <x:dataValidations count="1">
    <x:dataValidation type="list" sqref="B7">
      <x:formula1>"All,Roman,Jess,Timmy,Tito"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3831621895b74c75"/>
    <x:tablePart xmlns:r="http://schemas.openxmlformats.org/officeDocument/2006/relationships" r:id="R72971769f9114d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0" hidden="0" customWidth="1"/>
    <x:col min="4" max="4" width="16" hidden="0" customWidth="1"/>
    <x:col min="5" max="5" width="16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" t="str">
        <x:v>LAGOM NATURALS — COMMISSION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0" t="str">
        <x:v>One consolidated rep view. Base commission uses paid invoices; ambiguous legacy bonus logic is never auto-paid.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6" t="str">
        <x:v>FILTERS</x:v>
      </x:c>
      <x:c r="B4" s="16"/>
      <x:c r="C4" s="16"/>
      <x:c r="D4" s="16"/>
      <x:c r="E4" s="16" t="str">
        <x:v>CONFIGURED RATES</x:v>
      </x:c>
      <x:c r="F4" s="16"/>
      <x:c r="G4" s="16"/>
      <x:c r="H4" s="16"/>
    </x:row>
    <x:row r="5">
      <x:c r="A5" s="93" t="str">
        <x:v>Sales Rep</x:v>
      </x:c>
      <x:c r="B5" s="46" t="str">
        <x:v>Tito</x:v>
      </x:c>
      <x:c r="E5" s="30" t="str">
        <x:v>New Rate</x:v>
      </x:c>
      <x:c r="F5" s="38" t="n">
        <x:f>IFERROR(VLOOKUP($B$5,Setup!$O$7:$U$10,2,FALSE),0)</x:f>
        <x:v>0</x:v>
      </x:c>
    </x:row>
    <x:row r="6">
      <x:c r="A6" s="93" t="str">
        <x:v>Period Start</x:v>
      </x:c>
      <x:c r="B6" s="56" t="n">
        <x:v>46054</x:v>
      </x:c>
      <x:c r="E6" s="30" t="str">
        <x:v>Reorder Rate</x:v>
      </x:c>
      <x:c r="F6" s="38" t="n">
        <x:f>IFERROR(VLOOKUP($B$5,Setup!$O$7:$U$10,3,FALSE),0)</x:f>
        <x:v>0</x:v>
      </x:c>
    </x:row>
    <x:row r="7">
      <x:c r="A7" s="93" t="str">
        <x:v>Period End</x:v>
      </x:c>
      <x:c r="B7" s="56" t="n">
        <x:v>46081</x:v>
      </x:c>
      <x:c r="E7" s="30" t="str">
        <x:v>Mileage Rate</x:v>
      </x:c>
      <x:c r="F7" s="40" t="n">
        <x:f>IFERROR(VLOOKUP($B$5,Setup!$O$7:$U$10,4,FALSE),0)</x:f>
        <x:v>0</x:v>
      </x:c>
    </x:row>
    <x:row r="8">
      <x:c r="E8" s="30" t="str">
        <x:v>Bonus Rule</x:v>
      </x:c>
      <x:c r="F8" s="30" t="str">
        <x:f>IFERROR(VLOOKUP($B$5,Setup!$O$7:$U$10,6,FALSE),"")</x:f>
        <x:v>None in export</x:v>
      </x:c>
    </x:row>
    <x:row r="10">
      <x:c r="A10" s="16" t="str">
        <x:v>PERIOD SUMMARY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>
      <x:c r="A11" s="73" t="str">
        <x:v>Paid Revenue</x:v>
      </x:c>
      <x:c r="B11" s="73"/>
      <x:c r="C11" s="73"/>
      <x:c r="D11" s="73" t="str">
        <x:v>New Paid Revenue</x:v>
      </x:c>
      <x:c r="E11" s="73"/>
      <x:c r="F11" s="73"/>
      <x:c r="G11" s="73" t="str">
        <x:v>Reorder Paid Revenue</x:v>
      </x:c>
      <x:c r="H11" s="73"/>
      <x:c r="I11" s="73"/>
      <x:c r="J11" s="73" t="str">
        <x:v>Base Commission</x:v>
      </x:c>
      <x:c r="K11" s="73"/>
      <x:c r="L11" s="73"/>
    </x:row>
    <x:row r="12">
      <x:c r="A12" s="84" t="n">
        <x:f>SUMIFS(Invoices!$L$7:$L$156,Invoices!$D$7:$D$156,$B$5,Invoices!$V$7:$V$156,"&gt;="&amp;$B$6,Invoices!$V$7:$V$156,"&lt;="&amp;$B$7)</x:f>
        <x:v>583.92</x:v>
      </x:c>
      <x:c r="B12" s="80"/>
      <x:c r="C12" s="80"/>
      <x:c r="D12" s="84" t="n">
        <x:f>SUMIFS(Invoices!$L$7:$L$156,Invoices!$D$7:$D$156,$B$5,Invoices!$E$7:$E$156,"New",Invoices!$V$7:$V$156,"&gt;="&amp;$B$6,Invoices!$V$7:$V$156,"&lt;="&amp;$B$7)</x:f>
        <x:v>0</x:v>
      </x:c>
      <x:c r="E12" s="80"/>
      <x:c r="F12" s="80"/>
      <x:c r="G12" s="84" t="n">
        <x:f>SUMIFS(Invoices!$L$7:$L$156,Invoices!$D$7:$D$156,$B$5,Invoices!$E$7:$E$156,"Reorder",Invoices!$V$7:$V$156,"&gt;="&amp;$B$6,Invoices!$V$7:$V$156,"&lt;="&amp;$B$7)</x:f>
        <x:v>583.92</x:v>
      </x:c>
      <x:c r="H12" s="80"/>
      <x:c r="I12" s="80"/>
      <x:c r="J12" s="84" t="n">
        <x:f>D12*$F$5+G12*$F$6</x:f>
        <x:v>0</x:v>
      </x:c>
      <x:c r="K12" s="80"/>
      <x:c r="L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</x:row>
    <x:row r="17">
      <x:c r="A17" s="16" t="str">
        <x:v>CONTROL CHECKS</x:v>
      </x:c>
      <x:c r="B17" s="16"/>
      <x:c r="C17" s="16"/>
      <x:c r="D17" s="16"/>
      <x:c r="E17" s="16"/>
      <x:c r="F17" s="16"/>
    </x:row>
    <x:row r="18">
      <x:c r="A18" s="22" t="str">
        <x:v>Metric</x:v>
      </x:c>
      <x:c r="B18" s="22" t="str">
        <x:v>Value</x:v>
      </x:c>
    </x:row>
    <x:row r="19">
      <x:c r="A19" s="30" t="str">
        <x:v>Cases invoiced in period</x:v>
      </x:c>
      <x:c r="B19" s="98" t="n">
        <x:f>SUMIFS(Invoices!$M$7:$M$156,Invoices!$D$7:$D$156,$B$5,Invoices!$B$7:$B$156,"&gt;="&amp;$B$6,Invoices!$B$7:$B$156,"&lt;="&amp;$B$7)</x:f>
        <x:v>8</x:v>
      </x:c>
    </x:row>
    <x:row r="20">
      <x:c r="A20" s="30" t="str">
        <x:v>Open AR tied to rep</x:v>
      </x:c>
      <x:c r="B20" s="36" t="n">
        <x:f>SUMIFS(Invoices!$Q$7:$Q$156,Invoices!$D$7:$D$156,$B$5)</x:f>
        <x:v>0</x:v>
      </x:c>
    </x:row>
    <x:row r="21">
      <x:c r="A21" s="30" t="str">
        <x:v>Bonus threshold</x:v>
      </x:c>
      <x:c r="B21" s="36" t="str">
        <x:f>IFERROR(VLOOKUP($B$5,Setup!$O$7:$U$10,5,FALSE),"")</x:f>
      </x:c>
    </x:row>
    <x:row r="22">
      <x:c r="A22" s="30" t="str">
        <x:v>Bonus handling</x:v>
      </x:c>
      <x:c r="B22" s="42" t="str">
        <x:f>IF(B21="","Not applicable",IF(A12&gt;=B21,"REVIEW — threshold reached; bonus excluded pending confirmation","Threshold not reached"))</x:f>
        <x:v>Not applicable</x:v>
      </x:c>
    </x:row>
  </x:sheetData>
  <x:mergeCells>
    <x:mergeCell ref="A1:L1"/>
    <x:mergeCell ref="A2:L2"/>
    <x:mergeCell ref="A4:D4"/>
    <x:mergeCell ref="E4:H4"/>
    <x:mergeCell ref="A10:L10"/>
    <x:mergeCell ref="A11:C11"/>
    <x:mergeCell ref="A12:C14"/>
    <x:mergeCell ref="D11:F11"/>
    <x:mergeCell ref="D12:F14"/>
    <x:mergeCell ref="G11:I11"/>
    <x:mergeCell ref="G12:I14"/>
    <x:mergeCell ref="J11:L11"/>
    <x:mergeCell ref="J12:L14"/>
    <x:mergeCell ref="A17:F17"/>
  </x:mergeCells>
  <x:conditionalFormatting sqref="B22:B22">
    <x:cfRule type="expression" dxfId="9" priority="1">
      <x:formula>LEFT(B22,6)="REVIEW"</x:formula>
    </x:cfRule>
  </x:conditionalFormatting>
  <x:dataValidations count="1">
    <x:dataValidation type="list" sqref="B5">
      <x:formula1>Setup!$O$7:$O$10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5" hidden="0" customWidth="1"/>
    <x:col min="4" max="4" width="13" hidden="0" customWidth="1"/>
    <x:col min="5" max="5" width="18" hidden="0" customWidth="1"/>
    <x:col min="6" max="6" width="12" hidden="0" customWidth="1"/>
    <x:col min="7" max="7" width="13" hidden="0" customWidth="1"/>
    <x:col min="8" max="8" width="9" hidden="0" customWidth="1"/>
    <x:col min="10" max="10" width="32" hidden="0" customWidth="1"/>
    <x:col min="11" max="11" width="15" hidden="0" customWidth="1"/>
    <x:col min="12" max="12" width="18" hidden="0" customWidth="1"/>
    <x:col min="13" max="13" width="9" hidden="0" customWidth="1"/>
    <x:col min="15" max="15" width="13" hidden="0" customWidth="1"/>
    <x:col min="16" max="16" width="11" hidden="0" customWidth="1"/>
    <x:col min="17" max="17" width="12" hidden="0" customWidth="1"/>
    <x:col min="18" max="18" width="12" hidden="0" customWidth="1"/>
    <x:col min="19" max="19" width="15" hidden="0" customWidth="1"/>
    <x:col min="20" max="20" width="44" hidden="0" customWidth="1"/>
    <x:col min="21" max="21" width="9" hidden="0" customWidth="1"/>
    <x:col min="23" max="23" width="16" hidden="0" customWidth="1"/>
    <x:col min="26" max="26" width="18" hidden="0" customWidth="1"/>
    <x:col min="27" max="27" width="8" hidden="0" customWidth="1"/>
    <x:col min="29" max="29" width="22" hidden="0" customWidth="1"/>
    <x:col min="30" max="30" width="13" hidden="0" customWidth="1"/>
    <x:col min="31" max="31" width="38" hidden="0" customWidth="1"/>
    <x:col min="32" max="32" width="40" hidden="0" customWidth="1"/>
    <x:col min="33" max="33" width="14" hidden="0" customWidth="1"/>
  </x:cols>
  <x:sheetData>
    <x:row r="1" ht="30" customHeight="1">
      <x:c r="A1" s="4" t="str">
        <x:v>LAGOM NATURALS — DEPLETION WORKBOOK SETUP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</x:row>
    <x:row r="2" ht="22" customHeight="1">
      <x:c r="A2" s="10" t="str">
        <x:v>Controlled master data. Extend products, accounts, reps, and terms here; operating sheets consume these values.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</x:row>
    <x:row r="4">
      <x:c r="A4" s="16" t="str">
        <x:v>PRODUCT MASTER — source: legacy Lookup sheet</x:v>
      </x:c>
      <x:c r="B4" s="16"/>
      <x:c r="C4" s="16"/>
      <x:c r="D4" s="16"/>
      <x:c r="E4" s="16"/>
      <x:c r="F4" s="16"/>
      <x:c r="G4" s="16"/>
      <x:c r="H4" s="16"/>
      <x:c r="J4" s="16" t="str">
        <x:v>ACCOUNT MASTER — minimal workbook key only</x:v>
      </x:c>
      <x:c r="K4" s="16"/>
      <x:c r="L4" s="16"/>
      <x:c r="M4" s="16"/>
      <x:c r="O4" s="16" t="str">
        <x:v>REP / COMMISSION CONFIGURATION — source: legacy rep sheets</x:v>
      </x:c>
      <x:c r="P4" s="16"/>
      <x:c r="Q4" s="16"/>
      <x:c r="R4" s="16"/>
      <x:c r="S4" s="16"/>
      <x:c r="T4" s="16"/>
      <x:c r="U4" s="16"/>
      <x:c r="W4" s="16" t="str">
        <x:v>ACCOUNT TYPES</x:v>
      </x:c>
      <x:c r="Z4" s="16" t="str">
        <x:v>PAYMENT TERMS</x:v>
      </x:c>
      <x:c r="AA4" s="16"/>
      <x:c r="AC4" s="16" t="str">
        <x:v>SOURCE / SAFETY NOTES</x:v>
      </x:c>
      <x:c r="AD4" s="16"/>
      <x:c r="AE4" s="16"/>
      <x:c r="AF4" s="16"/>
      <x:c r="AG4" s="16"/>
    </x:row>
    <x:row r="6">
      <x:c r="A6" s="22" t="str">
        <x:v>Product</x:v>
      </x:c>
      <x:c r="B6" s="22" t="str">
        <x:v>SKU</x:v>
      </x:c>
      <x:c r="C6" s="22" t="str">
        <x:v>Description</x:v>
      </x:c>
      <x:c r="D6" s="22" t="str">
        <x:v>Category</x:v>
      </x:c>
      <x:c r="E6" s="22" t="str">
        <x:v>Product Line</x:v>
      </x:c>
      <x:c r="F6" s="22" t="str">
        <x:v>COGS/Case</x:v>
      </x:c>
      <x:c r="G6" s="22" t="str">
        <x:v>Cost/Unit Ref</x:v>
      </x:c>
      <x:c r="H6" s="22" t="str">
        <x:v>Active</x:v>
      </x:c>
      <x:c r="J6" s="22" t="str">
        <x:v>Account</x:v>
      </x:c>
      <x:c r="K6" s="22" t="str">
        <x:v>City</x:v>
      </x:c>
      <x:c r="L6" s="22" t="str">
        <x:v>Channel</x:v>
      </x:c>
      <x:c r="M6" s="22" t="str">
        <x:v>Active</x:v>
      </x:c>
      <x:c r="O6" s="22" t="str">
        <x:v>Rep</x:v>
      </x:c>
      <x:c r="P6" s="22" t="str">
        <x:v>New Rate</x:v>
      </x:c>
      <x:c r="Q6" s="22" t="str">
        <x:v>Reorder Rate</x:v>
      </x:c>
      <x:c r="R6" s="22" t="str">
        <x:v>Mileage Rate</x:v>
      </x:c>
      <x:c r="S6" s="22" t="str">
        <x:v>Bonus Threshold</x:v>
      </x:c>
      <x:c r="T6" s="22" t="str">
        <x:v>Bonus Rule / Status</x:v>
      </x:c>
      <x:c r="U6" s="22" t="str">
        <x:v>Active</x:v>
      </x:c>
      <x:c r="W6" s="22" t="str">
        <x:v>Account Type</x:v>
      </x:c>
      <x:c r="Z6" s="22" t="str">
        <x:v>Term</x:v>
      </x:c>
      <x:c r="AA6" s="22" t="str">
        <x:v>Days</x:v>
      </x:c>
      <x:c r="AC6" s="22" t="str">
        <x:v>Rule</x:v>
      </x:c>
      <x:c r="AD6" s="22" t="str">
        <x:v>Status</x:v>
      </x:c>
      <x:c r="AE6" s="22" t="str">
        <x:v>Reason</x:v>
      </x:c>
      <x:c r="AF6" s="22" t="str">
        <x:v>Action</x:v>
      </x:c>
      <x:c r="AG6" s="22" t="str">
        <x:v>Owner</x:v>
      </x:c>
    </x:row>
    <x:row r="7">
      <x:c r="A7" s="30" t="str">
        <x:v>Lagom - 24K Lemonade</x:v>
      </x:c>
      <x:c r="B7" s="100" t="str">
        <x:v>860012530502</x:v>
      </x:c>
      <x:c r="C7" s="30" t="str">
        <x:v>24 can case - 12 oz cans</x:v>
      </x:c>
      <x:c r="D7" s="30" t="str">
        <x:v>Seltzer</x:v>
      </x:c>
      <x:c r="E7" s="30" t="str">
        <x:v>Seltzer</x:v>
      </x:c>
      <x:c r="F7" s="36" t="n">
        <x:v>72</x:v>
      </x:c>
      <x:c r="G7" s="36" t="n">
        <x:v>3</x:v>
      </x:c>
      <x:c r="H7" s="31" t="b">
        <x:v>1</x:v>
      </x:c>
      <x:c r="J7" s="30" t="str">
        <x:v>Wayzata Smoke Shop &amp; Vape</x:v>
      </x:c>
      <x:c r="K7" s="30" t="str">
        <x:v>Wayzata</x:v>
      </x:c>
      <x:c r="L7" s="30" t="str">
        <x:v>Liquor Store</x:v>
      </x:c>
      <x:c r="M7" s="31" t="b">
        <x:v>1</x:v>
      </x:c>
      <x:c r="O7" s="30" t="str">
        <x:v>Roman</x:v>
      </x:c>
      <x:c r="P7" s="38" t="n">
        <x:v>0.2</x:v>
      </x:c>
      <x:c r="Q7" s="38" t="n">
        <x:v>0.1</x:v>
      </x:c>
      <x:c r="R7" s="40" t="n">
        <x:v>0.55</x:v>
      </x:c>
      <x:c r="S7" s="36"/>
      <x:c r="T7" s="30" t="str">
        <x:v>None in export</x:v>
      </x:c>
      <x:c r="U7" s="31" t="b">
        <x:v>1</x:v>
      </x:c>
      <x:c r="W7" s="30" t="str">
        <x:v>New</x:v>
      </x:c>
      <x:c r="Z7" s="30" t="str">
        <x:v>Due on receipt</x:v>
      </x:c>
      <x:c r="AA7" s="30" t="n">
        <x:v>0</x:v>
      </x:c>
      <x:c r="AC7" s="42" t="str">
        <x:v>Banking credentials</x:v>
      </x:c>
      <x:c r="AD7" s="42" t="str">
        <x:v>Excluded</x:v>
      </x:c>
      <x:c r="AE7" s="42" t="str">
        <x:v>Legacy Invoice Generator contains remittance routing/account data.</x:v>
      </x:c>
      <x:c r="AF7" s="42" t="str">
        <x:v>Keep credentials outside Git-tracked workbook artifacts.</x:v>
      </x:c>
      <x:c r="AG7" s="42" t="str">
        <x:v>Finance</x:v>
      </x:c>
    </x:row>
    <x:row r="8">
      <x:c r="A8" s="30" t="str">
        <x:v>Lagom - Strawberry Lime Fusion</x:v>
      </x:c>
      <x:c r="B8" s="100" t="str">
        <x:v>860012530540</x:v>
      </x:c>
      <x:c r="C8" s="30" t="str">
        <x:v>24 can case - 12 oz cans</x:v>
      </x:c>
      <x:c r="D8" s="30" t="str">
        <x:v>Seltzer</x:v>
      </x:c>
      <x:c r="E8" s="30" t="str">
        <x:v>Seltzer</x:v>
      </x:c>
      <x:c r="F8" s="36" t="n">
        <x:v>72</x:v>
      </x:c>
      <x:c r="G8" s="36" t="n">
        <x:v>3</x:v>
      </x:c>
      <x:c r="H8" s="31" t="b">
        <x:v>1</x:v>
      </x:c>
      <x:c r="J8" s="30" t="str">
        <x:v>Long Lake Orono Smoke Shop</x:v>
      </x:c>
      <x:c r="K8" s="30" t="str">
        <x:v>Long Lake</x:v>
      </x:c>
      <x:c r="L8" s="30" t="str">
        <x:v>Liquor Store</x:v>
      </x:c>
      <x:c r="M8" s="31" t="b">
        <x:v>1</x:v>
      </x:c>
      <x:c r="O8" s="30" t="str">
        <x:v>Jess</x:v>
      </x:c>
      <x:c r="P8" s="38" t="n">
        <x:v>0.12</x:v>
      </x:c>
      <x:c r="Q8" s="38" t="n">
        <x:v>0.05</x:v>
      </x:c>
      <x:c r="R8" s="40" t="n">
        <x:v>0</x:v>
      </x:c>
      <x:c r="S8" s="36" t="n">
        <x:v>10000</x:v>
      </x:c>
      <x:c r="T8" s="30" t="str">
        <x:v>Legacy sheet notes a 3% bonus over $10k; excluded pending confirmation.</x:v>
      </x:c>
      <x:c r="U8" s="31" t="b">
        <x:v>1</x:v>
      </x:c>
      <x:c r="W8" s="30" t="str">
        <x:v>Reorder</x:v>
      </x:c>
      <x:c r="Z8" s="30"/>
      <x:c r="AA8" s="30"/>
      <x:c r="AC8" s="42" t="str">
        <x:v>Jess bonus</x:v>
      </x:c>
      <x:c r="AD8" s="42" t="str">
        <x:v>Review</x:v>
      </x:c>
      <x:c r="AE8" s="42" t="str">
        <x:v>CSV shows a $10,000 threshold and 3% note but not an auditable formula.</x:v>
      </x:c>
      <x:c r="AF8" s="42" t="str">
        <x:v>Confirm semantics before enabling bonus math.</x:v>
      </x:c>
      <x:c r="AG8" s="42" t="str">
        <x:v>Ownership</x:v>
      </x:c>
    </x:row>
    <x:row r="9">
      <x:c r="A9" s="30" t="str">
        <x:v>Lagom - Blackberry Breeze</x:v>
      </x:c>
      <x:c r="B9" s="100" t="str">
        <x:v>860012530564</x:v>
      </x:c>
      <x:c r="C9" s="30" t="str">
        <x:v>24 can case - 12 oz cans</x:v>
      </x:c>
      <x:c r="D9" s="30" t="str">
        <x:v>Seltzer</x:v>
      </x:c>
      <x:c r="E9" s="30" t="str">
        <x:v>Seltzer</x:v>
      </x:c>
      <x:c r="F9" s="36" t="n">
        <x:v>72</x:v>
      </x:c>
      <x:c r="G9" s="36" t="n">
        <x:v>3</x:v>
      </x:c>
      <x:c r="H9" s="31" t="b">
        <x:v>1</x:v>
      </x:c>
      <x:c r="J9" s="30"/>
      <x:c r="K9" s="30"/>
      <x:c r="L9" s="30"/>
      <x:c r="M9" s="30"/>
      <x:c r="O9" s="30" t="str">
        <x:v>Timmy</x:v>
      </x:c>
      <x:c r="P9" s="38" t="n">
        <x:v>0</x:v>
      </x:c>
      <x:c r="Q9" s="38" t="n">
        <x:v>0</x:v>
      </x:c>
      <x:c r="R9" s="40" t="n">
        <x:v>0</x:v>
      </x:c>
      <x:c r="S9" s="36"/>
      <x:c r="T9" s="30" t="str">
        <x:v>None in export</x:v>
      </x:c>
      <x:c r="U9" s="31" t="b">
        <x:v>1</x:v>
      </x:c>
      <x:c r="Z9" s="30"/>
      <x:c r="AA9" s="30"/>
      <x:c r="AC9" s="42" t="str">
        <x:v>1099 tax estimator</x:v>
      </x:c>
      <x:c r="AD9" s="42" t="str">
        <x:v>Removed</x:v>
      </x:c>
      <x:c r="AE9" s="42" t="str">
        <x:v>Individual tax estimation is outside depletion/AR purpose.</x:v>
      </x:c>
      <x:c r="AF9" s="42" t="str">
        <x:v>Use tax/accounting workflow.</x:v>
      </x:c>
      <x:c r="AG9" s="42" t="str">
        <x:v>Rep</x:v>
      </x:c>
    </x:row>
    <x:row r="10">
      <x:c r="A10" s="30" t="str">
        <x:v>Lagom - Watermelon Refresher</x:v>
      </x:c>
      <x:c r="B10" s="100" t="str">
        <x:v>860012530526</x:v>
      </x:c>
      <x:c r="C10" s="30" t="str">
        <x:v>24 can case - 12 oz cans</x:v>
      </x:c>
      <x:c r="D10" s="30" t="str">
        <x:v>Seltzer</x:v>
      </x:c>
      <x:c r="E10" s="30" t="str">
        <x:v>Seltzer</x:v>
      </x:c>
      <x:c r="F10" s="36" t="n">
        <x:v>72</x:v>
      </x:c>
      <x:c r="G10" s="36" t="n">
        <x:v>3</x:v>
      </x:c>
      <x:c r="H10" s="31" t="b">
        <x:v>1</x:v>
      </x:c>
      <x:c r="J10" s="30"/>
      <x:c r="K10" s="30"/>
      <x:c r="L10" s="30"/>
      <x:c r="M10" s="30"/>
      <x:c r="O10" s="30" t="str">
        <x:v>Tito</x:v>
      </x:c>
      <x:c r="P10" s="38" t="n">
        <x:v>0</x:v>
      </x:c>
      <x:c r="Q10" s="38" t="n">
        <x:v>0</x:v>
      </x:c>
      <x:c r="R10" s="40" t="n">
        <x:v>0</x:v>
      </x:c>
      <x:c r="S10" s="36"/>
      <x:c r="T10" s="30" t="str">
        <x:v>None in export</x:v>
      </x:c>
      <x:c r="U10" s="31" t="b">
        <x:v>1</x:v>
      </x:c>
      <x:c r="Z10" s="30"/>
      <x:c r="AA10" s="30"/>
      <x:c r="AC10" s="42" t="str">
        <x:v>CRM dependency</x:v>
      </x:c>
      <x:c r="AD10" s="42" t="str">
        <x:v>None</x:v>
      </x:c>
      <x:c r="AE10" s="42" t="str">
        <x:v>Workbook remains independently operable.</x:v>
      </x:c>
      <x:c r="AF10" s="42" t="str">
        <x:v>Any future sync should be optional/read-only first.</x:v>
      </x:c>
      <x:c r="AG10" s="42" t="str">
        <x:v>Engineering</x:v>
      </x:c>
    </x:row>
    <x:row r="11">
      <x:c r="A11" s="30" t="str">
        <x:v>Lagom - Variety Pack</x:v>
      </x:c>
      <x:c r="B11" s="100" t="str">
        <x:v>860012530588</x:v>
      </x:c>
      <x:c r="C11" s="30" t="str">
        <x:v>24 can case - 12 oz cans</x:v>
      </x:c>
      <x:c r="D11" s="30" t="str">
        <x:v>Seltzer</x:v>
      </x:c>
      <x:c r="E11" s="30" t="str">
        <x:v>Seltzer</x:v>
      </x:c>
      <x:c r="F11" s="36" t="n">
        <x:v>72</x:v>
      </x:c>
      <x:c r="G11" s="36" t="n">
        <x:v>3</x:v>
      </x:c>
      <x:c r="H11" s="31" t="b">
        <x:v>1</x:v>
      </x:c>
      <x:c r="J11" s="30"/>
      <x:c r="K11" s="30"/>
      <x:c r="L11" s="30"/>
      <x:c r="M11" s="30"/>
      <x:c r="Z11" s="30"/>
      <x:c r="AA11" s="30"/>
      <x:c r="AC11" s="42" t="str">
        <x:v>Invoice print</x:v>
      </x:c>
      <x:c r="AD11" s="42" t="str">
        <x:v>Deferred</x:v>
      </x:c>
      <x:c r="AE11" s="42" t="str">
        <x:v>Not needed for core depletion v2 and can expose sensitive remittance data.</x:v>
      </x:c>
      <x:c r="AF11" s="42" t="str">
        <x:v>Add only after ownership confirms requirement.</x:v>
      </x:c>
      <x:c r="AG11" s="42" t="str">
        <x:v>Finance</x:v>
      </x:c>
    </x:row>
    <x:row r="12">
      <x:c r="A12" s="30" t="str">
        <x:v>Midnight Drift - Blueberry Yum Yum</x:v>
      </x:c>
      <x:c r="B12" s="100" t="str">
        <x:v>792671159896</x:v>
      </x:c>
      <x:c r="C12" s="30" t="str">
        <x:v>Case of 10</x:v>
      </x:c>
      <x:c r="D12" s="30" t="str">
        <x:v>Gummy</x:v>
      </x:c>
      <x:c r="E12" s="30" t="str">
        <x:v>Midnight Drift</x:v>
      </x:c>
      <x:c r="F12" s="36" t="n">
        <x:v>80</x:v>
      </x:c>
      <x:c r="G12" s="36" t="n">
        <x:v>8</x:v>
      </x:c>
      <x:c r="H12" s="31" t="b">
        <x:v>1</x:v>
      </x:c>
      <x:c r="J12" s="30"/>
      <x:c r="K12" s="30"/>
      <x:c r="L12" s="30"/>
      <x:c r="M12" s="30"/>
      <x:c r="Z12" s="30"/>
      <x:c r="AA12" s="30"/>
      <x:c r="AC12" s="42" t="str">
        <x:v>Legacy date serial 46064</x:v>
      </x:c>
      <x:c r="AD12" s="42" t="str">
        <x:v>Preserved</x:v>
      </x:c>
      <x:c r="AE12" s="42" t="str">
        <x:v>Excel 1900 date system resolves to 2026-02-11.</x:v>
      </x:c>
      <x:c r="AF12" s="42" t="str">
        <x:v>Confirm historical date before full migration.</x:v>
      </x:c>
      <x:c r="AG12" s="42" t="str">
        <x:v>Ownership</x:v>
      </x:c>
    </x:row>
    <x:row r="13">
      <x:c r="A13" s="30" t="str">
        <x:v>Midnight Drift - Strawberry</x:v>
      </x:c>
      <x:c r="B13" s="100" t="str">
        <x:v>792671159872</x:v>
      </x:c>
      <x:c r="C13" s="30" t="str">
        <x:v>Case of 10</x:v>
      </x:c>
      <x:c r="D13" s="30" t="str">
        <x:v>Gummy</x:v>
      </x:c>
      <x:c r="E13" s="30" t="str">
        <x:v>Midnight Drift</x:v>
      </x:c>
      <x:c r="F13" s="36" t="n">
        <x:v>80</x:v>
      </x:c>
      <x:c r="G13" s="36" t="n">
        <x:v>8</x:v>
      </x:c>
      <x:c r="H13" s="31" t="b">
        <x:v>1</x:v>
      </x:c>
      <x:c r="J13" s="30"/>
      <x:c r="K13" s="30"/>
      <x:c r="L13" s="30"/>
      <x:c r="M13" s="30"/>
      <x:c r="Z13" s="30"/>
      <x:c r="AA13" s="30"/>
    </x:row>
    <x:row r="14">
      <x:c r="A14" s="30" t="str">
        <x:v>Midnight Drift - Pink Lemonade</x:v>
      </x:c>
      <x:c r="B14" s="100" t="str">
        <x:v>792671159902</x:v>
      </x:c>
      <x:c r="C14" s="30" t="str">
        <x:v>Case of 10</x:v>
      </x:c>
      <x:c r="D14" s="30" t="str">
        <x:v>Gummy</x:v>
      </x:c>
      <x:c r="E14" s="30" t="str">
        <x:v>Midnight Drift</x:v>
      </x:c>
      <x:c r="F14" s="36" t="n">
        <x:v>80</x:v>
      </x:c>
      <x:c r="G14" s="36" t="n">
        <x:v>8</x:v>
      </x:c>
      <x:c r="H14" s="31" t="b">
        <x:v>1</x:v>
      </x:c>
      <x:c r="J14" s="30"/>
      <x:c r="K14" s="30"/>
      <x:c r="L14" s="30"/>
      <x:c r="M14" s="30"/>
      <x:c r="Z14" s="30"/>
      <x:c r="AA14" s="30"/>
    </x:row>
    <x:row r="15">
      <x:c r="A15" s="30" t="str">
        <x:v>Midnight Drift - Peach</x:v>
      </x:c>
      <x:c r="B15" s="100" t="str">
        <x:v>792671159889</x:v>
      </x:c>
      <x:c r="C15" s="30" t="str">
        <x:v>Case of 10</x:v>
      </x:c>
      <x:c r="D15" s="30" t="str">
        <x:v>Gummy</x:v>
      </x:c>
      <x:c r="E15" s="30" t="str">
        <x:v>Midnight Drift</x:v>
      </x:c>
      <x:c r="F15" s="36" t="n">
        <x:v>80</x:v>
      </x:c>
      <x:c r="G15" s="36" t="n">
        <x:v>8</x:v>
      </x:c>
      <x:c r="H15" s="31" t="b">
        <x:v>1</x:v>
      </x:c>
      <x:c r="J15" s="30"/>
      <x:c r="K15" s="30"/>
      <x:c r="L15" s="30"/>
      <x:c r="M15" s="30"/>
      <x:c r="Z15" s="30"/>
      <x:c r="AA15" s="30"/>
    </x:row>
    <x:row r="16">
      <x:c r="A16" s="30" t="str">
        <x:v>Organic Line - Blue Razz</x:v>
      </x:c>
      <x:c r="B16" s="100" t="str">
        <x:v>860012530533</x:v>
      </x:c>
      <x:c r="C16" s="30" t="str">
        <x:v>Case of 10</x:v>
      </x:c>
      <x:c r="D16" s="30" t="str">
        <x:v>Gummy</x:v>
      </x:c>
      <x:c r="E16" s="30" t="str">
        <x:v>Organic Line</x:v>
      </x:c>
      <x:c r="F16" s="36" t="n">
        <x:v>81</x:v>
      </x:c>
      <x:c r="G16" s="36" t="n">
        <x:v>8.1</x:v>
      </x:c>
      <x:c r="H16" s="31" t="b">
        <x:v>1</x:v>
      </x:c>
      <x:c r="J16" s="30"/>
      <x:c r="K16" s="30"/>
      <x:c r="L16" s="30"/>
      <x:c r="M16" s="30"/>
      <x:c r="Z16" s="30"/>
      <x:c r="AA16" s="30"/>
    </x:row>
    <x:row r="17">
      <x:c r="A17" s="30" t="str">
        <x:v>Organic Line - Berry Melon Bliss</x:v>
      </x:c>
      <x:c r="B17" s="100" t="str">
        <x:v>860012530557</x:v>
      </x:c>
      <x:c r="C17" s="30" t="str">
        <x:v>Case of 10</x:v>
      </x:c>
      <x:c r="D17" s="30" t="str">
        <x:v>Gummy</x:v>
      </x:c>
      <x:c r="E17" s="30" t="str">
        <x:v>Organic Line</x:v>
      </x:c>
      <x:c r="F17" s="36" t="n">
        <x:v>81</x:v>
      </x:c>
      <x:c r="G17" s="36" t="n">
        <x:v>8.1</x:v>
      </x:c>
      <x:c r="H17" s="31" t="b">
        <x:v>1</x:v>
      </x:c>
      <x:c r="J17" s="30"/>
      <x:c r="K17" s="30"/>
      <x:c r="L17" s="30"/>
      <x:c r="M17" s="30"/>
      <x:c r="Z17" s="30"/>
      <x:c r="AA17" s="30"/>
    </x:row>
    <x:row r="18">
      <x:c r="A18" s="30" t="str">
        <x:v>Organic Line - Cherry Bliss</x:v>
      </x:c>
      <x:c r="B18" s="100" t="str">
        <x:v>860012530571</x:v>
      </x:c>
      <x:c r="C18" s="30" t="str">
        <x:v>Case of 10</x:v>
      </x:c>
      <x:c r="D18" s="30" t="str">
        <x:v>Gummy</x:v>
      </x:c>
      <x:c r="E18" s="30" t="str">
        <x:v>Organic Line</x:v>
      </x:c>
      <x:c r="F18" s="36" t="n">
        <x:v>81</x:v>
      </x:c>
      <x:c r="G18" s="36" t="n">
        <x:v>8.1</x:v>
      </x:c>
      <x:c r="H18" s="31" t="b">
        <x:v>1</x:v>
      </x:c>
      <x:c r="J18" s="30"/>
      <x:c r="K18" s="30"/>
      <x:c r="L18" s="30"/>
      <x:c r="M18" s="30"/>
      <x:c r="Z18" s="30"/>
      <x:c r="AA18" s="30"/>
    </x:row>
    <x:row r="19">
      <x:c r="A19" s="30" t="str">
        <x:v>Organic Line - Push Pop</x:v>
      </x:c>
      <x:c r="B19" s="100" t="str">
        <x:v>860012530595</x:v>
      </x:c>
      <x:c r="C19" s="30" t="str">
        <x:v>Case of 10</x:v>
      </x:c>
      <x:c r="D19" s="30" t="str">
        <x:v>Gummy</x:v>
      </x:c>
      <x:c r="E19" s="30" t="str">
        <x:v>Organic Line</x:v>
      </x:c>
      <x:c r="F19" s="36" t="n">
        <x:v>81</x:v>
      </x:c>
      <x:c r="G19" s="36" t="n">
        <x:v>8</x:v>
      </x:c>
      <x:c r="H19" s="31" t="b">
        <x:v>1</x:v>
      </x:c>
      <x:c r="J19" s="30"/>
      <x:c r="K19" s="30"/>
      <x:c r="L19" s="30"/>
      <x:c r="M19" s="30"/>
      <x:c r="Z19" s="30"/>
      <x:c r="AA19" s="30"/>
    </x:row>
    <x:row r="20">
      <x:c r="A20" s="30" t="str">
        <x:v>The Drip - Blueberry Yum Yum</x:v>
      </x:c>
      <x:c r="B20" s="100" t="str">
        <x:v>792671159919</x:v>
      </x:c>
      <x:c r="C20" s="30" t="str">
        <x:v>Case of 10</x:v>
      </x:c>
      <x:c r="D20" s="30" t="str">
        <x:v>Gummy</x:v>
      </x:c>
      <x:c r="E20" s="30" t="str">
        <x:v>The Drip</x:v>
      </x:c>
      <x:c r="F20" s="36" t="n">
        <x:v>70</x:v>
      </x:c>
      <x:c r="G20" s="36" t="n">
        <x:v>7</x:v>
      </x:c>
      <x:c r="H20" s="31" t="b">
        <x:v>1</x:v>
      </x:c>
      <x:c r="J20" s="30"/>
      <x:c r="K20" s="30"/>
      <x:c r="L20" s="30"/>
      <x:c r="M20" s="30"/>
      <x:c r="Z20" s="30"/>
      <x:c r="AA20" s="30"/>
    </x:row>
    <x:row r="21">
      <x:c r="A21" s="30" t="str">
        <x:v>The Drip - Push Pop</x:v>
      </x:c>
      <x:c r="B21" s="100" t="str">
        <x:v>792671159926</x:v>
      </x:c>
      <x:c r="C21" s="30" t="str">
        <x:v>Case of 10</x:v>
      </x:c>
      <x:c r="D21" s="30" t="str">
        <x:v>Gummy</x:v>
      </x:c>
      <x:c r="E21" s="30" t="str">
        <x:v>The Drip</x:v>
      </x:c>
      <x:c r="F21" s="36" t="n">
        <x:v>70</x:v>
      </x:c>
      <x:c r="G21" s="36" t="n">
        <x:v>7</x:v>
      </x:c>
      <x:c r="H21" s="31" t="b">
        <x:v>1</x:v>
      </x:c>
      <x:c r="J21" s="30"/>
      <x:c r="K21" s="30"/>
      <x:c r="L21" s="30"/>
      <x:c r="M21" s="30"/>
    </x:row>
    <x:row r="22">
      <x:c r="A22" s="30" t="str">
        <x:v>The Drip - Green Apple</x:v>
      </x:c>
      <x:c r="B22" s="100" t="str">
        <x:v>792671159933</x:v>
      </x:c>
      <x:c r="C22" s="30" t="str">
        <x:v>Case of 10</x:v>
      </x:c>
      <x:c r="D22" s="30" t="str">
        <x:v>Gummy</x:v>
      </x:c>
      <x:c r="E22" s="30" t="str">
        <x:v>The Drip</x:v>
      </x:c>
      <x:c r="F22" s="36" t="n">
        <x:v>70</x:v>
      </x:c>
      <x:c r="G22" s="36" t="n">
        <x:v>7</x:v>
      </x:c>
      <x:c r="H22" s="31" t="b">
        <x:v>1</x:v>
      </x:c>
      <x:c r="J22" s="30"/>
      <x:c r="K22" s="30"/>
      <x:c r="L22" s="30"/>
      <x:c r="M22" s="30"/>
    </x:row>
    <x:row r="23">
      <x:c r="A23" s="30" t="str">
        <x:v>The Drip - Strawberry Banana</x:v>
      </x:c>
      <x:c r="B23" s="100" t="str">
        <x:v>792671159940</x:v>
      </x:c>
      <x:c r="C23" s="30" t="str">
        <x:v>Case of 10</x:v>
      </x:c>
      <x:c r="D23" s="30" t="str">
        <x:v>Gummy</x:v>
      </x:c>
      <x:c r="E23" s="30" t="str">
        <x:v>The Drip</x:v>
      </x:c>
      <x:c r="F23" s="36" t="n">
        <x:v>70</x:v>
      </x:c>
      <x:c r="G23" s="36" t="n">
        <x:v>7</x:v>
      </x:c>
      <x:c r="H23" s="31" t="b">
        <x:v>1</x:v>
      </x:c>
      <x:c r="J23" s="30"/>
      <x:c r="K23" s="30"/>
      <x:c r="L23" s="30"/>
      <x:c r="M23" s="30"/>
    </x:row>
    <x:row r="24">
      <x:c r="J24" s="30"/>
      <x:c r="K24" s="30"/>
      <x:c r="L24" s="30"/>
      <x:c r="M24" s="30"/>
    </x:row>
    <x:row r="25">
      <x:c r="J25" s="30"/>
      <x:c r="K25" s="30"/>
      <x:c r="L25" s="30"/>
      <x:c r="M25" s="30"/>
    </x:row>
    <x:row r="26">
      <x:c r="J26" s="30"/>
      <x:c r="K26" s="30"/>
      <x:c r="L26" s="30"/>
      <x:c r="M26" s="30"/>
    </x:row>
    <x:row r="27">
      <x:c r="J27" s="30"/>
      <x:c r="K27" s="30"/>
      <x:c r="L27" s="30"/>
      <x:c r="M27" s="30"/>
    </x:row>
    <x:row r="28">
      <x:c r="J28" s="30"/>
      <x:c r="K28" s="30"/>
      <x:c r="L28" s="30"/>
      <x:c r="M28" s="30"/>
    </x:row>
    <x:row r="29">
      <x:c r="J29" s="30"/>
      <x:c r="K29" s="30"/>
      <x:c r="L29" s="30"/>
      <x:c r="M29" s="30"/>
    </x:row>
    <x:row r="30">
      <x:c r="J30" s="30"/>
      <x:c r="K30" s="30"/>
      <x:c r="L30" s="30"/>
      <x:c r="M30" s="30"/>
    </x:row>
    <x:row r="31">
      <x:c r="J31" s="30"/>
      <x:c r="K31" s="30"/>
      <x:c r="L31" s="30"/>
      <x:c r="M31" s="30"/>
    </x:row>
    <x:row r="32">
      <x:c r="J32" s="30"/>
      <x:c r="K32" s="30"/>
      <x:c r="L32" s="30"/>
      <x:c r="M32" s="30"/>
    </x:row>
    <x:row r="33">
      <x:c r="J33" s="30"/>
      <x:c r="K33" s="30"/>
      <x:c r="L33" s="30"/>
      <x:c r="M33" s="30"/>
    </x:row>
    <x:row r="34">
      <x:c r="J34" s="30"/>
      <x:c r="K34" s="30"/>
      <x:c r="L34" s="30"/>
      <x:c r="M34" s="30"/>
    </x:row>
    <x:row r="35">
      <x:c r="J35" s="30"/>
      <x:c r="K35" s="30"/>
      <x:c r="L35" s="30"/>
      <x:c r="M35" s="30"/>
    </x:row>
    <x:row r="36">
      <x:c r="J36" s="30"/>
      <x:c r="K36" s="30"/>
      <x:c r="L36" s="30"/>
      <x:c r="M36" s="30"/>
    </x:row>
    <x:row r="37">
      <x:c r="J37" s="30"/>
      <x:c r="K37" s="30"/>
      <x:c r="L37" s="30"/>
      <x:c r="M37" s="30"/>
    </x:row>
    <x:row r="38">
      <x:c r="J38" s="30"/>
      <x:c r="K38" s="30"/>
      <x:c r="L38" s="30"/>
      <x:c r="M38" s="30"/>
    </x:row>
    <x:row r="39">
      <x:c r="J39" s="30"/>
      <x:c r="K39" s="30"/>
      <x:c r="L39" s="30"/>
      <x:c r="M39" s="30"/>
    </x:row>
    <x:row r="40">
      <x:c r="J40" s="30"/>
      <x:c r="K40" s="30"/>
      <x:c r="L40" s="30"/>
      <x:c r="M40" s="30"/>
    </x:row>
    <x:row r="41">
      <x:c r="J41" s="30"/>
      <x:c r="K41" s="30"/>
      <x:c r="L41" s="30"/>
      <x:c r="M41" s="30"/>
    </x:row>
    <x:row r="42">
      <x:c r="J42" s="30"/>
      <x:c r="K42" s="30"/>
      <x:c r="L42" s="30"/>
      <x:c r="M42" s="30"/>
    </x:row>
    <x:row r="43">
      <x:c r="J43" s="30"/>
      <x:c r="K43" s="30"/>
      <x:c r="L43" s="30"/>
      <x:c r="M43" s="30"/>
    </x:row>
    <x:row r="44">
      <x:c r="J44" s="30"/>
      <x:c r="K44" s="30"/>
      <x:c r="L44" s="30"/>
      <x:c r="M44" s="30"/>
    </x:row>
    <x:row r="45">
      <x:c r="J45" s="30"/>
      <x:c r="K45" s="30"/>
      <x:c r="L45" s="30"/>
      <x:c r="M45" s="30"/>
    </x:row>
    <x:row r="46">
      <x:c r="J46" s="30"/>
      <x:c r="K46" s="30"/>
      <x:c r="L46" s="30"/>
      <x:c r="M46" s="30"/>
    </x:row>
    <x:row r="47">
      <x:c r="J47" s="30"/>
      <x:c r="K47" s="30"/>
      <x:c r="L47" s="30"/>
      <x:c r="M47" s="30"/>
    </x:row>
    <x:row r="48">
      <x:c r="J48" s="30"/>
      <x:c r="K48" s="30"/>
      <x:c r="L48" s="30"/>
      <x:c r="M48" s="30"/>
    </x:row>
    <x:row r="49">
      <x:c r="J49" s="30"/>
      <x:c r="K49" s="30"/>
      <x:c r="L49" s="30"/>
      <x:c r="M49" s="30"/>
    </x:row>
    <x:row r="50">
      <x:c r="J50" s="30"/>
      <x:c r="K50" s="30"/>
      <x:c r="L50" s="30"/>
      <x:c r="M50" s="30"/>
    </x:row>
    <x:row r="51">
      <x:c r="J51" s="30"/>
      <x:c r="K51" s="30"/>
      <x:c r="L51" s="30"/>
      <x:c r="M51" s="30"/>
    </x:row>
    <x:row r="52">
      <x:c r="J52" s="30"/>
      <x:c r="K52" s="30"/>
      <x:c r="L52" s="30"/>
      <x:c r="M52" s="30"/>
    </x:row>
    <x:row r="53">
      <x:c r="J53" s="30"/>
      <x:c r="K53" s="30"/>
      <x:c r="L53" s="30"/>
      <x:c r="M53" s="30"/>
    </x:row>
    <x:row r="54">
      <x:c r="J54" s="30"/>
      <x:c r="K54" s="30"/>
      <x:c r="L54" s="30"/>
      <x:c r="M54" s="30"/>
    </x:row>
    <x:row r="55">
      <x:c r="J55" s="30"/>
      <x:c r="K55" s="30"/>
      <x:c r="L55" s="30"/>
      <x:c r="M55" s="30"/>
    </x:row>
    <x:row r="56">
      <x:c r="J56" s="30"/>
      <x:c r="K56" s="30"/>
      <x:c r="L56" s="30"/>
      <x:c r="M56" s="30"/>
    </x:row>
  </x:sheetData>
  <x:mergeCells>
    <x:mergeCell ref="A1:AG1"/>
    <x:mergeCell ref="A2:AG2"/>
    <x:mergeCell ref="A4:H4"/>
    <x:mergeCell ref="J4:M4"/>
    <x:mergeCell ref="O4:U4"/>
    <x:mergeCell ref="Z4:AA4"/>
    <x:mergeCell ref="AC4:AG4"/>
  </x:mergeCells>
  <x:pageMargins left="0.7" right="0.7" top="0.75" bottom="0.75" header="0.3" footer="0.3"/>
  <x:tableParts count="5">
    <x:tablePart xmlns:r="http://schemas.openxmlformats.org/officeDocument/2006/relationships" r:id="R4190a5fefc314ae4"/>
    <x:tablePart xmlns:r="http://schemas.openxmlformats.org/officeDocument/2006/relationships" r:id="R9f45bbfbaf23414e"/>
    <x:tablePart xmlns:r="http://schemas.openxmlformats.org/officeDocument/2006/relationships" r:id="R04d93a3e14d34e92"/>
    <x:tablePart xmlns:r="http://schemas.openxmlformats.org/officeDocument/2006/relationships" r:id="R5b79ed84a6d540ad"/>
    <x:tablePart xmlns:r="http://schemas.openxmlformats.org/officeDocument/2006/relationships" r:id="Rbcb43e4fc451464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46" hidden="0" customWidth="1"/>
    <x:col min="4" max="4" width="46" hidden="0" customWidth="1"/>
  </x:cols>
  <x:sheetData>
    <x:row r="1" ht="30" customHeight="1">
      <x:c r="A1" s="4" t="str">
        <x:v>LAGOM NATURALS — WORKBOOK GUIDE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10" t="str">
        <x:v>Operating instructions, system boundaries, and data-safety controls for Depletion Workbook v2.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6" t="str">
        <x:v>OPERATING WORKFLOW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6">
      <x:c r="A6" s="22" t="str">
        <x:v>Step</x:v>
      </x:c>
      <x:c r="B6" s="22" t="str">
        <x:v>Where</x:v>
      </x:c>
      <x:c r="C6" s="22" t="str">
        <x:v>Action</x:v>
      </x:c>
      <x:c r="D6" s="22" t="str">
        <x:v>System behavior</x:v>
      </x:c>
    </x:row>
    <x:row r="7">
      <x:c r="A7" s="42" t="str">
        <x:v>1</x:v>
      </x:c>
      <x:c r="B7" s="42" t="str">
        <x:v>Setup</x:v>
      </x:c>
      <x:c r="C7" s="42" t="str">
        <x:v>Maintain products, minimal account keys, reps, and payment terms.</x:v>
      </x:c>
      <x:c r="D7" s="42" t="str">
        <x:v>Keeps dropdowns and calculations controlled.</x:v>
      </x:c>
    </x:row>
    <x:row r="8">
      <x:c r="A8" s="42" t="str">
        <x:v>2</x:v>
      </x:c>
      <x:c r="B8" s="42" t="str">
        <x:v>Invoices</x:v>
      </x:c>
      <x:c r="C8" s="42" t="str">
        <x:v>Create one invoice row with invoice/account/payment inputs.</x:v>
      </x:c>
      <x:c r="D8" s="42" t="str">
        <x:v>City/channel, totals, AR state, margin, and QA derive.</x:v>
      </x:c>
    </x:row>
    <x:row r="9">
      <x:c r="A9" s="42" t="str">
        <x:v>3</x:v>
      </x:c>
      <x:c r="B9" s="42" t="str">
        <x:v>Depletion</x:v>
      </x:c>
      <x:c r="C9" s="42" t="str">
        <x:v>Add one row per invoice/product; enter cases and sale price.</x:v>
      </x:c>
      <x:c r="D9" s="42" t="str">
        <x:v>SKU, product line, COGS, revenue, profit, and invoice context derive.</x:v>
      </x:c>
    </x:row>
    <x:row r="10">
      <x:c r="A10" s="42" t="str">
        <x:v>4</x:v>
      </x:c>
      <x:c r="B10" s="42" t="str">
        <x:v>AR</x:v>
      </x:c>
      <x:c r="C10" s="42" t="str">
        <x:v>Review balances and aging.</x:v>
      </x:c>
      <x:c r="D10" s="42" t="str">
        <x:v>Read-only/derived; change payment information on Invoices.</x:v>
      </x:c>
    </x:row>
    <x:row r="11">
      <x:c r="A11" s="42" t="str">
        <x:v>5</x:v>
      </x:c>
      <x:c r="B11" s="42" t="str">
        <x:v>Reports</x:v>
      </x:c>
      <x:c r="C11" s="42" t="str">
        <x:v>Choose period and rep.</x:v>
      </x:c>
      <x:c r="D11" s="42" t="str">
        <x:v>Product/account reporting reads the same ledger.</x:v>
      </x:c>
    </x:row>
    <x:row r="12">
      <x:c r="A12" s="42" t="str">
        <x:v>6</x:v>
      </x:c>
      <x:c r="B12" s="42" t="str">
        <x:v>Commissions</x:v>
      </x:c>
      <x:c r="C12" s="42" t="str">
        <x:v>Choose rep and pay period.</x:v>
      </x:c>
      <x:c r="D12" s="42" t="str">
        <x:v>Only paid invoices with a payment date become commission eligible.</x:v>
      </x:c>
    </x:row>
    <x:row r="15">
      <x:c r="A15" s="16" t="str">
        <x:v>OWNERSHIP BOUNDARY</x:v>
      </x:c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7">
      <x:c r="A17" s="22" t="str">
        <x:v>Data / workflow</x:v>
      </x:c>
      <x:c r="B17" s="22" t="str">
        <x:v>System of record</x:v>
      </x:c>
      <x:c r="C17" s="22" t="str">
        <x:v>Workbook role</x:v>
      </x:c>
      <x:c r="D17" s="22" t="str">
        <x:v>CRM role</x:v>
      </x:c>
    </x:row>
    <x:row r="18">
      <x:c r="A18" s="42" t="str">
        <x:v>Prospects / pipeline</x:v>
      </x:c>
      <x:c r="B18" s="42" t="str">
        <x:v>CRM</x:v>
      </x:c>
      <x:c r="C18" s="42" t="str">
        <x:v>None</x:v>
      </x:c>
      <x:c r="D18" s="42" t="str">
        <x:v>Primary</x:v>
      </x:c>
    </x:row>
    <x:row r="19">
      <x:c r="A19" s="42" t="str">
        <x:v>Contacts / notes / activities</x:v>
      </x:c>
      <x:c r="B19" s="42" t="str">
        <x:v>CRM</x:v>
      </x:c>
      <x:c r="C19" s="42" t="str">
        <x:v>None</x:v>
      </x:c>
      <x:c r="D19" s="42" t="str">
        <x:v>Primary</x:v>
      </x:c>
    </x:row>
    <x:row r="20">
      <x:c r="A20" s="42" t="str">
        <x:v>Completed invoices</x:v>
      </x:c>
      <x:c r="B20" s="42" t="str">
        <x:v>Depletion Workbook</x:v>
      </x:c>
      <x:c r="C20" s="42" t="str">
        <x:v>Primary</x:v>
      </x:c>
      <x:c r="D20" s="42" t="str">
        <x:v>Optional future summary only</x:v>
      </x:c>
    </x:row>
    <x:row r="21">
      <x:c r="A21" s="42" t="str">
        <x:v>Product depletion / cases</x:v>
      </x:c>
      <x:c r="B21" s="42" t="str">
        <x:v>Depletion Workbook</x:v>
      </x:c>
      <x:c r="C21" s="42" t="str">
        <x:v>Primary</x:v>
      </x:c>
      <x:c r="D21" s="42" t="str">
        <x:v>Optional future summary only</x:v>
      </x:c>
    </x:row>
    <x:row r="22">
      <x:c r="A22" s="42" t="str">
        <x:v>Payment / AR</x:v>
      </x:c>
      <x:c r="B22" s="42" t="str">
        <x:v>Depletion Workbook until accounting system supersedes it</x:v>
      </x:c>
      <x:c r="C22" s="42" t="str">
        <x:v>Primary</x:v>
      </x:c>
      <x:c r="D22" s="42" t="str">
        <x:v>No duplicate write path</x:v>
      </x:c>
    </x:row>
    <x:row r="23">
      <x:c r="A23" s="42" t="str">
        <x:v>Commission eligibility</x:v>
      </x:c>
      <x:c r="B23" s="42" t="str">
        <x:v>Depletion Workbook</x:v>
      </x:c>
      <x:c r="C23" s="42" t="str">
        <x:v>Primary</x:v>
      </x:c>
      <x:c r="D23" s="42" t="str">
        <x:v>No duplicate calculation</x:v>
      </x:c>
    </x:row>
    <x:row r="26">
      <x:c r="A26" s="16" t="str">
        <x:v>RELEASE / DATA SAFETY RULES</x:v>
      </x:c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8">
      <x:c r="A28" s="22" t="str">
        <x:v>Rule</x:v>
      </x:c>
      <x:c r="B28" s="22" t="str">
        <x:v>Status</x:v>
      </x:c>
      <x:c r="C28" s="22" t="str">
        <x:v>Why</x:v>
      </x:c>
      <x:c r="D28" s="22" t="str">
        <x:v>Required action</x:v>
      </x:c>
    </x:row>
    <x:row r="29">
      <x:c r="A29" s="42" t="str">
        <x:v>Formula ownership</x:v>
      </x:c>
      <x:c r="B29" s="42" t="str">
        <x:v>By design</x:v>
      </x:c>
      <x:c r="C29" s="42" t="str">
        <x:v>Calculated columns are visually muted and should not be typed over.</x:v>
      </x:c>
      <x:c r="D29" s="42" t="str">
        <x:v>Enter only cream-colored cells.</x:v>
      </x:c>
    </x:row>
    <x:row r="30">
      <x:c r="A30" s="42" t="str">
        <x:v>Master data</x:v>
      </x:c>
      <x:c r="B30" s="42" t="str">
        <x:v>Controlled</x:v>
      </x:c>
      <x:c r="C30" s="42" t="str">
        <x:v>Products/accounts/reps/terms are centralized.</x:v>
      </x:c>
      <x:c r="D30" s="42" t="str">
        <x:v>Add new values on Setup first.</x:v>
      </x:c>
    </x:row>
    <x:row r="31">
      <x:c r="A31" s="42" t="str">
        <x:v>Bank credentials</x:v>
      </x:c>
      <x:c r="B31" s="42" t="str">
        <x:v>Not stored</x:v>
      </x:c>
      <x:c r="C31" s="42" t="str">
        <x:v>Repository-tracked workbooks must not expose routing/account numbers.</x:v>
      </x:c>
      <x:c r="D31" s="42" t="str">
        <x:v>Keep remittance credentials outside Git.</x:v>
      </x:c>
    </x:row>
    <x:row r="32">
      <x:c r="A32" s="42" t="str">
        <x:v>Legacy Jess bonus</x:v>
      </x:c>
      <x:c r="B32" s="42" t="str">
        <x:v>Not automated</x:v>
      </x:c>
      <x:c r="C32" s="42" t="str">
        <x:v>CSV does not expose exact formula semantics.</x:v>
      </x:c>
      <x:c r="D32" s="42" t="str">
        <x:v>Confirm rule before enabling.</x:v>
      </x:c>
    </x:row>
    <x:row r="33">
      <x:c r="A33" s="42" t="str">
        <x:v>1099 tax estimate</x:v>
      </x:c>
      <x:c r="B33" s="42" t="str">
        <x:v>Removed</x:v>
      </x:c>
      <x:c r="C33" s="42" t="str">
        <x:v>Outside depletion/AR purpose.</x:v>
      </x:c>
      <x:c r="D33" s="42" t="str">
        <x:v>Use tax/accounting workflow.</x:v>
      </x:c>
    </x:row>
    <x:row r="34">
      <x:c r="A34" s="42" t="str">
        <x:v>CRM integration</x:v>
      </x:c>
      <x:c r="B34" s="42" t="str">
        <x:v>None in v2</x:v>
      </x:c>
      <x:c r="C34" s="42" t="str">
        <x:v>Prevents duplicate sources of truth.</x:v>
      </x:c>
      <x:c r="D34" s="42" t="str">
        <x:v>Add only after workbook is proven.</x:v>
      </x:c>
    </x:row>
    <x:row r="35">
      <x:c r="A35" s="42" t="str">
        <x:v>Historical date</x:v>
      </x:c>
      <x:c r="B35" s="42" t="str">
        <x:v>Needs confirmation</x:v>
      </x:c>
      <x:c r="C35" s="42" t="str">
        <x:v>Legacy serial 46064 resolves to 2026-02-11.</x:v>
      </x:c>
      <x:c r="D35" s="42" t="str">
        <x:v>Validate before full historical migration.</x:v>
      </x:c>
    </x:row>
  </x:sheetData>
  <x:mergeCells>
    <x:mergeCell ref="A1:J1"/>
    <x:mergeCell ref="A2:J2"/>
    <x:mergeCell ref="A4:J4"/>
    <x:mergeCell ref="A15:J15"/>
    <x:mergeCell ref="A26:J26"/>
  </x:mergeCells>
  <x:pageMargins left="0.7" right="0.7" top="0.75" bottom="0.75" header="0.3" footer="0.3"/>
</x:worksheet>
</file>